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emfe\Downloads\"/>
    </mc:Choice>
  </mc:AlternateContent>
  <xr:revisionPtr revIDLastSave="0" documentId="8_{157BDA0E-76BD-4E9A-942B-0F673ACCA868}" xr6:coauthVersionLast="47" xr6:coauthVersionMax="47" xr10:uidLastSave="{00000000-0000-0000-0000-000000000000}"/>
  <bookViews>
    <workbookView xWindow="1116" yWindow="1200" windowWidth="21600" windowHeight="11232" xr2:uid="{DA0C63F6-8D39-47B6-B1D0-242F8BB56D96}"/>
  </bookViews>
  <sheets>
    <sheet name="Analyse HL 2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3" i="1" l="1"/>
  <c r="S213" i="1"/>
  <c r="R213" i="1"/>
  <c r="Q213" i="1"/>
  <c r="P213" i="1"/>
  <c r="O213" i="1"/>
  <c r="M213" i="1"/>
  <c r="L213" i="1"/>
  <c r="U213" i="1" s="1"/>
  <c r="K213" i="1"/>
  <c r="J213" i="1"/>
  <c r="I213" i="1"/>
  <c r="H213" i="1"/>
  <c r="D213" i="1"/>
  <c r="T212" i="1"/>
  <c r="S212" i="1"/>
  <c r="R212" i="1"/>
  <c r="Q212" i="1"/>
  <c r="P212" i="1"/>
  <c r="O212" i="1"/>
  <c r="M212" i="1"/>
  <c r="L212" i="1"/>
  <c r="K212" i="1"/>
  <c r="J212" i="1"/>
  <c r="I212" i="1"/>
  <c r="H212" i="1"/>
  <c r="U212" i="1" s="1"/>
  <c r="D212" i="1"/>
  <c r="T211" i="1"/>
  <c r="S211" i="1"/>
  <c r="R211" i="1"/>
  <c r="Q211" i="1"/>
  <c r="P211" i="1"/>
  <c r="O211" i="1"/>
  <c r="M211" i="1"/>
  <c r="L211" i="1"/>
  <c r="K211" i="1"/>
  <c r="J211" i="1"/>
  <c r="I211" i="1"/>
  <c r="H211" i="1"/>
  <c r="U211" i="1" s="1"/>
  <c r="D211" i="1"/>
  <c r="U210" i="1"/>
  <c r="T210" i="1"/>
  <c r="S210" i="1"/>
  <c r="R210" i="1"/>
  <c r="Q210" i="1"/>
  <c r="P210" i="1"/>
  <c r="O210" i="1"/>
  <c r="M210" i="1"/>
  <c r="L210" i="1"/>
  <c r="K210" i="1"/>
  <c r="J210" i="1"/>
  <c r="I210" i="1"/>
  <c r="H210" i="1"/>
  <c r="D210" i="1"/>
  <c r="U209" i="1"/>
  <c r="T209" i="1"/>
  <c r="S209" i="1"/>
  <c r="R209" i="1"/>
  <c r="Q209" i="1"/>
  <c r="P209" i="1"/>
  <c r="O209" i="1"/>
  <c r="M209" i="1"/>
  <c r="L209" i="1"/>
  <c r="K209" i="1"/>
  <c r="J209" i="1"/>
  <c r="I209" i="1"/>
  <c r="H209" i="1"/>
  <c r="D209" i="1"/>
  <c r="T208" i="1"/>
  <c r="S208" i="1"/>
  <c r="R208" i="1"/>
  <c r="Q208" i="1"/>
  <c r="P208" i="1"/>
  <c r="O208" i="1"/>
  <c r="M208" i="1"/>
  <c r="L208" i="1"/>
  <c r="K208" i="1"/>
  <c r="J208" i="1"/>
  <c r="I208" i="1"/>
  <c r="H208" i="1"/>
  <c r="U208" i="1" s="1"/>
  <c r="D208" i="1"/>
  <c r="T207" i="1"/>
  <c r="S207" i="1"/>
  <c r="R207" i="1"/>
  <c r="Q207" i="1"/>
  <c r="P207" i="1"/>
  <c r="O207" i="1"/>
  <c r="M207" i="1"/>
  <c r="L207" i="1"/>
  <c r="K207" i="1"/>
  <c r="J207" i="1"/>
  <c r="I207" i="1"/>
  <c r="H207" i="1"/>
  <c r="U207" i="1" s="1"/>
  <c r="D207" i="1"/>
  <c r="U206" i="1"/>
  <c r="T206" i="1"/>
  <c r="S206" i="1"/>
  <c r="R206" i="1"/>
  <c r="Q206" i="1"/>
  <c r="P206" i="1"/>
  <c r="O206" i="1"/>
  <c r="M206" i="1"/>
  <c r="L206" i="1"/>
  <c r="K206" i="1"/>
  <c r="J206" i="1"/>
  <c r="I206" i="1"/>
  <c r="H206" i="1"/>
  <c r="D206" i="1"/>
  <c r="T205" i="1"/>
  <c r="S205" i="1"/>
  <c r="R205" i="1"/>
  <c r="Q205" i="1"/>
  <c r="P205" i="1"/>
  <c r="O205" i="1"/>
  <c r="M205" i="1"/>
  <c r="L205" i="1"/>
  <c r="K205" i="1"/>
  <c r="J205" i="1"/>
  <c r="I205" i="1"/>
  <c r="H205" i="1"/>
  <c r="U205" i="1" s="1"/>
  <c r="D205" i="1"/>
  <c r="T204" i="1"/>
  <c r="S204" i="1"/>
  <c r="R204" i="1"/>
  <c r="Q204" i="1"/>
  <c r="P204" i="1"/>
  <c r="O204" i="1"/>
  <c r="M204" i="1"/>
  <c r="L204" i="1"/>
  <c r="K204" i="1"/>
  <c r="J204" i="1"/>
  <c r="I204" i="1"/>
  <c r="H204" i="1"/>
  <c r="U204" i="1" s="1"/>
  <c r="D204" i="1"/>
  <c r="T203" i="1"/>
  <c r="Q203" i="1"/>
  <c r="P203" i="1"/>
  <c r="O203" i="1"/>
  <c r="L203" i="1"/>
  <c r="K203" i="1"/>
  <c r="J203" i="1"/>
  <c r="H203" i="1"/>
  <c r="U203" i="1" s="1"/>
  <c r="D203" i="1"/>
  <c r="U202" i="1"/>
  <c r="T202" i="1"/>
  <c r="R202" i="1"/>
  <c r="Q202" i="1"/>
  <c r="P202" i="1"/>
  <c r="O202" i="1"/>
  <c r="L202" i="1"/>
  <c r="K202" i="1"/>
  <c r="J202" i="1"/>
  <c r="H202" i="1"/>
  <c r="D202" i="1"/>
  <c r="T201" i="1"/>
  <c r="U201" i="1" s="1"/>
  <c r="R201" i="1"/>
  <c r="Q201" i="1"/>
  <c r="P201" i="1"/>
  <c r="O201" i="1"/>
  <c r="L201" i="1"/>
  <c r="K201" i="1"/>
  <c r="J201" i="1"/>
  <c r="D201" i="1"/>
  <c r="T200" i="1"/>
  <c r="R200" i="1"/>
  <c r="Q200" i="1"/>
  <c r="U200" i="1" s="1"/>
  <c r="P200" i="1"/>
  <c r="O200" i="1"/>
  <c r="L200" i="1"/>
  <c r="K200" i="1"/>
  <c r="J200" i="1"/>
  <c r="I200" i="1"/>
  <c r="H200" i="1"/>
  <c r="D200" i="1"/>
  <c r="R199" i="1"/>
  <c r="Q199" i="1"/>
  <c r="P199" i="1"/>
  <c r="U199" i="1" s="1"/>
  <c r="O199" i="1"/>
  <c r="L199" i="1"/>
  <c r="K199" i="1"/>
  <c r="J199" i="1"/>
  <c r="I199" i="1"/>
  <c r="H199" i="1"/>
  <c r="D199" i="1"/>
  <c r="T198" i="1"/>
  <c r="S198" i="1"/>
  <c r="R198" i="1"/>
  <c r="Q198" i="1"/>
  <c r="P198" i="1"/>
  <c r="O198" i="1"/>
  <c r="M198" i="1"/>
  <c r="L198" i="1"/>
  <c r="K198" i="1"/>
  <c r="J198" i="1"/>
  <c r="I198" i="1"/>
  <c r="H198" i="1"/>
  <c r="U198" i="1" s="1"/>
  <c r="D198" i="1"/>
  <c r="U197" i="1"/>
  <c r="T197" i="1"/>
  <c r="S197" i="1"/>
  <c r="R197" i="1"/>
  <c r="Q197" i="1"/>
  <c r="P197" i="1"/>
  <c r="O197" i="1"/>
  <c r="M197" i="1"/>
  <c r="L197" i="1"/>
  <c r="K197" i="1"/>
  <c r="J197" i="1"/>
  <c r="I197" i="1"/>
  <c r="H197" i="1"/>
  <c r="D197" i="1"/>
  <c r="U196" i="1"/>
  <c r="T196" i="1"/>
  <c r="S196" i="1"/>
  <c r="R196" i="1"/>
  <c r="Q196" i="1"/>
  <c r="P196" i="1"/>
  <c r="O196" i="1"/>
  <c r="M196" i="1"/>
  <c r="L196" i="1"/>
  <c r="K196" i="1"/>
  <c r="J196" i="1"/>
  <c r="I196" i="1"/>
  <c r="H196" i="1"/>
  <c r="D196" i="1"/>
  <c r="U195" i="1"/>
  <c r="T195" i="1"/>
  <c r="S195" i="1"/>
  <c r="R195" i="1"/>
  <c r="Q195" i="1"/>
  <c r="P195" i="1"/>
  <c r="O195" i="1"/>
  <c r="M195" i="1"/>
  <c r="L195" i="1"/>
  <c r="K195" i="1"/>
  <c r="J195" i="1"/>
  <c r="I195" i="1"/>
  <c r="H195" i="1"/>
  <c r="D195" i="1"/>
  <c r="U194" i="1"/>
  <c r="T194" i="1"/>
  <c r="S194" i="1"/>
  <c r="R194" i="1"/>
  <c r="Q194" i="1"/>
  <c r="P194" i="1"/>
  <c r="O194" i="1"/>
  <c r="M194" i="1"/>
  <c r="L194" i="1"/>
  <c r="K194" i="1"/>
  <c r="J194" i="1"/>
  <c r="I194" i="1"/>
  <c r="H194" i="1"/>
  <c r="D194" i="1"/>
  <c r="U193" i="1"/>
  <c r="T193" i="1"/>
  <c r="S193" i="1"/>
  <c r="R193" i="1"/>
  <c r="Q193" i="1"/>
  <c r="P193" i="1"/>
  <c r="O193" i="1"/>
  <c r="M193" i="1"/>
  <c r="L193" i="1"/>
  <c r="K193" i="1"/>
  <c r="J193" i="1"/>
  <c r="I193" i="1"/>
  <c r="H193" i="1"/>
  <c r="D193" i="1"/>
  <c r="U192" i="1"/>
  <c r="T192" i="1"/>
  <c r="S192" i="1"/>
  <c r="R192" i="1"/>
  <c r="Q192" i="1"/>
  <c r="P192" i="1"/>
  <c r="O192" i="1"/>
  <c r="M192" i="1"/>
  <c r="L192" i="1"/>
  <c r="K192" i="1"/>
  <c r="J192" i="1"/>
  <c r="I192" i="1"/>
  <c r="H192" i="1"/>
  <c r="D192" i="1"/>
  <c r="U191" i="1"/>
  <c r="T191" i="1"/>
  <c r="S191" i="1"/>
  <c r="R191" i="1"/>
  <c r="Q191" i="1"/>
  <c r="P191" i="1"/>
  <c r="O191" i="1"/>
  <c r="M191" i="1"/>
  <c r="L191" i="1"/>
  <c r="K191" i="1"/>
  <c r="J191" i="1"/>
  <c r="I191" i="1"/>
  <c r="H191" i="1"/>
  <c r="D191" i="1"/>
  <c r="U190" i="1"/>
  <c r="T190" i="1"/>
  <c r="S190" i="1"/>
  <c r="R190" i="1"/>
  <c r="Q190" i="1"/>
  <c r="P190" i="1"/>
  <c r="O190" i="1"/>
  <c r="M190" i="1"/>
  <c r="L190" i="1"/>
  <c r="K190" i="1"/>
  <c r="J190" i="1"/>
  <c r="I190" i="1"/>
  <c r="H190" i="1"/>
  <c r="D190" i="1"/>
  <c r="U189" i="1"/>
  <c r="T189" i="1"/>
  <c r="S189" i="1"/>
  <c r="R189" i="1"/>
  <c r="Q189" i="1"/>
  <c r="P189" i="1"/>
  <c r="O189" i="1"/>
  <c r="M189" i="1"/>
  <c r="L189" i="1"/>
  <c r="K189" i="1"/>
  <c r="J189" i="1"/>
  <c r="I189" i="1"/>
  <c r="H189" i="1"/>
  <c r="D189" i="1"/>
  <c r="R188" i="1"/>
  <c r="Q188" i="1"/>
  <c r="P188" i="1"/>
  <c r="O188" i="1"/>
  <c r="M188" i="1"/>
  <c r="L188" i="1"/>
  <c r="K188" i="1"/>
  <c r="J188" i="1"/>
  <c r="U188" i="1" s="1"/>
  <c r="I188" i="1"/>
  <c r="H188" i="1"/>
  <c r="D188" i="1"/>
  <c r="S187" i="1"/>
  <c r="R187" i="1"/>
  <c r="Q187" i="1"/>
  <c r="P187" i="1"/>
  <c r="O187" i="1"/>
  <c r="M187" i="1"/>
  <c r="L187" i="1"/>
  <c r="K187" i="1"/>
  <c r="J187" i="1"/>
  <c r="I187" i="1"/>
  <c r="U187" i="1" s="1"/>
  <c r="H187" i="1"/>
  <c r="D187" i="1"/>
  <c r="U186" i="1"/>
  <c r="D186" i="1"/>
  <c r="R185" i="1"/>
  <c r="Q185" i="1"/>
  <c r="P185" i="1"/>
  <c r="O185" i="1"/>
  <c r="M185" i="1"/>
  <c r="U185" i="1" s="1"/>
  <c r="L185" i="1"/>
  <c r="K185" i="1"/>
  <c r="J185" i="1"/>
  <c r="I185" i="1"/>
  <c r="H185" i="1"/>
  <c r="D185" i="1"/>
  <c r="T184" i="1"/>
  <c r="S184" i="1"/>
  <c r="R184" i="1"/>
  <c r="Q184" i="1"/>
  <c r="P184" i="1"/>
  <c r="O184" i="1"/>
  <c r="M184" i="1"/>
  <c r="L184" i="1"/>
  <c r="K184" i="1"/>
  <c r="J184" i="1"/>
  <c r="I184" i="1"/>
  <c r="H184" i="1"/>
  <c r="U184" i="1" s="1"/>
  <c r="D184" i="1"/>
  <c r="T183" i="1"/>
  <c r="S183" i="1"/>
  <c r="R183" i="1"/>
  <c r="Q183" i="1"/>
  <c r="P183" i="1"/>
  <c r="O183" i="1"/>
  <c r="M183" i="1"/>
  <c r="L183" i="1"/>
  <c r="K183" i="1"/>
  <c r="J183" i="1"/>
  <c r="I183" i="1"/>
  <c r="H183" i="1"/>
  <c r="U183" i="1" s="1"/>
  <c r="D183" i="1"/>
  <c r="U182" i="1"/>
  <c r="D182" i="1"/>
  <c r="T181" i="1"/>
  <c r="S181" i="1"/>
  <c r="R181" i="1"/>
  <c r="Q181" i="1"/>
  <c r="P181" i="1"/>
  <c r="O181" i="1"/>
  <c r="M181" i="1"/>
  <c r="L181" i="1"/>
  <c r="K181" i="1"/>
  <c r="J181" i="1"/>
  <c r="I181" i="1"/>
  <c r="H181" i="1"/>
  <c r="U181" i="1" s="1"/>
  <c r="D181" i="1"/>
  <c r="T180" i="1"/>
  <c r="S180" i="1"/>
  <c r="R180" i="1"/>
  <c r="Q180" i="1"/>
  <c r="P180" i="1"/>
  <c r="O180" i="1"/>
  <c r="M180" i="1"/>
  <c r="L180" i="1"/>
  <c r="K180" i="1"/>
  <c r="J180" i="1"/>
  <c r="I180" i="1"/>
  <c r="H180" i="1"/>
  <c r="U180" i="1" s="1"/>
  <c r="D180" i="1"/>
  <c r="T179" i="1"/>
  <c r="S179" i="1"/>
  <c r="R179" i="1"/>
  <c r="Q179" i="1"/>
  <c r="P179" i="1"/>
  <c r="O179" i="1"/>
  <c r="M179" i="1"/>
  <c r="L179" i="1"/>
  <c r="K179" i="1"/>
  <c r="J179" i="1"/>
  <c r="I179" i="1"/>
  <c r="H179" i="1"/>
  <c r="U179" i="1" s="1"/>
  <c r="D179" i="1"/>
  <c r="T178" i="1"/>
  <c r="S178" i="1"/>
  <c r="R178" i="1"/>
  <c r="Q178" i="1"/>
  <c r="P178" i="1"/>
  <c r="O178" i="1"/>
  <c r="M178" i="1"/>
  <c r="L178" i="1"/>
  <c r="K178" i="1"/>
  <c r="J178" i="1"/>
  <c r="I178" i="1"/>
  <c r="H178" i="1"/>
  <c r="U178" i="1" s="1"/>
  <c r="D178" i="1"/>
  <c r="T177" i="1"/>
  <c r="S177" i="1"/>
  <c r="R177" i="1"/>
  <c r="Q177" i="1"/>
  <c r="P177" i="1"/>
  <c r="O177" i="1"/>
  <c r="M177" i="1"/>
  <c r="L177" i="1"/>
  <c r="K177" i="1"/>
  <c r="J177" i="1"/>
  <c r="I177" i="1"/>
  <c r="H177" i="1"/>
  <c r="U177" i="1" s="1"/>
  <c r="D177" i="1"/>
  <c r="T176" i="1"/>
  <c r="S176" i="1"/>
  <c r="R176" i="1"/>
  <c r="Q176" i="1"/>
  <c r="P176" i="1"/>
  <c r="O176" i="1"/>
  <c r="M176" i="1"/>
  <c r="L176" i="1"/>
  <c r="K176" i="1"/>
  <c r="J176" i="1"/>
  <c r="I176" i="1"/>
  <c r="H176" i="1"/>
  <c r="U176" i="1" s="1"/>
  <c r="D176" i="1"/>
  <c r="T175" i="1"/>
  <c r="S175" i="1"/>
  <c r="R175" i="1"/>
  <c r="Q175" i="1"/>
  <c r="P175" i="1"/>
  <c r="O175" i="1"/>
  <c r="M175" i="1"/>
  <c r="L175" i="1"/>
  <c r="K175" i="1"/>
  <c r="J175" i="1"/>
  <c r="I175" i="1"/>
  <c r="H175" i="1"/>
  <c r="U175" i="1" s="1"/>
  <c r="D175" i="1"/>
  <c r="T174" i="1"/>
  <c r="S174" i="1"/>
  <c r="R174" i="1"/>
  <c r="Q174" i="1"/>
  <c r="P174" i="1"/>
  <c r="O174" i="1"/>
  <c r="M174" i="1"/>
  <c r="L174" i="1"/>
  <c r="K174" i="1"/>
  <c r="J174" i="1"/>
  <c r="I174" i="1"/>
  <c r="H174" i="1"/>
  <c r="U174" i="1" s="1"/>
  <c r="D174" i="1"/>
  <c r="T173" i="1"/>
  <c r="S173" i="1"/>
  <c r="R173" i="1"/>
  <c r="Q173" i="1"/>
  <c r="P173" i="1"/>
  <c r="O173" i="1"/>
  <c r="M173" i="1"/>
  <c r="L173" i="1"/>
  <c r="K173" i="1"/>
  <c r="J173" i="1"/>
  <c r="I173" i="1"/>
  <c r="H173" i="1"/>
  <c r="U173" i="1" s="1"/>
  <c r="D173" i="1"/>
  <c r="T172" i="1"/>
  <c r="S172" i="1"/>
  <c r="R172" i="1"/>
  <c r="Q172" i="1"/>
  <c r="P172" i="1"/>
  <c r="U172" i="1" s="1"/>
  <c r="O172" i="1"/>
  <c r="M172" i="1"/>
  <c r="L172" i="1"/>
  <c r="K172" i="1"/>
  <c r="J172" i="1"/>
  <c r="I172" i="1"/>
  <c r="D172" i="1"/>
  <c r="S171" i="1"/>
  <c r="R171" i="1"/>
  <c r="Q171" i="1"/>
  <c r="P171" i="1"/>
  <c r="U171" i="1" s="1"/>
  <c r="O171" i="1"/>
  <c r="M171" i="1"/>
  <c r="L171" i="1"/>
  <c r="K171" i="1"/>
  <c r="J171" i="1"/>
  <c r="I171" i="1"/>
  <c r="D171" i="1"/>
  <c r="T170" i="1"/>
  <c r="S170" i="1"/>
  <c r="R170" i="1"/>
  <c r="Q170" i="1"/>
  <c r="U170" i="1" s="1"/>
  <c r="P170" i="1"/>
  <c r="O170" i="1"/>
  <c r="M170" i="1"/>
  <c r="L170" i="1"/>
  <c r="K170" i="1"/>
  <c r="J170" i="1"/>
  <c r="I170" i="1"/>
  <c r="D170" i="1"/>
  <c r="T169" i="1"/>
  <c r="S169" i="1"/>
  <c r="R169" i="1"/>
  <c r="U169" i="1" s="1"/>
  <c r="Q169" i="1"/>
  <c r="P169" i="1"/>
  <c r="O169" i="1"/>
  <c r="M169" i="1"/>
  <c r="L169" i="1"/>
  <c r="K169" i="1"/>
  <c r="J169" i="1"/>
  <c r="I169" i="1"/>
  <c r="D169" i="1"/>
  <c r="U168" i="1"/>
  <c r="T168" i="1"/>
  <c r="S168" i="1"/>
  <c r="R168" i="1"/>
  <c r="Q168" i="1"/>
  <c r="P168" i="1"/>
  <c r="O168" i="1"/>
  <c r="M168" i="1"/>
  <c r="L168" i="1"/>
  <c r="K168" i="1"/>
  <c r="J168" i="1"/>
  <c r="I168" i="1"/>
  <c r="H168" i="1"/>
  <c r="D168" i="1"/>
  <c r="T167" i="1"/>
  <c r="S167" i="1"/>
  <c r="R167" i="1"/>
  <c r="Q167" i="1"/>
  <c r="P167" i="1"/>
  <c r="O167" i="1"/>
  <c r="M167" i="1"/>
  <c r="L167" i="1"/>
  <c r="K167" i="1"/>
  <c r="J167" i="1"/>
  <c r="I167" i="1"/>
  <c r="H167" i="1"/>
  <c r="U167" i="1" s="1"/>
  <c r="D167" i="1"/>
  <c r="T166" i="1"/>
  <c r="S166" i="1"/>
  <c r="R166" i="1"/>
  <c r="Q166" i="1"/>
  <c r="P166" i="1"/>
  <c r="O166" i="1"/>
  <c r="M166" i="1"/>
  <c r="L166" i="1"/>
  <c r="K166" i="1"/>
  <c r="J166" i="1"/>
  <c r="I166" i="1"/>
  <c r="H166" i="1"/>
  <c r="U166" i="1" s="1"/>
  <c r="D166" i="1"/>
  <c r="S165" i="1"/>
  <c r="Q165" i="1"/>
  <c r="P165" i="1"/>
  <c r="O165" i="1"/>
  <c r="M165" i="1"/>
  <c r="L165" i="1"/>
  <c r="K165" i="1"/>
  <c r="J165" i="1"/>
  <c r="I165" i="1"/>
  <c r="H165" i="1"/>
  <c r="U165" i="1" s="1"/>
  <c r="D165" i="1"/>
  <c r="S164" i="1"/>
  <c r="Q164" i="1"/>
  <c r="P164" i="1"/>
  <c r="O164" i="1"/>
  <c r="M164" i="1"/>
  <c r="L164" i="1"/>
  <c r="K164" i="1"/>
  <c r="J164" i="1"/>
  <c r="I164" i="1"/>
  <c r="H164" i="1"/>
  <c r="U164" i="1" s="1"/>
  <c r="D164" i="1"/>
  <c r="S163" i="1"/>
  <c r="Q163" i="1"/>
  <c r="P163" i="1"/>
  <c r="O163" i="1"/>
  <c r="M163" i="1"/>
  <c r="L163" i="1"/>
  <c r="K163" i="1"/>
  <c r="J163" i="1"/>
  <c r="I163" i="1"/>
  <c r="H163" i="1"/>
  <c r="U163" i="1" s="1"/>
  <c r="D163" i="1"/>
  <c r="U162" i="1"/>
  <c r="T162" i="1"/>
  <c r="S162" i="1"/>
  <c r="R162" i="1"/>
  <c r="Q162" i="1"/>
  <c r="P162" i="1"/>
  <c r="O162" i="1"/>
  <c r="M162" i="1"/>
  <c r="L162" i="1"/>
  <c r="K162" i="1"/>
  <c r="J162" i="1"/>
  <c r="I162" i="1"/>
  <c r="H162" i="1"/>
  <c r="D162" i="1"/>
  <c r="U161" i="1"/>
  <c r="T161" i="1"/>
  <c r="S161" i="1"/>
  <c r="R161" i="1"/>
  <c r="Q161" i="1"/>
  <c r="P161" i="1"/>
  <c r="O161" i="1"/>
  <c r="M161" i="1"/>
  <c r="L161" i="1"/>
  <c r="K161" i="1"/>
  <c r="J161" i="1"/>
  <c r="I161" i="1"/>
  <c r="H161" i="1"/>
  <c r="D161" i="1"/>
  <c r="U160" i="1"/>
  <c r="T160" i="1"/>
  <c r="S160" i="1"/>
  <c r="R160" i="1"/>
  <c r="Q160" i="1"/>
  <c r="P160" i="1"/>
  <c r="O160" i="1"/>
  <c r="M160" i="1"/>
  <c r="L160" i="1"/>
  <c r="K160" i="1"/>
  <c r="J160" i="1"/>
  <c r="I160" i="1"/>
  <c r="H160" i="1"/>
  <c r="D160" i="1"/>
  <c r="U159" i="1"/>
  <c r="T159" i="1"/>
  <c r="S159" i="1"/>
  <c r="R159" i="1"/>
  <c r="Q159" i="1"/>
  <c r="P159" i="1"/>
  <c r="O159" i="1"/>
  <c r="M159" i="1"/>
  <c r="L159" i="1"/>
  <c r="K159" i="1"/>
  <c r="J159" i="1"/>
  <c r="I159" i="1"/>
  <c r="H159" i="1"/>
  <c r="D159" i="1"/>
  <c r="U158" i="1"/>
  <c r="T158" i="1"/>
  <c r="S158" i="1"/>
  <c r="R158" i="1"/>
  <c r="Q158" i="1"/>
  <c r="P158" i="1"/>
  <c r="O158" i="1"/>
  <c r="M158" i="1"/>
  <c r="L158" i="1"/>
  <c r="K158" i="1"/>
  <c r="J158" i="1"/>
  <c r="I158" i="1"/>
  <c r="H158" i="1"/>
  <c r="D158" i="1"/>
  <c r="U157" i="1"/>
  <c r="T157" i="1"/>
  <c r="S157" i="1"/>
  <c r="R157" i="1"/>
  <c r="Q157" i="1"/>
  <c r="P157" i="1"/>
  <c r="O157" i="1"/>
  <c r="M157" i="1"/>
  <c r="L157" i="1"/>
  <c r="K157" i="1"/>
  <c r="J157" i="1"/>
  <c r="I157" i="1"/>
  <c r="H157" i="1"/>
  <c r="D157" i="1"/>
  <c r="T156" i="1"/>
  <c r="S156" i="1"/>
  <c r="R156" i="1"/>
  <c r="Q156" i="1"/>
  <c r="P156" i="1"/>
  <c r="O156" i="1"/>
  <c r="M156" i="1"/>
  <c r="L156" i="1"/>
  <c r="K156" i="1"/>
  <c r="J156" i="1"/>
  <c r="I156" i="1"/>
  <c r="H156" i="1"/>
  <c r="U156" i="1" s="1"/>
  <c r="D156" i="1"/>
  <c r="T155" i="1"/>
  <c r="S155" i="1"/>
  <c r="R155" i="1"/>
  <c r="Q155" i="1"/>
  <c r="P155" i="1"/>
  <c r="O155" i="1"/>
  <c r="M155" i="1"/>
  <c r="L155" i="1"/>
  <c r="K155" i="1"/>
  <c r="J155" i="1"/>
  <c r="I155" i="1"/>
  <c r="H155" i="1"/>
  <c r="U155" i="1" s="1"/>
  <c r="D155" i="1"/>
  <c r="T154" i="1"/>
  <c r="S154" i="1"/>
  <c r="R154" i="1"/>
  <c r="Q154" i="1"/>
  <c r="P154" i="1"/>
  <c r="O154" i="1"/>
  <c r="M154" i="1"/>
  <c r="L154" i="1"/>
  <c r="K154" i="1"/>
  <c r="J154" i="1"/>
  <c r="I154" i="1"/>
  <c r="H154" i="1"/>
  <c r="U154" i="1" s="1"/>
  <c r="D154" i="1"/>
  <c r="T153" i="1"/>
  <c r="S153" i="1"/>
  <c r="R153" i="1"/>
  <c r="Q153" i="1"/>
  <c r="P153" i="1"/>
  <c r="O153" i="1"/>
  <c r="M153" i="1"/>
  <c r="L153" i="1"/>
  <c r="K153" i="1"/>
  <c r="J153" i="1"/>
  <c r="I153" i="1"/>
  <c r="H153" i="1"/>
  <c r="U153" i="1" s="1"/>
  <c r="D153" i="1"/>
  <c r="T152" i="1"/>
  <c r="S152" i="1"/>
  <c r="R152" i="1"/>
  <c r="Q152" i="1"/>
  <c r="P152" i="1"/>
  <c r="O152" i="1"/>
  <c r="M152" i="1"/>
  <c r="L152" i="1"/>
  <c r="K152" i="1"/>
  <c r="J152" i="1"/>
  <c r="I152" i="1"/>
  <c r="H152" i="1"/>
  <c r="U152" i="1" s="1"/>
  <c r="D152" i="1"/>
  <c r="T151" i="1"/>
  <c r="S151" i="1"/>
  <c r="R151" i="1"/>
  <c r="Q151" i="1"/>
  <c r="P151" i="1"/>
  <c r="O151" i="1"/>
  <c r="M151" i="1"/>
  <c r="L151" i="1"/>
  <c r="K151" i="1"/>
  <c r="J151" i="1"/>
  <c r="I151" i="1"/>
  <c r="H151" i="1"/>
  <c r="U151" i="1" s="1"/>
  <c r="D151" i="1"/>
  <c r="T150" i="1"/>
  <c r="S150" i="1"/>
  <c r="R150" i="1"/>
  <c r="Q150" i="1"/>
  <c r="P150" i="1"/>
  <c r="O150" i="1"/>
  <c r="M150" i="1"/>
  <c r="L150" i="1"/>
  <c r="K150" i="1"/>
  <c r="J150" i="1"/>
  <c r="I150" i="1"/>
  <c r="H150" i="1"/>
  <c r="U150" i="1" s="1"/>
  <c r="D150" i="1"/>
  <c r="T149" i="1"/>
  <c r="S149" i="1"/>
  <c r="R149" i="1"/>
  <c r="Q149" i="1"/>
  <c r="P149" i="1"/>
  <c r="O149" i="1"/>
  <c r="M149" i="1"/>
  <c r="L149" i="1"/>
  <c r="K149" i="1"/>
  <c r="J149" i="1"/>
  <c r="I149" i="1"/>
  <c r="H149" i="1"/>
  <c r="U149" i="1" s="1"/>
  <c r="D149" i="1"/>
  <c r="U148" i="1"/>
  <c r="T148" i="1"/>
  <c r="S148" i="1"/>
  <c r="R148" i="1"/>
  <c r="Q148" i="1"/>
  <c r="P148" i="1"/>
  <c r="O148" i="1"/>
  <c r="M148" i="1"/>
  <c r="L148" i="1"/>
  <c r="K148" i="1"/>
  <c r="J148" i="1"/>
  <c r="I148" i="1"/>
  <c r="H148" i="1"/>
  <c r="D148" i="1"/>
  <c r="T147" i="1"/>
  <c r="S147" i="1"/>
  <c r="R147" i="1"/>
  <c r="Q147" i="1"/>
  <c r="P147" i="1"/>
  <c r="O147" i="1"/>
  <c r="M147" i="1"/>
  <c r="L147" i="1"/>
  <c r="K147" i="1"/>
  <c r="J147" i="1"/>
  <c r="I147" i="1"/>
  <c r="H147" i="1"/>
  <c r="U147" i="1" s="1"/>
  <c r="D147" i="1"/>
  <c r="T146" i="1"/>
  <c r="S146" i="1"/>
  <c r="R146" i="1"/>
  <c r="Q146" i="1"/>
  <c r="P146" i="1"/>
  <c r="O146" i="1"/>
  <c r="M146" i="1"/>
  <c r="L146" i="1"/>
  <c r="K146" i="1"/>
  <c r="J146" i="1"/>
  <c r="I146" i="1"/>
  <c r="H146" i="1"/>
  <c r="U146" i="1" s="1"/>
  <c r="D146" i="1"/>
  <c r="T145" i="1"/>
  <c r="S145" i="1"/>
  <c r="R145" i="1"/>
  <c r="Q145" i="1"/>
  <c r="P145" i="1"/>
  <c r="O145" i="1"/>
  <c r="M145" i="1"/>
  <c r="L145" i="1"/>
  <c r="K145" i="1"/>
  <c r="J145" i="1"/>
  <c r="I145" i="1"/>
  <c r="H145" i="1"/>
  <c r="U145" i="1" s="1"/>
  <c r="D145" i="1"/>
  <c r="T144" i="1"/>
  <c r="S144" i="1"/>
  <c r="R144" i="1"/>
  <c r="Q144" i="1"/>
  <c r="P144" i="1"/>
  <c r="O144" i="1"/>
  <c r="M144" i="1"/>
  <c r="L144" i="1"/>
  <c r="K144" i="1"/>
  <c r="J144" i="1"/>
  <c r="I144" i="1"/>
  <c r="H144" i="1"/>
  <c r="U144" i="1" s="1"/>
  <c r="D144" i="1"/>
  <c r="T143" i="1"/>
  <c r="S143" i="1"/>
  <c r="R143" i="1"/>
  <c r="Q143" i="1"/>
  <c r="P143" i="1"/>
  <c r="O143" i="1"/>
  <c r="M143" i="1"/>
  <c r="L143" i="1"/>
  <c r="K143" i="1"/>
  <c r="J143" i="1"/>
  <c r="I143" i="1"/>
  <c r="H143" i="1"/>
  <c r="U143" i="1" s="1"/>
  <c r="D143" i="1"/>
  <c r="T142" i="1"/>
  <c r="S142" i="1"/>
  <c r="R142" i="1"/>
  <c r="Q142" i="1"/>
  <c r="P142" i="1"/>
  <c r="O142" i="1"/>
  <c r="M142" i="1"/>
  <c r="L142" i="1"/>
  <c r="K142" i="1"/>
  <c r="J142" i="1"/>
  <c r="I142" i="1"/>
  <c r="H142" i="1"/>
  <c r="U142" i="1" s="1"/>
  <c r="D142" i="1"/>
  <c r="T141" i="1"/>
  <c r="S141" i="1"/>
  <c r="R141" i="1"/>
  <c r="Q141" i="1"/>
  <c r="P141" i="1"/>
  <c r="O141" i="1"/>
  <c r="M141" i="1"/>
  <c r="L141" i="1"/>
  <c r="K141" i="1"/>
  <c r="J141" i="1"/>
  <c r="I141" i="1"/>
  <c r="H141" i="1"/>
  <c r="U141" i="1" s="1"/>
  <c r="D141" i="1"/>
  <c r="T140" i="1"/>
  <c r="S140" i="1"/>
  <c r="R140" i="1"/>
  <c r="Q140" i="1"/>
  <c r="P140" i="1"/>
  <c r="O140" i="1"/>
  <c r="M140" i="1"/>
  <c r="L140" i="1"/>
  <c r="K140" i="1"/>
  <c r="J140" i="1"/>
  <c r="I140" i="1"/>
  <c r="H140" i="1"/>
  <c r="U140" i="1" s="1"/>
  <c r="D140" i="1"/>
  <c r="T139" i="1"/>
  <c r="Q139" i="1"/>
  <c r="P139" i="1"/>
  <c r="O139" i="1"/>
  <c r="L139" i="1"/>
  <c r="K139" i="1"/>
  <c r="J139" i="1"/>
  <c r="I139" i="1"/>
  <c r="H139" i="1"/>
  <c r="U139" i="1" s="1"/>
  <c r="D139" i="1"/>
  <c r="U138" i="1"/>
  <c r="T138" i="1"/>
  <c r="S138" i="1"/>
  <c r="R138" i="1"/>
  <c r="Q138" i="1"/>
  <c r="P138" i="1"/>
  <c r="O138" i="1"/>
  <c r="M138" i="1"/>
  <c r="L138" i="1"/>
  <c r="K138" i="1"/>
  <c r="J138" i="1"/>
  <c r="I138" i="1"/>
  <c r="H138" i="1"/>
  <c r="D138" i="1"/>
  <c r="U137" i="1"/>
  <c r="T137" i="1"/>
  <c r="S137" i="1"/>
  <c r="R137" i="1"/>
  <c r="Q137" i="1"/>
  <c r="P137" i="1"/>
  <c r="O137" i="1"/>
  <c r="M137" i="1"/>
  <c r="L137" i="1"/>
  <c r="K137" i="1"/>
  <c r="J137" i="1"/>
  <c r="I137" i="1"/>
  <c r="H137" i="1"/>
  <c r="D137" i="1"/>
  <c r="T136" i="1"/>
  <c r="S136" i="1"/>
  <c r="Q136" i="1"/>
  <c r="O136" i="1"/>
  <c r="M136" i="1"/>
  <c r="L136" i="1"/>
  <c r="K136" i="1"/>
  <c r="U136" i="1" s="1"/>
  <c r="J136" i="1"/>
  <c r="I136" i="1"/>
  <c r="H136" i="1"/>
  <c r="D136" i="1"/>
  <c r="T135" i="1"/>
  <c r="S135" i="1"/>
  <c r="Q135" i="1"/>
  <c r="P135" i="1"/>
  <c r="O135" i="1"/>
  <c r="M135" i="1"/>
  <c r="L135" i="1"/>
  <c r="U135" i="1" s="1"/>
  <c r="K135" i="1"/>
  <c r="J135" i="1"/>
  <c r="I135" i="1"/>
  <c r="H135" i="1"/>
  <c r="D135" i="1"/>
  <c r="T134" i="1"/>
  <c r="S134" i="1"/>
  <c r="Q134" i="1"/>
  <c r="P134" i="1"/>
  <c r="O134" i="1"/>
  <c r="M134" i="1"/>
  <c r="U134" i="1" s="1"/>
  <c r="L134" i="1"/>
  <c r="K134" i="1"/>
  <c r="J134" i="1"/>
  <c r="I134" i="1"/>
  <c r="H134" i="1"/>
  <c r="D134" i="1"/>
  <c r="T133" i="1"/>
  <c r="S133" i="1"/>
  <c r="R133" i="1"/>
  <c r="Q133" i="1"/>
  <c r="P133" i="1"/>
  <c r="O133" i="1"/>
  <c r="M133" i="1"/>
  <c r="L133" i="1"/>
  <c r="K133" i="1"/>
  <c r="J133" i="1"/>
  <c r="I133" i="1"/>
  <c r="H133" i="1"/>
  <c r="U133" i="1" s="1"/>
  <c r="D133" i="1"/>
  <c r="S132" i="1"/>
  <c r="R132" i="1"/>
  <c r="Q132" i="1"/>
  <c r="U132" i="1" s="1"/>
  <c r="P132" i="1"/>
  <c r="O132" i="1"/>
  <c r="M132" i="1"/>
  <c r="L132" i="1"/>
  <c r="K132" i="1"/>
  <c r="J132" i="1"/>
  <c r="I132" i="1"/>
  <c r="H132" i="1"/>
  <c r="D132" i="1"/>
  <c r="S131" i="1"/>
  <c r="R131" i="1"/>
  <c r="U131" i="1" s="1"/>
  <c r="Q131" i="1"/>
  <c r="P131" i="1"/>
  <c r="O131" i="1"/>
  <c r="M131" i="1"/>
  <c r="L131" i="1"/>
  <c r="K131" i="1"/>
  <c r="J131" i="1"/>
  <c r="I131" i="1"/>
  <c r="H131" i="1"/>
  <c r="D131" i="1"/>
  <c r="S130" i="1"/>
  <c r="U130" i="1" s="1"/>
  <c r="R130" i="1"/>
  <c r="Q130" i="1"/>
  <c r="P130" i="1"/>
  <c r="O130" i="1"/>
  <c r="M130" i="1"/>
  <c r="L130" i="1"/>
  <c r="K130" i="1"/>
  <c r="J130" i="1"/>
  <c r="I130" i="1"/>
  <c r="H130" i="1"/>
  <c r="D130" i="1"/>
  <c r="T129" i="1"/>
  <c r="S129" i="1"/>
  <c r="R129" i="1"/>
  <c r="Q129" i="1"/>
  <c r="P129" i="1"/>
  <c r="O129" i="1"/>
  <c r="M129" i="1"/>
  <c r="L129" i="1"/>
  <c r="K129" i="1"/>
  <c r="J129" i="1"/>
  <c r="I129" i="1"/>
  <c r="H129" i="1"/>
  <c r="U129" i="1" s="1"/>
  <c r="D129" i="1"/>
  <c r="T128" i="1"/>
  <c r="S128" i="1"/>
  <c r="R128" i="1"/>
  <c r="Q128" i="1"/>
  <c r="P128" i="1"/>
  <c r="O128" i="1"/>
  <c r="M128" i="1"/>
  <c r="L128" i="1"/>
  <c r="K128" i="1"/>
  <c r="J128" i="1"/>
  <c r="I128" i="1"/>
  <c r="H128" i="1"/>
  <c r="U128" i="1" s="1"/>
  <c r="D128" i="1"/>
  <c r="S127" i="1"/>
  <c r="R127" i="1"/>
  <c r="Q127" i="1"/>
  <c r="P127" i="1"/>
  <c r="O127" i="1"/>
  <c r="M127" i="1"/>
  <c r="L127" i="1"/>
  <c r="K127" i="1"/>
  <c r="U127" i="1" s="1"/>
  <c r="J127" i="1"/>
  <c r="I127" i="1"/>
  <c r="H127" i="1"/>
  <c r="D127" i="1"/>
  <c r="R126" i="1"/>
  <c r="Q126" i="1"/>
  <c r="P126" i="1"/>
  <c r="O126" i="1"/>
  <c r="M126" i="1"/>
  <c r="L126" i="1"/>
  <c r="K126" i="1"/>
  <c r="U126" i="1" s="1"/>
  <c r="J126" i="1"/>
  <c r="I126" i="1"/>
  <c r="H126" i="1"/>
  <c r="D126" i="1"/>
  <c r="R125" i="1"/>
  <c r="Q125" i="1"/>
  <c r="P125" i="1"/>
  <c r="O125" i="1"/>
  <c r="M125" i="1"/>
  <c r="L125" i="1"/>
  <c r="K125" i="1"/>
  <c r="U125" i="1" s="1"/>
  <c r="J125" i="1"/>
  <c r="I125" i="1"/>
  <c r="H125" i="1"/>
  <c r="D125" i="1"/>
  <c r="S124" i="1"/>
  <c r="R124" i="1"/>
  <c r="Q124" i="1"/>
  <c r="P124" i="1"/>
  <c r="O124" i="1"/>
  <c r="M124" i="1"/>
  <c r="L124" i="1"/>
  <c r="U124" i="1" s="1"/>
  <c r="K124" i="1"/>
  <c r="J124" i="1"/>
  <c r="I124" i="1"/>
  <c r="H124" i="1"/>
  <c r="D124" i="1"/>
  <c r="S123" i="1"/>
  <c r="R123" i="1"/>
  <c r="Q123" i="1"/>
  <c r="P123" i="1"/>
  <c r="O123" i="1"/>
  <c r="M123" i="1"/>
  <c r="U123" i="1" s="1"/>
  <c r="L123" i="1"/>
  <c r="K123" i="1"/>
  <c r="J123" i="1"/>
  <c r="I123" i="1"/>
  <c r="H123" i="1"/>
  <c r="D123" i="1"/>
  <c r="T122" i="1"/>
  <c r="R122" i="1"/>
  <c r="Q122" i="1"/>
  <c r="P122" i="1"/>
  <c r="O122" i="1"/>
  <c r="U122" i="1" s="1"/>
  <c r="M122" i="1"/>
  <c r="L122" i="1"/>
  <c r="K122" i="1"/>
  <c r="J122" i="1"/>
  <c r="I122" i="1"/>
  <c r="H122" i="1"/>
  <c r="D122" i="1"/>
  <c r="T121" i="1"/>
  <c r="R121" i="1"/>
  <c r="Q121" i="1"/>
  <c r="P121" i="1"/>
  <c r="U121" i="1" s="1"/>
  <c r="O121" i="1"/>
  <c r="M121" i="1"/>
  <c r="L121" i="1"/>
  <c r="K121" i="1"/>
  <c r="J121" i="1"/>
  <c r="I121" i="1"/>
  <c r="H121" i="1"/>
  <c r="D121" i="1"/>
  <c r="U120" i="1"/>
  <c r="T120" i="1"/>
  <c r="S120" i="1"/>
  <c r="R120" i="1"/>
  <c r="Q120" i="1"/>
  <c r="P120" i="1"/>
  <c r="O120" i="1"/>
  <c r="M120" i="1"/>
  <c r="L120" i="1"/>
  <c r="K120" i="1"/>
  <c r="J120" i="1"/>
  <c r="I120" i="1"/>
  <c r="H120" i="1"/>
  <c r="D120" i="1"/>
  <c r="T119" i="1"/>
  <c r="T112" i="1" s="1"/>
  <c r="S119" i="1"/>
  <c r="R119" i="1"/>
  <c r="Q119" i="1"/>
  <c r="P119" i="1"/>
  <c r="O119" i="1"/>
  <c r="M119" i="1"/>
  <c r="L119" i="1"/>
  <c r="K119" i="1"/>
  <c r="J119" i="1"/>
  <c r="I119" i="1"/>
  <c r="H119" i="1"/>
  <c r="H112" i="1" s="1"/>
  <c r="D119" i="1"/>
  <c r="T118" i="1"/>
  <c r="S118" i="1"/>
  <c r="R118" i="1"/>
  <c r="Q118" i="1"/>
  <c r="P118" i="1"/>
  <c r="O118" i="1"/>
  <c r="M118" i="1"/>
  <c r="L118" i="1"/>
  <c r="K118" i="1"/>
  <c r="J118" i="1"/>
  <c r="J112" i="1" s="1"/>
  <c r="I118" i="1"/>
  <c r="I112" i="1" s="1"/>
  <c r="H118" i="1"/>
  <c r="U118" i="1" s="1"/>
  <c r="D118" i="1"/>
  <c r="T117" i="1"/>
  <c r="S117" i="1"/>
  <c r="R117" i="1"/>
  <c r="Q117" i="1"/>
  <c r="P117" i="1"/>
  <c r="O117" i="1"/>
  <c r="M117" i="1"/>
  <c r="L117" i="1"/>
  <c r="L112" i="1" s="1"/>
  <c r="K117" i="1"/>
  <c r="K112" i="1" s="1"/>
  <c r="J117" i="1"/>
  <c r="I117" i="1"/>
  <c r="H117" i="1"/>
  <c r="U117" i="1" s="1"/>
  <c r="D117" i="1"/>
  <c r="T116" i="1"/>
  <c r="S116" i="1"/>
  <c r="R116" i="1"/>
  <c r="Q116" i="1"/>
  <c r="P116" i="1"/>
  <c r="O116" i="1"/>
  <c r="O112" i="1" s="1"/>
  <c r="M116" i="1"/>
  <c r="M112" i="1" s="1"/>
  <c r="L116" i="1"/>
  <c r="K116" i="1"/>
  <c r="J116" i="1"/>
  <c r="I116" i="1"/>
  <c r="H116" i="1"/>
  <c r="U116" i="1" s="1"/>
  <c r="D116" i="1"/>
  <c r="T115" i="1"/>
  <c r="S115" i="1"/>
  <c r="R115" i="1"/>
  <c r="Q115" i="1"/>
  <c r="Q112" i="1" s="1"/>
  <c r="P115" i="1"/>
  <c r="P112" i="1" s="1"/>
  <c r="O115" i="1"/>
  <c r="M115" i="1"/>
  <c r="L115" i="1"/>
  <c r="K115" i="1"/>
  <c r="J115" i="1"/>
  <c r="I115" i="1"/>
  <c r="H115" i="1"/>
  <c r="U115" i="1" s="1"/>
  <c r="D115" i="1"/>
  <c r="R112" i="1"/>
  <c r="G112" i="1"/>
  <c r="F112" i="1"/>
  <c r="E112" i="1"/>
  <c r="T105" i="1"/>
  <c r="S105" i="1"/>
  <c r="R105" i="1"/>
  <c r="Q105" i="1"/>
  <c r="P105" i="1"/>
  <c r="O105" i="1"/>
  <c r="M105" i="1"/>
  <c r="L105" i="1"/>
  <c r="K105" i="1"/>
  <c r="J105" i="1"/>
  <c r="I105" i="1"/>
  <c r="H105" i="1"/>
  <c r="U105" i="1" s="1"/>
  <c r="D105" i="1"/>
  <c r="C105" i="1" s="1"/>
  <c r="T104" i="1"/>
  <c r="S104" i="1"/>
  <c r="R104" i="1"/>
  <c r="Q104" i="1"/>
  <c r="P104" i="1"/>
  <c r="O104" i="1"/>
  <c r="M104" i="1"/>
  <c r="L104" i="1"/>
  <c r="K104" i="1"/>
  <c r="J104" i="1"/>
  <c r="I104" i="1"/>
  <c r="H104" i="1"/>
  <c r="U104" i="1" s="1"/>
  <c r="D104" i="1"/>
  <c r="C104" i="1"/>
  <c r="T103" i="1"/>
  <c r="S103" i="1"/>
  <c r="R103" i="1"/>
  <c r="Q103" i="1"/>
  <c r="P103" i="1"/>
  <c r="O103" i="1"/>
  <c r="M103" i="1"/>
  <c r="L103" i="1"/>
  <c r="K103" i="1"/>
  <c r="J103" i="1"/>
  <c r="I103" i="1"/>
  <c r="H103" i="1"/>
  <c r="U103" i="1" s="1"/>
  <c r="D103" i="1"/>
  <c r="C103" i="1"/>
  <c r="U102" i="1"/>
  <c r="T102" i="1"/>
  <c r="S102" i="1"/>
  <c r="R102" i="1"/>
  <c r="Q102" i="1"/>
  <c r="P102" i="1"/>
  <c r="O102" i="1"/>
  <c r="M102" i="1"/>
  <c r="L102" i="1"/>
  <c r="K102" i="1"/>
  <c r="J102" i="1"/>
  <c r="I102" i="1"/>
  <c r="H102" i="1"/>
  <c r="D102" i="1"/>
  <c r="C102" i="1"/>
  <c r="U101" i="1"/>
  <c r="T101" i="1"/>
  <c r="S101" i="1"/>
  <c r="R101" i="1"/>
  <c r="Q101" i="1"/>
  <c r="P101" i="1"/>
  <c r="O101" i="1"/>
  <c r="M101" i="1"/>
  <c r="L101" i="1"/>
  <c r="K101" i="1"/>
  <c r="J101" i="1"/>
  <c r="I101" i="1"/>
  <c r="H101" i="1"/>
  <c r="D101" i="1"/>
  <c r="C101" i="1" s="1"/>
  <c r="T100" i="1"/>
  <c r="S100" i="1"/>
  <c r="R100" i="1"/>
  <c r="Q100" i="1"/>
  <c r="P100" i="1"/>
  <c r="O100" i="1"/>
  <c r="M100" i="1"/>
  <c r="L100" i="1"/>
  <c r="K100" i="1"/>
  <c r="J100" i="1"/>
  <c r="I100" i="1"/>
  <c r="H100" i="1"/>
  <c r="U100" i="1" s="1"/>
  <c r="D100" i="1"/>
  <c r="C100" i="1"/>
  <c r="T99" i="1"/>
  <c r="S99" i="1"/>
  <c r="R99" i="1"/>
  <c r="Q99" i="1"/>
  <c r="P99" i="1"/>
  <c r="O99" i="1"/>
  <c r="M99" i="1"/>
  <c r="L99" i="1"/>
  <c r="K99" i="1"/>
  <c r="J99" i="1"/>
  <c r="I99" i="1"/>
  <c r="H99" i="1"/>
  <c r="U99" i="1" s="1"/>
  <c r="D99" i="1"/>
  <c r="C99" i="1"/>
  <c r="U98" i="1"/>
  <c r="T98" i="1"/>
  <c r="S98" i="1"/>
  <c r="R98" i="1"/>
  <c r="Q98" i="1"/>
  <c r="P98" i="1"/>
  <c r="O98" i="1"/>
  <c r="M98" i="1"/>
  <c r="L98" i="1"/>
  <c r="K98" i="1"/>
  <c r="J98" i="1"/>
  <c r="I98" i="1"/>
  <c r="H98" i="1"/>
  <c r="D98" i="1"/>
  <c r="C98" i="1"/>
  <c r="T97" i="1"/>
  <c r="S97" i="1"/>
  <c r="R97" i="1"/>
  <c r="Q97" i="1"/>
  <c r="P97" i="1"/>
  <c r="O97" i="1"/>
  <c r="M97" i="1"/>
  <c r="L97" i="1"/>
  <c r="K97" i="1"/>
  <c r="J97" i="1"/>
  <c r="I97" i="1"/>
  <c r="H97" i="1"/>
  <c r="U97" i="1" s="1"/>
  <c r="D97" i="1"/>
  <c r="C97" i="1" s="1"/>
  <c r="T96" i="1"/>
  <c r="S96" i="1"/>
  <c r="R96" i="1"/>
  <c r="Q96" i="1"/>
  <c r="P96" i="1"/>
  <c r="O96" i="1"/>
  <c r="M96" i="1"/>
  <c r="L96" i="1"/>
  <c r="K96" i="1"/>
  <c r="J96" i="1"/>
  <c r="I96" i="1"/>
  <c r="H96" i="1"/>
  <c r="U96" i="1" s="1"/>
  <c r="D96" i="1"/>
  <c r="C96" i="1"/>
  <c r="T95" i="1"/>
  <c r="S95" i="1"/>
  <c r="R95" i="1"/>
  <c r="Q95" i="1"/>
  <c r="P95" i="1"/>
  <c r="O95" i="1"/>
  <c r="M95" i="1"/>
  <c r="L95" i="1"/>
  <c r="K95" i="1"/>
  <c r="J95" i="1"/>
  <c r="I95" i="1"/>
  <c r="H95" i="1"/>
  <c r="U95" i="1" s="1"/>
  <c r="D95" i="1"/>
  <c r="C95" i="1"/>
  <c r="T94" i="1"/>
  <c r="S94" i="1"/>
  <c r="R94" i="1"/>
  <c r="Q94" i="1"/>
  <c r="P94" i="1"/>
  <c r="O94" i="1"/>
  <c r="M94" i="1"/>
  <c r="L94" i="1"/>
  <c r="K94" i="1"/>
  <c r="J94" i="1"/>
  <c r="I94" i="1"/>
  <c r="H94" i="1"/>
  <c r="U94" i="1" s="1"/>
  <c r="D94" i="1"/>
  <c r="C94" i="1"/>
  <c r="T93" i="1"/>
  <c r="S93" i="1"/>
  <c r="R93" i="1"/>
  <c r="Q93" i="1"/>
  <c r="P93" i="1"/>
  <c r="O93" i="1"/>
  <c r="M93" i="1"/>
  <c r="L93" i="1"/>
  <c r="K93" i="1"/>
  <c r="J93" i="1"/>
  <c r="I93" i="1"/>
  <c r="H93" i="1"/>
  <c r="U93" i="1" s="1"/>
  <c r="D93" i="1"/>
  <c r="C93" i="1" s="1"/>
  <c r="T92" i="1"/>
  <c r="S92" i="1"/>
  <c r="R92" i="1"/>
  <c r="Q92" i="1"/>
  <c r="P92" i="1"/>
  <c r="O92" i="1"/>
  <c r="M92" i="1"/>
  <c r="L92" i="1"/>
  <c r="K92" i="1"/>
  <c r="J92" i="1"/>
  <c r="I92" i="1"/>
  <c r="H92" i="1"/>
  <c r="U92" i="1" s="1"/>
  <c r="D92" i="1"/>
  <c r="C92" i="1"/>
  <c r="T91" i="1"/>
  <c r="S91" i="1"/>
  <c r="R91" i="1"/>
  <c r="Q91" i="1"/>
  <c r="P91" i="1"/>
  <c r="O91" i="1"/>
  <c r="M91" i="1"/>
  <c r="L91" i="1"/>
  <c r="K91" i="1"/>
  <c r="J91" i="1"/>
  <c r="I91" i="1"/>
  <c r="H91" i="1"/>
  <c r="U91" i="1" s="1"/>
  <c r="D91" i="1"/>
  <c r="C91" i="1"/>
  <c r="T90" i="1"/>
  <c r="S90" i="1"/>
  <c r="R90" i="1"/>
  <c r="Q90" i="1"/>
  <c r="P90" i="1"/>
  <c r="O90" i="1"/>
  <c r="M90" i="1"/>
  <c r="L90" i="1"/>
  <c r="K90" i="1"/>
  <c r="J90" i="1"/>
  <c r="I90" i="1"/>
  <c r="H90" i="1"/>
  <c r="U90" i="1" s="1"/>
  <c r="D90" i="1"/>
  <c r="C90" i="1"/>
  <c r="U89" i="1"/>
  <c r="T89" i="1"/>
  <c r="S89" i="1"/>
  <c r="R89" i="1"/>
  <c r="Q89" i="1"/>
  <c r="P89" i="1"/>
  <c r="O89" i="1"/>
  <c r="M89" i="1"/>
  <c r="L89" i="1"/>
  <c r="K89" i="1"/>
  <c r="J89" i="1"/>
  <c r="I89" i="1"/>
  <c r="H89" i="1"/>
  <c r="D89" i="1"/>
  <c r="C89" i="1" s="1"/>
  <c r="U88" i="1"/>
  <c r="T88" i="1"/>
  <c r="S88" i="1"/>
  <c r="R88" i="1"/>
  <c r="Q88" i="1"/>
  <c r="P88" i="1"/>
  <c r="O88" i="1"/>
  <c r="M88" i="1"/>
  <c r="L88" i="1"/>
  <c r="K88" i="1"/>
  <c r="J88" i="1"/>
  <c r="I88" i="1"/>
  <c r="H88" i="1"/>
  <c r="D88" i="1"/>
  <c r="C88" i="1"/>
  <c r="U87" i="1"/>
  <c r="T87" i="1"/>
  <c r="S87" i="1"/>
  <c r="R87" i="1"/>
  <c r="Q87" i="1"/>
  <c r="P87" i="1"/>
  <c r="O87" i="1"/>
  <c r="M87" i="1"/>
  <c r="L87" i="1"/>
  <c r="K87" i="1"/>
  <c r="J87" i="1"/>
  <c r="I87" i="1"/>
  <c r="H87" i="1"/>
  <c r="D87" i="1"/>
  <c r="C87" i="1"/>
  <c r="U86" i="1"/>
  <c r="T86" i="1"/>
  <c r="S86" i="1"/>
  <c r="R86" i="1"/>
  <c r="Q86" i="1"/>
  <c r="P86" i="1"/>
  <c r="O86" i="1"/>
  <c r="M86" i="1"/>
  <c r="L86" i="1"/>
  <c r="K86" i="1"/>
  <c r="J86" i="1"/>
  <c r="I86" i="1"/>
  <c r="H86" i="1"/>
  <c r="D86" i="1"/>
  <c r="C86" i="1"/>
  <c r="U85" i="1"/>
  <c r="T85" i="1"/>
  <c r="S85" i="1"/>
  <c r="R85" i="1"/>
  <c r="Q85" i="1"/>
  <c r="P85" i="1"/>
  <c r="O85" i="1"/>
  <c r="M85" i="1"/>
  <c r="L85" i="1"/>
  <c r="K85" i="1"/>
  <c r="J85" i="1"/>
  <c r="I85" i="1"/>
  <c r="H85" i="1"/>
  <c r="D85" i="1"/>
  <c r="C85" i="1" s="1"/>
  <c r="U84" i="1"/>
  <c r="T84" i="1"/>
  <c r="S84" i="1"/>
  <c r="R84" i="1"/>
  <c r="Q84" i="1"/>
  <c r="P84" i="1"/>
  <c r="O84" i="1"/>
  <c r="M84" i="1"/>
  <c r="L84" i="1"/>
  <c r="K84" i="1"/>
  <c r="J84" i="1"/>
  <c r="I84" i="1"/>
  <c r="H84" i="1"/>
  <c r="D84" i="1"/>
  <c r="C84" i="1"/>
  <c r="U83" i="1"/>
  <c r="T83" i="1"/>
  <c r="S83" i="1"/>
  <c r="R83" i="1"/>
  <c r="Q83" i="1"/>
  <c r="P83" i="1"/>
  <c r="O83" i="1"/>
  <c r="M83" i="1"/>
  <c r="L83" i="1"/>
  <c r="K83" i="1"/>
  <c r="J83" i="1"/>
  <c r="I83" i="1"/>
  <c r="H83" i="1"/>
  <c r="D83" i="1"/>
  <c r="C83" i="1"/>
  <c r="U82" i="1"/>
  <c r="T82" i="1"/>
  <c r="S82" i="1"/>
  <c r="R82" i="1"/>
  <c r="Q82" i="1"/>
  <c r="P82" i="1"/>
  <c r="O82" i="1"/>
  <c r="M82" i="1"/>
  <c r="L82" i="1"/>
  <c r="K82" i="1"/>
  <c r="J82" i="1"/>
  <c r="I82" i="1"/>
  <c r="H82" i="1"/>
  <c r="D82" i="1"/>
  <c r="C82" i="1"/>
  <c r="U81" i="1"/>
  <c r="T81" i="1"/>
  <c r="S81" i="1"/>
  <c r="R81" i="1"/>
  <c r="Q81" i="1"/>
  <c r="P81" i="1"/>
  <c r="O81" i="1"/>
  <c r="M81" i="1"/>
  <c r="L81" i="1"/>
  <c r="K81" i="1"/>
  <c r="J81" i="1"/>
  <c r="I81" i="1"/>
  <c r="H81" i="1"/>
  <c r="D81" i="1"/>
  <c r="C81" i="1" s="1"/>
  <c r="T80" i="1"/>
  <c r="S80" i="1"/>
  <c r="R80" i="1"/>
  <c r="Q80" i="1"/>
  <c r="P80" i="1"/>
  <c r="O80" i="1"/>
  <c r="M80" i="1"/>
  <c r="L80" i="1"/>
  <c r="K80" i="1"/>
  <c r="J80" i="1"/>
  <c r="I80" i="1"/>
  <c r="H80" i="1"/>
  <c r="U80" i="1" s="1"/>
  <c r="D80" i="1"/>
  <c r="C80" i="1"/>
  <c r="T79" i="1"/>
  <c r="S79" i="1"/>
  <c r="R79" i="1"/>
  <c r="Q79" i="1"/>
  <c r="P79" i="1"/>
  <c r="O79" i="1"/>
  <c r="M79" i="1"/>
  <c r="L79" i="1"/>
  <c r="K79" i="1"/>
  <c r="J79" i="1"/>
  <c r="I79" i="1"/>
  <c r="H79" i="1"/>
  <c r="U79" i="1" s="1"/>
  <c r="D79" i="1"/>
  <c r="C79" i="1"/>
  <c r="U78" i="1"/>
  <c r="D78" i="1"/>
  <c r="C78" i="1"/>
  <c r="T77" i="1"/>
  <c r="S77" i="1"/>
  <c r="R77" i="1"/>
  <c r="Q77" i="1"/>
  <c r="P77" i="1"/>
  <c r="O77" i="1"/>
  <c r="M77" i="1"/>
  <c r="L77" i="1"/>
  <c r="K77" i="1"/>
  <c r="J77" i="1"/>
  <c r="I77" i="1"/>
  <c r="H77" i="1"/>
  <c r="U77" i="1" s="1"/>
  <c r="D77" i="1"/>
  <c r="C77" i="1" s="1"/>
  <c r="T76" i="1"/>
  <c r="S76" i="1"/>
  <c r="R76" i="1"/>
  <c r="Q76" i="1"/>
  <c r="P76" i="1"/>
  <c r="O76" i="1"/>
  <c r="M76" i="1"/>
  <c r="L76" i="1"/>
  <c r="K76" i="1"/>
  <c r="J76" i="1"/>
  <c r="I76" i="1"/>
  <c r="H76" i="1"/>
  <c r="U76" i="1" s="1"/>
  <c r="D76" i="1"/>
  <c r="C76" i="1"/>
  <c r="T75" i="1"/>
  <c r="S75" i="1"/>
  <c r="R75" i="1"/>
  <c r="Q75" i="1"/>
  <c r="P75" i="1"/>
  <c r="O75" i="1"/>
  <c r="M75" i="1"/>
  <c r="L75" i="1"/>
  <c r="K75" i="1"/>
  <c r="J75" i="1"/>
  <c r="I75" i="1"/>
  <c r="H75" i="1"/>
  <c r="U75" i="1" s="1"/>
  <c r="D75" i="1"/>
  <c r="C75" i="1"/>
  <c r="U74" i="1"/>
  <c r="D74" i="1"/>
  <c r="C74" i="1"/>
  <c r="T73" i="1"/>
  <c r="S73" i="1"/>
  <c r="R73" i="1"/>
  <c r="Q73" i="1"/>
  <c r="P73" i="1"/>
  <c r="O73" i="1"/>
  <c r="M73" i="1"/>
  <c r="L73" i="1"/>
  <c r="K73" i="1"/>
  <c r="J73" i="1"/>
  <c r="I73" i="1"/>
  <c r="H73" i="1"/>
  <c r="U73" i="1" s="1"/>
  <c r="D73" i="1"/>
  <c r="C73" i="1" s="1"/>
  <c r="T72" i="1"/>
  <c r="S72" i="1"/>
  <c r="R72" i="1"/>
  <c r="Q72" i="1"/>
  <c r="P72" i="1"/>
  <c r="O72" i="1"/>
  <c r="M72" i="1"/>
  <c r="L72" i="1"/>
  <c r="K72" i="1"/>
  <c r="J72" i="1"/>
  <c r="I72" i="1"/>
  <c r="H72" i="1"/>
  <c r="U72" i="1" s="1"/>
  <c r="D72" i="1"/>
  <c r="C72" i="1"/>
  <c r="T71" i="1"/>
  <c r="S71" i="1"/>
  <c r="R71" i="1"/>
  <c r="Q71" i="1"/>
  <c r="P71" i="1"/>
  <c r="O71" i="1"/>
  <c r="M71" i="1"/>
  <c r="L71" i="1"/>
  <c r="K71" i="1"/>
  <c r="J71" i="1"/>
  <c r="I71" i="1"/>
  <c r="H71" i="1"/>
  <c r="U71" i="1" s="1"/>
  <c r="D71" i="1"/>
  <c r="C71" i="1"/>
  <c r="T70" i="1"/>
  <c r="S70" i="1"/>
  <c r="R70" i="1"/>
  <c r="Q70" i="1"/>
  <c r="P70" i="1"/>
  <c r="O70" i="1"/>
  <c r="M70" i="1"/>
  <c r="L70" i="1"/>
  <c r="K70" i="1"/>
  <c r="J70" i="1"/>
  <c r="I70" i="1"/>
  <c r="H70" i="1"/>
  <c r="U70" i="1" s="1"/>
  <c r="D70" i="1"/>
  <c r="C70" i="1"/>
  <c r="T69" i="1"/>
  <c r="S69" i="1"/>
  <c r="R69" i="1"/>
  <c r="Q69" i="1"/>
  <c r="P69" i="1"/>
  <c r="O69" i="1"/>
  <c r="M69" i="1"/>
  <c r="L69" i="1"/>
  <c r="K69" i="1"/>
  <c r="J69" i="1"/>
  <c r="I69" i="1"/>
  <c r="H69" i="1"/>
  <c r="U69" i="1" s="1"/>
  <c r="D69" i="1"/>
  <c r="C69" i="1" s="1"/>
  <c r="T68" i="1"/>
  <c r="S68" i="1"/>
  <c r="R68" i="1"/>
  <c r="Q68" i="1"/>
  <c r="P68" i="1"/>
  <c r="O68" i="1"/>
  <c r="M68" i="1"/>
  <c r="L68" i="1"/>
  <c r="K68" i="1"/>
  <c r="J68" i="1"/>
  <c r="I68" i="1"/>
  <c r="H68" i="1"/>
  <c r="U68" i="1" s="1"/>
  <c r="D68" i="1"/>
  <c r="C68" i="1"/>
  <c r="T67" i="1"/>
  <c r="S67" i="1"/>
  <c r="R67" i="1"/>
  <c r="Q67" i="1"/>
  <c r="P67" i="1"/>
  <c r="O67" i="1"/>
  <c r="M67" i="1"/>
  <c r="L67" i="1"/>
  <c r="K67" i="1"/>
  <c r="J67" i="1"/>
  <c r="I67" i="1"/>
  <c r="H67" i="1"/>
  <c r="U67" i="1" s="1"/>
  <c r="D67" i="1"/>
  <c r="C67" i="1"/>
  <c r="T66" i="1"/>
  <c r="S66" i="1"/>
  <c r="R66" i="1"/>
  <c r="Q66" i="1"/>
  <c r="P66" i="1"/>
  <c r="O66" i="1"/>
  <c r="M66" i="1"/>
  <c r="L66" i="1"/>
  <c r="K66" i="1"/>
  <c r="J66" i="1"/>
  <c r="I66" i="1"/>
  <c r="H66" i="1"/>
  <c r="U66" i="1" s="1"/>
  <c r="D66" i="1"/>
  <c r="C66" i="1"/>
  <c r="T65" i="1"/>
  <c r="S65" i="1"/>
  <c r="R65" i="1"/>
  <c r="Q65" i="1"/>
  <c r="P65" i="1"/>
  <c r="O65" i="1"/>
  <c r="M65" i="1"/>
  <c r="L65" i="1"/>
  <c r="K65" i="1"/>
  <c r="J65" i="1"/>
  <c r="I65" i="1"/>
  <c r="H65" i="1"/>
  <c r="U65" i="1" s="1"/>
  <c r="D65" i="1"/>
  <c r="C65" i="1" s="1"/>
  <c r="T64" i="1"/>
  <c r="S64" i="1"/>
  <c r="R64" i="1"/>
  <c r="Q64" i="1"/>
  <c r="P64" i="1"/>
  <c r="O64" i="1"/>
  <c r="M64" i="1"/>
  <c r="L64" i="1"/>
  <c r="K64" i="1"/>
  <c r="J64" i="1"/>
  <c r="I64" i="1"/>
  <c r="H64" i="1"/>
  <c r="U64" i="1" s="1"/>
  <c r="D64" i="1"/>
  <c r="C64" i="1"/>
  <c r="T63" i="1"/>
  <c r="S63" i="1"/>
  <c r="R63" i="1"/>
  <c r="Q63" i="1"/>
  <c r="P63" i="1"/>
  <c r="O63" i="1"/>
  <c r="M63" i="1"/>
  <c r="L63" i="1"/>
  <c r="K63" i="1"/>
  <c r="J63" i="1"/>
  <c r="I63" i="1"/>
  <c r="H63" i="1"/>
  <c r="U63" i="1" s="1"/>
  <c r="D63" i="1"/>
  <c r="C63" i="1"/>
  <c r="T62" i="1"/>
  <c r="S62" i="1"/>
  <c r="R62" i="1"/>
  <c r="Q62" i="1"/>
  <c r="P62" i="1"/>
  <c r="O62" i="1"/>
  <c r="M62" i="1"/>
  <c r="L62" i="1"/>
  <c r="K62" i="1"/>
  <c r="J62" i="1"/>
  <c r="I62" i="1"/>
  <c r="H62" i="1"/>
  <c r="U62" i="1" s="1"/>
  <c r="D62" i="1"/>
  <c r="C62" i="1"/>
  <c r="T61" i="1"/>
  <c r="S61" i="1"/>
  <c r="R61" i="1"/>
  <c r="Q61" i="1"/>
  <c r="P61" i="1"/>
  <c r="O61" i="1"/>
  <c r="M61" i="1"/>
  <c r="L61" i="1"/>
  <c r="K61" i="1"/>
  <c r="J61" i="1"/>
  <c r="I61" i="1"/>
  <c r="H61" i="1"/>
  <c r="U61" i="1" s="1"/>
  <c r="D61" i="1"/>
  <c r="C61" i="1" s="1"/>
  <c r="U60" i="1"/>
  <c r="T60" i="1"/>
  <c r="S60" i="1"/>
  <c r="R60" i="1"/>
  <c r="Q60" i="1"/>
  <c r="P60" i="1"/>
  <c r="O60" i="1"/>
  <c r="M60" i="1"/>
  <c r="L60" i="1"/>
  <c r="K60" i="1"/>
  <c r="J60" i="1"/>
  <c r="I60" i="1"/>
  <c r="H60" i="1"/>
  <c r="D60" i="1"/>
  <c r="C60" i="1"/>
  <c r="T59" i="1"/>
  <c r="S59" i="1"/>
  <c r="R59" i="1"/>
  <c r="Q59" i="1"/>
  <c r="P59" i="1"/>
  <c r="O59" i="1"/>
  <c r="M59" i="1"/>
  <c r="L59" i="1"/>
  <c r="K59" i="1"/>
  <c r="J59" i="1"/>
  <c r="I59" i="1"/>
  <c r="H59" i="1"/>
  <c r="U59" i="1" s="1"/>
  <c r="D59" i="1"/>
  <c r="C59" i="1"/>
  <c r="T58" i="1"/>
  <c r="S58" i="1"/>
  <c r="R58" i="1"/>
  <c r="Q58" i="1"/>
  <c r="P58" i="1"/>
  <c r="O58" i="1"/>
  <c r="M58" i="1"/>
  <c r="L58" i="1"/>
  <c r="K58" i="1"/>
  <c r="J58" i="1"/>
  <c r="I58" i="1"/>
  <c r="H58" i="1"/>
  <c r="U58" i="1" s="1"/>
  <c r="D58" i="1"/>
  <c r="C58" i="1"/>
  <c r="T57" i="1"/>
  <c r="S57" i="1"/>
  <c r="R57" i="1"/>
  <c r="Q57" i="1"/>
  <c r="P57" i="1"/>
  <c r="O57" i="1"/>
  <c r="M57" i="1"/>
  <c r="L57" i="1"/>
  <c r="K57" i="1"/>
  <c r="J57" i="1"/>
  <c r="I57" i="1"/>
  <c r="H57" i="1"/>
  <c r="U57" i="1" s="1"/>
  <c r="D57" i="1"/>
  <c r="C57" i="1" s="1"/>
  <c r="T56" i="1"/>
  <c r="S56" i="1"/>
  <c r="R56" i="1"/>
  <c r="Q56" i="1"/>
  <c r="P56" i="1"/>
  <c r="O56" i="1"/>
  <c r="M56" i="1"/>
  <c r="L56" i="1"/>
  <c r="K56" i="1"/>
  <c r="J56" i="1"/>
  <c r="I56" i="1"/>
  <c r="H56" i="1"/>
  <c r="U56" i="1" s="1"/>
  <c r="D56" i="1"/>
  <c r="C56" i="1"/>
  <c r="T55" i="1"/>
  <c r="S55" i="1"/>
  <c r="R55" i="1"/>
  <c r="Q55" i="1"/>
  <c r="P55" i="1"/>
  <c r="O55" i="1"/>
  <c r="M55" i="1"/>
  <c r="L55" i="1"/>
  <c r="K55" i="1"/>
  <c r="J55" i="1"/>
  <c r="I55" i="1"/>
  <c r="H55" i="1"/>
  <c r="U55" i="1" s="1"/>
  <c r="D55" i="1"/>
  <c r="C55" i="1"/>
  <c r="U54" i="1"/>
  <c r="T54" i="1"/>
  <c r="S54" i="1"/>
  <c r="R54" i="1"/>
  <c r="Q54" i="1"/>
  <c r="P54" i="1"/>
  <c r="O54" i="1"/>
  <c r="M54" i="1"/>
  <c r="L54" i="1"/>
  <c r="K54" i="1"/>
  <c r="J54" i="1"/>
  <c r="I54" i="1"/>
  <c r="H54" i="1"/>
  <c r="D54" i="1"/>
  <c r="C54" i="1"/>
  <c r="U53" i="1"/>
  <c r="T53" i="1"/>
  <c r="S53" i="1"/>
  <c r="R53" i="1"/>
  <c r="Q53" i="1"/>
  <c r="P53" i="1"/>
  <c r="O53" i="1"/>
  <c r="M53" i="1"/>
  <c r="L53" i="1"/>
  <c r="K53" i="1"/>
  <c r="J53" i="1"/>
  <c r="I53" i="1"/>
  <c r="H53" i="1"/>
  <c r="D53" i="1"/>
  <c r="C53" i="1" s="1"/>
  <c r="U52" i="1"/>
  <c r="T52" i="1"/>
  <c r="S52" i="1"/>
  <c r="R52" i="1"/>
  <c r="Q52" i="1"/>
  <c r="P52" i="1"/>
  <c r="O52" i="1"/>
  <c r="M52" i="1"/>
  <c r="L52" i="1"/>
  <c r="K52" i="1"/>
  <c r="J52" i="1"/>
  <c r="I52" i="1"/>
  <c r="H52" i="1"/>
  <c r="D52" i="1"/>
  <c r="C52" i="1"/>
  <c r="U51" i="1"/>
  <c r="T51" i="1"/>
  <c r="S51" i="1"/>
  <c r="R51" i="1"/>
  <c r="Q51" i="1"/>
  <c r="P51" i="1"/>
  <c r="O51" i="1"/>
  <c r="M51" i="1"/>
  <c r="L51" i="1"/>
  <c r="K51" i="1"/>
  <c r="J51" i="1"/>
  <c r="I51" i="1"/>
  <c r="H51" i="1"/>
  <c r="D51" i="1"/>
  <c r="C51" i="1"/>
  <c r="U50" i="1"/>
  <c r="T50" i="1"/>
  <c r="S50" i="1"/>
  <c r="R50" i="1"/>
  <c r="Q50" i="1"/>
  <c r="P50" i="1"/>
  <c r="O50" i="1"/>
  <c r="M50" i="1"/>
  <c r="L50" i="1"/>
  <c r="K50" i="1"/>
  <c r="J50" i="1"/>
  <c r="I50" i="1"/>
  <c r="H50" i="1"/>
  <c r="D50" i="1"/>
  <c r="C50" i="1"/>
  <c r="U49" i="1"/>
  <c r="T49" i="1"/>
  <c r="S49" i="1"/>
  <c r="R49" i="1"/>
  <c r="Q49" i="1"/>
  <c r="P49" i="1"/>
  <c r="O49" i="1"/>
  <c r="M49" i="1"/>
  <c r="L49" i="1"/>
  <c r="K49" i="1"/>
  <c r="J49" i="1"/>
  <c r="I49" i="1"/>
  <c r="H49" i="1"/>
  <c r="D49" i="1"/>
  <c r="C49" i="1" s="1"/>
  <c r="T48" i="1"/>
  <c r="S48" i="1"/>
  <c r="R48" i="1"/>
  <c r="Q48" i="1"/>
  <c r="P48" i="1"/>
  <c r="O48" i="1"/>
  <c r="M48" i="1"/>
  <c r="L48" i="1"/>
  <c r="K48" i="1"/>
  <c r="J48" i="1"/>
  <c r="I48" i="1"/>
  <c r="H48" i="1"/>
  <c r="U48" i="1" s="1"/>
  <c r="D48" i="1"/>
  <c r="C48" i="1"/>
  <c r="T47" i="1"/>
  <c r="S47" i="1"/>
  <c r="R47" i="1"/>
  <c r="Q47" i="1"/>
  <c r="P47" i="1"/>
  <c r="O47" i="1"/>
  <c r="M47" i="1"/>
  <c r="L47" i="1"/>
  <c r="K47" i="1"/>
  <c r="J47" i="1"/>
  <c r="I47" i="1"/>
  <c r="H47" i="1"/>
  <c r="U47" i="1" s="1"/>
  <c r="D47" i="1"/>
  <c r="C47" i="1"/>
  <c r="T46" i="1"/>
  <c r="S46" i="1"/>
  <c r="R46" i="1"/>
  <c r="Q46" i="1"/>
  <c r="P46" i="1"/>
  <c r="O46" i="1"/>
  <c r="M46" i="1"/>
  <c r="L46" i="1"/>
  <c r="K46" i="1"/>
  <c r="J46" i="1"/>
  <c r="I46" i="1"/>
  <c r="H46" i="1"/>
  <c r="U46" i="1" s="1"/>
  <c r="D46" i="1"/>
  <c r="C46" i="1"/>
  <c r="T45" i="1"/>
  <c r="S45" i="1"/>
  <c r="R45" i="1"/>
  <c r="Q45" i="1"/>
  <c r="P45" i="1"/>
  <c r="O45" i="1"/>
  <c r="M45" i="1"/>
  <c r="L45" i="1"/>
  <c r="K45" i="1"/>
  <c r="J45" i="1"/>
  <c r="I45" i="1"/>
  <c r="H45" i="1"/>
  <c r="U45" i="1" s="1"/>
  <c r="D45" i="1"/>
  <c r="C45" i="1" s="1"/>
  <c r="T44" i="1"/>
  <c r="S44" i="1"/>
  <c r="R44" i="1"/>
  <c r="Q44" i="1"/>
  <c r="P44" i="1"/>
  <c r="O44" i="1"/>
  <c r="M44" i="1"/>
  <c r="L44" i="1"/>
  <c r="K44" i="1"/>
  <c r="J44" i="1"/>
  <c r="I44" i="1"/>
  <c r="H44" i="1"/>
  <c r="U44" i="1" s="1"/>
  <c r="D44" i="1"/>
  <c r="C44" i="1"/>
  <c r="T43" i="1"/>
  <c r="S43" i="1"/>
  <c r="R43" i="1"/>
  <c r="Q43" i="1"/>
  <c r="P43" i="1"/>
  <c r="O43" i="1"/>
  <c r="M43" i="1"/>
  <c r="L43" i="1"/>
  <c r="K43" i="1"/>
  <c r="J43" i="1"/>
  <c r="I43" i="1"/>
  <c r="H43" i="1"/>
  <c r="U43" i="1" s="1"/>
  <c r="D43" i="1"/>
  <c r="C43" i="1"/>
  <c r="T42" i="1"/>
  <c r="S42" i="1"/>
  <c r="R42" i="1"/>
  <c r="Q42" i="1"/>
  <c r="P42" i="1"/>
  <c r="O42" i="1"/>
  <c r="M42" i="1"/>
  <c r="L42" i="1"/>
  <c r="K42" i="1"/>
  <c r="J42" i="1"/>
  <c r="I42" i="1"/>
  <c r="H42" i="1"/>
  <c r="U42" i="1" s="1"/>
  <c r="D42" i="1"/>
  <c r="C42" i="1"/>
  <c r="T41" i="1"/>
  <c r="S41" i="1"/>
  <c r="R41" i="1"/>
  <c r="Q41" i="1"/>
  <c r="P41" i="1"/>
  <c r="O41" i="1"/>
  <c r="M41" i="1"/>
  <c r="L41" i="1"/>
  <c r="K41" i="1"/>
  <c r="J41" i="1"/>
  <c r="I41" i="1"/>
  <c r="H41" i="1"/>
  <c r="U41" i="1" s="1"/>
  <c r="D41" i="1"/>
  <c r="C41" i="1" s="1"/>
  <c r="U40" i="1"/>
  <c r="T40" i="1"/>
  <c r="S40" i="1"/>
  <c r="R40" i="1"/>
  <c r="Q40" i="1"/>
  <c r="P40" i="1"/>
  <c r="O40" i="1"/>
  <c r="M40" i="1"/>
  <c r="L40" i="1"/>
  <c r="K40" i="1"/>
  <c r="J40" i="1"/>
  <c r="I40" i="1"/>
  <c r="H40" i="1"/>
  <c r="D40" i="1"/>
  <c r="C40" i="1"/>
  <c r="T39" i="1"/>
  <c r="S39" i="1"/>
  <c r="R39" i="1"/>
  <c r="Q39" i="1"/>
  <c r="P39" i="1"/>
  <c r="O39" i="1"/>
  <c r="M39" i="1"/>
  <c r="L39" i="1"/>
  <c r="K39" i="1"/>
  <c r="J39" i="1"/>
  <c r="I39" i="1"/>
  <c r="H39" i="1"/>
  <c r="U39" i="1" s="1"/>
  <c r="D39" i="1"/>
  <c r="C39" i="1"/>
  <c r="T38" i="1"/>
  <c r="S38" i="1"/>
  <c r="R38" i="1"/>
  <c r="Q38" i="1"/>
  <c r="P38" i="1"/>
  <c r="O38" i="1"/>
  <c r="M38" i="1"/>
  <c r="L38" i="1"/>
  <c r="K38" i="1"/>
  <c r="J38" i="1"/>
  <c r="I38" i="1"/>
  <c r="H38" i="1"/>
  <c r="U38" i="1" s="1"/>
  <c r="D38" i="1"/>
  <c r="C38" i="1"/>
  <c r="T37" i="1"/>
  <c r="S37" i="1"/>
  <c r="R37" i="1"/>
  <c r="Q37" i="1"/>
  <c r="P37" i="1"/>
  <c r="O37" i="1"/>
  <c r="M37" i="1"/>
  <c r="L37" i="1"/>
  <c r="K37" i="1"/>
  <c r="J37" i="1"/>
  <c r="I37" i="1"/>
  <c r="H37" i="1"/>
  <c r="U37" i="1" s="1"/>
  <c r="D37" i="1"/>
  <c r="C37" i="1" s="1"/>
  <c r="T36" i="1"/>
  <c r="S36" i="1"/>
  <c r="R36" i="1"/>
  <c r="Q36" i="1"/>
  <c r="P36" i="1"/>
  <c r="O36" i="1"/>
  <c r="M36" i="1"/>
  <c r="L36" i="1"/>
  <c r="K36" i="1"/>
  <c r="J36" i="1"/>
  <c r="I36" i="1"/>
  <c r="H36" i="1"/>
  <c r="U36" i="1" s="1"/>
  <c r="D36" i="1"/>
  <c r="C36" i="1"/>
  <c r="T35" i="1"/>
  <c r="S35" i="1"/>
  <c r="R35" i="1"/>
  <c r="Q35" i="1"/>
  <c r="P35" i="1"/>
  <c r="O35" i="1"/>
  <c r="M35" i="1"/>
  <c r="L35" i="1"/>
  <c r="K35" i="1"/>
  <c r="J35" i="1"/>
  <c r="I35" i="1"/>
  <c r="H35" i="1"/>
  <c r="U35" i="1" s="1"/>
  <c r="D35" i="1"/>
  <c r="C35" i="1"/>
  <c r="T34" i="1"/>
  <c r="S34" i="1"/>
  <c r="R34" i="1"/>
  <c r="Q34" i="1"/>
  <c r="P34" i="1"/>
  <c r="O34" i="1"/>
  <c r="M34" i="1"/>
  <c r="L34" i="1"/>
  <c r="K34" i="1"/>
  <c r="J34" i="1"/>
  <c r="I34" i="1"/>
  <c r="H34" i="1"/>
  <c r="U34" i="1" s="1"/>
  <c r="D34" i="1"/>
  <c r="C34" i="1"/>
  <c r="T33" i="1"/>
  <c r="S33" i="1"/>
  <c r="R33" i="1"/>
  <c r="Q33" i="1"/>
  <c r="P33" i="1"/>
  <c r="O33" i="1"/>
  <c r="M33" i="1"/>
  <c r="L33" i="1"/>
  <c r="K33" i="1"/>
  <c r="J33" i="1"/>
  <c r="I33" i="1"/>
  <c r="H33" i="1"/>
  <c r="U33" i="1" s="1"/>
  <c r="D33" i="1"/>
  <c r="C33" i="1" s="1"/>
  <c r="T32" i="1"/>
  <c r="S32" i="1"/>
  <c r="R32" i="1"/>
  <c r="Q32" i="1"/>
  <c r="P32" i="1"/>
  <c r="O32" i="1"/>
  <c r="M32" i="1"/>
  <c r="L32" i="1"/>
  <c r="K32" i="1"/>
  <c r="J32" i="1"/>
  <c r="I32" i="1"/>
  <c r="H32" i="1"/>
  <c r="U32" i="1" s="1"/>
  <c r="D32" i="1"/>
  <c r="C32" i="1"/>
  <c r="T31" i="1"/>
  <c r="S31" i="1"/>
  <c r="R31" i="1"/>
  <c r="Q31" i="1"/>
  <c r="P31" i="1"/>
  <c r="O31" i="1"/>
  <c r="M31" i="1"/>
  <c r="L31" i="1"/>
  <c r="K31" i="1"/>
  <c r="J31" i="1"/>
  <c r="I31" i="1"/>
  <c r="H31" i="1"/>
  <c r="U31" i="1" s="1"/>
  <c r="D31" i="1"/>
  <c r="C31" i="1"/>
  <c r="U30" i="1"/>
  <c r="T30" i="1"/>
  <c r="S30" i="1"/>
  <c r="R30" i="1"/>
  <c r="Q30" i="1"/>
  <c r="P30" i="1"/>
  <c r="O30" i="1"/>
  <c r="M30" i="1"/>
  <c r="L30" i="1"/>
  <c r="K30" i="1"/>
  <c r="J30" i="1"/>
  <c r="I30" i="1"/>
  <c r="H30" i="1"/>
  <c r="D30" i="1"/>
  <c r="C30" i="1"/>
  <c r="U29" i="1"/>
  <c r="T29" i="1"/>
  <c r="S29" i="1"/>
  <c r="R29" i="1"/>
  <c r="Q29" i="1"/>
  <c r="P29" i="1"/>
  <c r="O29" i="1"/>
  <c r="M29" i="1"/>
  <c r="L29" i="1"/>
  <c r="K29" i="1"/>
  <c r="J29" i="1"/>
  <c r="I29" i="1"/>
  <c r="H29" i="1"/>
  <c r="D29" i="1"/>
  <c r="C29" i="1" s="1"/>
  <c r="T28" i="1"/>
  <c r="S28" i="1"/>
  <c r="R28" i="1"/>
  <c r="Q28" i="1"/>
  <c r="P28" i="1"/>
  <c r="O28" i="1"/>
  <c r="M28" i="1"/>
  <c r="L28" i="1"/>
  <c r="K28" i="1"/>
  <c r="J28" i="1"/>
  <c r="I28" i="1"/>
  <c r="H28" i="1"/>
  <c r="U28" i="1" s="1"/>
  <c r="D28" i="1"/>
  <c r="C28" i="1"/>
  <c r="T27" i="1"/>
  <c r="S27" i="1"/>
  <c r="R27" i="1"/>
  <c r="Q27" i="1"/>
  <c r="P27" i="1"/>
  <c r="O27" i="1"/>
  <c r="M27" i="1"/>
  <c r="L27" i="1"/>
  <c r="K27" i="1"/>
  <c r="J27" i="1"/>
  <c r="I27" i="1"/>
  <c r="H27" i="1"/>
  <c r="U27" i="1" s="1"/>
  <c r="D27" i="1"/>
  <c r="C27" i="1"/>
  <c r="T26" i="1"/>
  <c r="S26" i="1"/>
  <c r="R26" i="1"/>
  <c r="Q26" i="1"/>
  <c r="P26" i="1"/>
  <c r="O26" i="1"/>
  <c r="M26" i="1"/>
  <c r="L26" i="1"/>
  <c r="K26" i="1"/>
  <c r="J26" i="1"/>
  <c r="I26" i="1"/>
  <c r="H26" i="1"/>
  <c r="U26" i="1" s="1"/>
  <c r="D26" i="1"/>
  <c r="C26" i="1"/>
  <c r="T25" i="1"/>
  <c r="S25" i="1"/>
  <c r="R25" i="1"/>
  <c r="Q25" i="1"/>
  <c r="P25" i="1"/>
  <c r="O25" i="1"/>
  <c r="M25" i="1"/>
  <c r="L25" i="1"/>
  <c r="K25" i="1"/>
  <c r="J25" i="1"/>
  <c r="I25" i="1"/>
  <c r="H25" i="1"/>
  <c r="U25" i="1" s="1"/>
  <c r="D25" i="1"/>
  <c r="C25" i="1" s="1"/>
  <c r="T24" i="1"/>
  <c r="S24" i="1"/>
  <c r="R24" i="1"/>
  <c r="Q24" i="1"/>
  <c r="P24" i="1"/>
  <c r="O24" i="1"/>
  <c r="M24" i="1"/>
  <c r="L24" i="1"/>
  <c r="K24" i="1"/>
  <c r="J24" i="1"/>
  <c r="I24" i="1"/>
  <c r="H24" i="1"/>
  <c r="U24" i="1" s="1"/>
  <c r="D24" i="1"/>
  <c r="C24" i="1"/>
  <c r="T23" i="1"/>
  <c r="S23" i="1"/>
  <c r="R23" i="1"/>
  <c r="Q23" i="1"/>
  <c r="P23" i="1"/>
  <c r="O23" i="1"/>
  <c r="M23" i="1"/>
  <c r="L23" i="1"/>
  <c r="K23" i="1"/>
  <c r="J23" i="1"/>
  <c r="I23" i="1"/>
  <c r="H23" i="1"/>
  <c r="U23" i="1" s="1"/>
  <c r="D23" i="1"/>
  <c r="C23" i="1"/>
  <c r="T22" i="1"/>
  <c r="S22" i="1"/>
  <c r="R22" i="1"/>
  <c r="Q22" i="1"/>
  <c r="P22" i="1"/>
  <c r="O22" i="1"/>
  <c r="M22" i="1"/>
  <c r="L22" i="1"/>
  <c r="K22" i="1"/>
  <c r="J22" i="1"/>
  <c r="I22" i="1"/>
  <c r="H22" i="1"/>
  <c r="U22" i="1" s="1"/>
  <c r="D22" i="1"/>
  <c r="C22" i="1"/>
  <c r="T21" i="1"/>
  <c r="S21" i="1"/>
  <c r="R21" i="1"/>
  <c r="Q21" i="1"/>
  <c r="P21" i="1"/>
  <c r="O21" i="1"/>
  <c r="M21" i="1"/>
  <c r="L21" i="1"/>
  <c r="K21" i="1"/>
  <c r="J21" i="1"/>
  <c r="I21" i="1"/>
  <c r="H21" i="1"/>
  <c r="U21" i="1" s="1"/>
  <c r="D21" i="1"/>
  <c r="C21" i="1" s="1"/>
  <c r="T20" i="1"/>
  <c r="S20" i="1"/>
  <c r="R20" i="1"/>
  <c r="Q20" i="1"/>
  <c r="P20" i="1"/>
  <c r="O20" i="1"/>
  <c r="M20" i="1"/>
  <c r="L20" i="1"/>
  <c r="K20" i="1"/>
  <c r="J20" i="1"/>
  <c r="I20" i="1"/>
  <c r="H20" i="1"/>
  <c r="U20" i="1" s="1"/>
  <c r="D20" i="1"/>
  <c r="C20" i="1"/>
  <c r="T19" i="1"/>
  <c r="S19" i="1"/>
  <c r="R19" i="1"/>
  <c r="Q19" i="1"/>
  <c r="P19" i="1"/>
  <c r="O19" i="1"/>
  <c r="M19" i="1"/>
  <c r="L19" i="1"/>
  <c r="K19" i="1"/>
  <c r="J19" i="1"/>
  <c r="I19" i="1"/>
  <c r="H19" i="1"/>
  <c r="U19" i="1" s="1"/>
  <c r="D19" i="1"/>
  <c r="C19" i="1"/>
  <c r="T18" i="1"/>
  <c r="S18" i="1"/>
  <c r="R18" i="1"/>
  <c r="Q18" i="1"/>
  <c r="P18" i="1"/>
  <c r="O18" i="1"/>
  <c r="M18" i="1"/>
  <c r="L18" i="1"/>
  <c r="K18" i="1"/>
  <c r="J18" i="1"/>
  <c r="I18" i="1"/>
  <c r="H18" i="1"/>
  <c r="U18" i="1" s="1"/>
  <c r="D18" i="1"/>
  <c r="C18" i="1"/>
  <c r="T17" i="1"/>
  <c r="S17" i="1"/>
  <c r="R17" i="1"/>
  <c r="Q17" i="1"/>
  <c r="P17" i="1"/>
  <c r="O17" i="1"/>
  <c r="M17" i="1"/>
  <c r="L17" i="1"/>
  <c r="K17" i="1"/>
  <c r="J17" i="1"/>
  <c r="I17" i="1"/>
  <c r="H17" i="1"/>
  <c r="U17" i="1" s="1"/>
  <c r="D17" i="1"/>
  <c r="C17" i="1" s="1"/>
  <c r="T16" i="1"/>
  <c r="S16" i="1"/>
  <c r="R16" i="1"/>
  <c r="Q16" i="1"/>
  <c r="P16" i="1"/>
  <c r="O16" i="1"/>
  <c r="M16" i="1"/>
  <c r="L16" i="1"/>
  <c r="K16" i="1"/>
  <c r="J16" i="1"/>
  <c r="I16" i="1"/>
  <c r="H16" i="1"/>
  <c r="U16" i="1" s="1"/>
  <c r="D16" i="1"/>
  <c r="C16" i="1"/>
  <c r="T15" i="1"/>
  <c r="S15" i="1"/>
  <c r="R15" i="1"/>
  <c r="Q15" i="1"/>
  <c r="P15" i="1"/>
  <c r="O15" i="1"/>
  <c r="M15" i="1"/>
  <c r="L15" i="1"/>
  <c r="K15" i="1"/>
  <c r="J15" i="1"/>
  <c r="I15" i="1"/>
  <c r="H15" i="1"/>
  <c r="U15" i="1" s="1"/>
  <c r="D15" i="1"/>
  <c r="C15" i="1"/>
  <c r="T14" i="1"/>
  <c r="S14" i="1"/>
  <c r="R14" i="1"/>
  <c r="Q14" i="1"/>
  <c r="P14" i="1"/>
  <c r="O14" i="1"/>
  <c r="M14" i="1"/>
  <c r="L14" i="1"/>
  <c r="K14" i="1"/>
  <c r="J14" i="1"/>
  <c r="I14" i="1"/>
  <c r="H14" i="1"/>
  <c r="U14" i="1" s="1"/>
  <c r="D14" i="1"/>
  <c r="C14" i="1"/>
  <c r="T13" i="1"/>
  <c r="S13" i="1"/>
  <c r="R13" i="1"/>
  <c r="Q13" i="1"/>
  <c r="P13" i="1"/>
  <c r="O13" i="1"/>
  <c r="M13" i="1"/>
  <c r="L13" i="1"/>
  <c r="K13" i="1"/>
  <c r="J13" i="1"/>
  <c r="I13" i="1"/>
  <c r="H13" i="1"/>
  <c r="U13" i="1" s="1"/>
  <c r="D13" i="1"/>
  <c r="C13" i="1" s="1"/>
  <c r="U12" i="1"/>
  <c r="T12" i="1"/>
  <c r="S12" i="1"/>
  <c r="R12" i="1"/>
  <c r="Q12" i="1"/>
  <c r="P12" i="1"/>
  <c r="O12" i="1"/>
  <c r="M12" i="1"/>
  <c r="L12" i="1"/>
  <c r="K12" i="1"/>
  <c r="J12" i="1"/>
  <c r="I12" i="1"/>
  <c r="H12" i="1"/>
  <c r="D12" i="1"/>
  <c r="C12" i="1"/>
  <c r="T11" i="1"/>
  <c r="S11" i="1"/>
  <c r="R11" i="1"/>
  <c r="Q11" i="1"/>
  <c r="P11" i="1"/>
  <c r="O11" i="1"/>
  <c r="M11" i="1"/>
  <c r="L11" i="1"/>
  <c r="K11" i="1"/>
  <c r="J11" i="1"/>
  <c r="I11" i="1"/>
  <c r="H11" i="1"/>
  <c r="U11" i="1" s="1"/>
  <c r="D11" i="1"/>
  <c r="C11" i="1"/>
  <c r="T10" i="1"/>
  <c r="S10" i="1"/>
  <c r="R10" i="1"/>
  <c r="Q10" i="1"/>
  <c r="P10" i="1"/>
  <c r="O10" i="1"/>
  <c r="M10" i="1"/>
  <c r="L10" i="1"/>
  <c r="K10" i="1"/>
  <c r="J10" i="1"/>
  <c r="I10" i="1"/>
  <c r="H10" i="1"/>
  <c r="U10" i="1" s="1"/>
  <c r="D10" i="1"/>
  <c r="C10" i="1"/>
  <c r="T9" i="1"/>
  <c r="S9" i="1"/>
  <c r="R9" i="1"/>
  <c r="Q9" i="1"/>
  <c r="P9" i="1"/>
  <c r="O9" i="1"/>
  <c r="M9" i="1"/>
  <c r="L9" i="1"/>
  <c r="K9" i="1"/>
  <c r="K4" i="1" s="1"/>
  <c r="J9" i="1"/>
  <c r="J4" i="1" s="1"/>
  <c r="I9" i="1"/>
  <c r="I4" i="1" s="1"/>
  <c r="H9" i="1"/>
  <c r="U9" i="1" s="1"/>
  <c r="D9" i="1"/>
  <c r="C9" i="1" s="1"/>
  <c r="T8" i="1"/>
  <c r="S8" i="1"/>
  <c r="R8" i="1"/>
  <c r="Q8" i="1"/>
  <c r="P8" i="1"/>
  <c r="O8" i="1"/>
  <c r="O4" i="1" s="1"/>
  <c r="M8" i="1"/>
  <c r="M4" i="1" s="1"/>
  <c r="L8" i="1"/>
  <c r="L4" i="1" s="1"/>
  <c r="K8" i="1"/>
  <c r="J8" i="1"/>
  <c r="I8" i="1"/>
  <c r="H8" i="1"/>
  <c r="U8" i="1" s="1"/>
  <c r="D8" i="1"/>
  <c r="C8" i="1"/>
  <c r="T7" i="1"/>
  <c r="S7" i="1"/>
  <c r="R7" i="1"/>
  <c r="R4" i="1" s="1"/>
  <c r="Q7" i="1"/>
  <c r="Q4" i="1" s="1"/>
  <c r="P7" i="1"/>
  <c r="P4" i="1" s="1"/>
  <c r="O7" i="1"/>
  <c r="M7" i="1"/>
  <c r="L7" i="1"/>
  <c r="K7" i="1"/>
  <c r="J7" i="1"/>
  <c r="I7" i="1"/>
  <c r="H7" i="1"/>
  <c r="U7" i="1" s="1"/>
  <c r="D7" i="1"/>
  <c r="C7" i="1"/>
  <c r="T4" i="1"/>
  <c r="S4" i="1"/>
  <c r="H4" i="1"/>
  <c r="G4" i="1"/>
  <c r="F4" i="1"/>
  <c r="E4" i="1"/>
  <c r="U4" i="1" l="1"/>
  <c r="S112" i="1"/>
  <c r="U112" i="1" s="1"/>
  <c r="U119" i="1"/>
</calcChain>
</file>

<file path=xl/sharedStrings.xml><?xml version="1.0" encoding="utf-8"?>
<sst xmlns="http://schemas.openxmlformats.org/spreadsheetml/2006/main" count="593" uniqueCount="158">
  <si>
    <t>Classification</t>
  </si>
  <si>
    <t>Standard</t>
  </si>
  <si>
    <t>GPT-5 Nano</t>
  </si>
  <si>
    <t>GPT-5 Mini</t>
  </si>
  <si>
    <t>Hoover te voorzien</t>
  </si>
  <si>
    <t>Extracted data</t>
  </si>
  <si>
    <t>Confirmation Lines</t>
  </si>
  <si>
    <t>Customer</t>
  </si>
  <si>
    <t>File Name</t>
  </si>
  <si>
    <t>Recognised doc type</t>
  </si>
  <si>
    <t># Missing fields</t>
  </si>
  <si>
    <t>PO nr</t>
  </si>
  <si>
    <t>Supplier Order Nr</t>
  </si>
  <si>
    <t>Order Date</t>
  </si>
  <si>
    <t>Supplier Name</t>
  </si>
  <si>
    <t>Customer name</t>
  </si>
  <si>
    <t>Currency</t>
  </si>
  <si>
    <t>Line nr</t>
  </si>
  <si>
    <t>Article Number</t>
  </si>
  <si>
    <t>Description</t>
  </si>
  <si>
    <t>Quantity</t>
  </si>
  <si>
    <t>UoM</t>
  </si>
  <si>
    <t>Unit Price</t>
  </si>
  <si>
    <t>Delivery Date</t>
  </si>
  <si>
    <t>Avg</t>
  </si>
  <si>
    <t>Comments</t>
  </si>
  <si>
    <t>Vraag HL</t>
  </si>
  <si>
    <t>Acties</t>
  </si>
  <si>
    <t>Beslissing</t>
  </si>
  <si>
    <t>Flexso</t>
  </si>
  <si>
    <t>_ Orderbevestiging 1501037327.pdf</t>
  </si>
  <si>
    <t>extracted</t>
  </si>
  <si>
    <t>_ Orderbevestiging 1504026582.pdf</t>
  </si>
  <si>
    <t>_ Orderbevestiging 1505040022.pdf</t>
  </si>
  <si>
    <t>_ Orderbevestiging 3504015911.pdf</t>
  </si>
  <si>
    <t>_ Orderbevestiging 3505026677.pdf</t>
  </si>
  <si>
    <t>100142673 HL WZC Herinnering Sligro [#KM-6720322] [#RL-144746].pdf</t>
  </si>
  <si>
    <t>unclassified</t>
  </si>
  <si>
    <t>Niet extracted want geen OB - Betalingsherinnering</t>
  </si>
  <si>
    <t>Deze proberen weren van OB mailbox</t>
  </si>
  <si>
    <t>2501209992 ESSITY Orderbevestiging.pdf</t>
  </si>
  <si>
    <t>Geen unit price op OB: Leverancier stuurt eerst doc zonder prijs, daarna doc met prijs</t>
  </si>
  <si>
    <t>2505040799 ESSITY Order Ontvangstbevestiging.pdf</t>
  </si>
  <si>
    <t>Order ontvangst bevestiging =/= OB - Geen leverdatum</t>
  </si>
  <si>
    <t>Wat gaan we doen met order ontvangst bevestigingen?</t>
  </si>
  <si>
    <t>2507017044 ESSITY Order Ontvangstbevestiging.pdf</t>
  </si>
  <si>
    <t>2508010179 ESSITY Orderbevestiging.pdf</t>
  </si>
  <si>
    <t>Geen unit price op OB - Line 1: geen confirmed del date</t>
  </si>
  <si>
    <t>Wat willen we doen in geval niet confirmed?</t>
  </si>
  <si>
    <t>Te confirmeren indien geen delivery date veld leeg of altijd +1 dag tegenover bevestigingsdatum</t>
  </si>
  <si>
    <t>Geen unit price op OB en 1 ontbrekende leverdatum: Leverancier stuurt eerst doc zonder prijs, daarna doc met prijs</t>
  </si>
  <si>
    <t>3505026639 ESSITY Orderbevestiging.pdf</t>
  </si>
  <si>
    <t>Voor sommige lijnen geen levertijd meegegeven</t>
  </si>
  <si>
    <t>3505026670 ESSITY Orderbevestiging.pdf</t>
  </si>
  <si>
    <t>3505026678 ESSITY Orderbevestiging.pdf</t>
  </si>
  <si>
    <t>6507004827 ESSITY Order Ontvangstbevestiging.pdf</t>
  </si>
  <si>
    <t>6507004831 ESSITY Order Ontvangstbevestiging.pdf</t>
  </si>
  <si>
    <t>6507004833 ESSITY Order Ontvangstbevestiging.pdf</t>
  </si>
  <si>
    <t>BD Order Acknowledgement for your purchase order with reference 1505040027.pdf</t>
  </si>
  <si>
    <t>BD Order Acknowledgement for your purchase order with reference 3504015923.pdf</t>
  </si>
  <si>
    <t>Geen UoM op OB</t>
  </si>
  <si>
    <t>BD Order Acknowledgement for your purchase order with reference 3507009726.pdf</t>
  </si>
  <si>
    <t>Confirmeren op UoM in PO? To Check?</t>
  </si>
  <si>
    <t>Te confirmeren indien geen UOM maar quantity matcht - UOM van PO overnemen of to check?</t>
  </si>
  <si>
    <t>BE356233 Order Hospital Logistics  1501037350.pdf</t>
  </si>
  <si>
    <t>Geen description &amp; UoM op OB</t>
  </si>
  <si>
    <t>Wat willen we hiermee doen?</t>
  </si>
  <si>
    <t>Te confirmeren indien geen UOM maar quantity matcht - UOM van PO overnemen of to check?
Te confirmeren indien geen description maar lev. Art. Nr matcht - Description van PO overnemen of to check?</t>
  </si>
  <si>
    <t>Betreft_ Overzicht van nog te leveren Vygon producten.pdf</t>
  </si>
  <si>
    <t>Backorder overzicht - Geen currency, UoM of Unit Price op vermeld</t>
  </si>
  <si>
    <t>Wat doen we met deze bestanden?</t>
  </si>
  <si>
    <t>Te confirmeren indien geen unit price --&gt; To check of overnemen van PO?
Te confirmeren indien geen currency --&gt; To check of overnemen van PO?</t>
  </si>
  <si>
    <t>Bevestiging bestelling  S09313425-1.pdf</t>
  </si>
  <si>
    <t>Bevestiging bestelling  S09313437-1.pdf</t>
  </si>
  <si>
    <t>Bevestiging bestelling  S09313444-1.pdf</t>
  </si>
  <si>
    <t>Bevestiging bestelling  S09313481-1.pdf</t>
  </si>
  <si>
    <t>Bevestiging bestelling  S09313926-1.pdf</t>
  </si>
  <si>
    <t>KM heffing niet opgenomen in confirmation lines</t>
  </si>
  <si>
    <t>Te confirmeren dat we de KM-heffing negeren</t>
  </si>
  <si>
    <t>Bevestiging bestelling  S09313928-1.pdf</t>
  </si>
  <si>
    <t>Confirmation C007-S2607613-1.pdf</t>
  </si>
  <si>
    <t>Confirmation Commande S09313483-1.pdf</t>
  </si>
  <si>
    <t>Embal.bon_100726_Sligro_5061_klant_000142470.pdf</t>
  </si>
  <si>
    <t>Niet extracted want geen OB - Volgoed- en emballagebon</t>
  </si>
  <si>
    <t>FW_ ORDERBEVESTIGING NL327171, Deb.nr. 110890HE,  Uw order_ 3507009725.pdf</t>
  </si>
  <si>
    <t>Missing field staat 1 maar geen missing field te zien</t>
  </si>
  <si>
    <t>Hartmann _ Order bevestiging.pdf</t>
  </si>
  <si>
    <t>HARTMANN_ ORDERBEVESTIGING0021752283.pdf</t>
  </si>
  <si>
    <t>HARTMANN_ ORDERBEVESTIGING0021752292.pdf</t>
  </si>
  <si>
    <t>HARTMANN_ ORDERBEVESTIGING0021752293.pdf</t>
  </si>
  <si>
    <t>Informatie betreffende een JAVA levering.pdf</t>
  </si>
  <si>
    <t>Niet extracted want geen OB - Afleverbon</t>
  </si>
  <si>
    <t>JAVA leveringsinformatie.pdf</t>
  </si>
  <si>
    <t>Niet extracted want geen OB - Leveringsinformatie</t>
  </si>
  <si>
    <t>Jouw Lyreco bestelling 1178683275 - 2505040761 is onderweg!.pdf</t>
  </si>
  <si>
    <t>Geen OB - Verzendbevestiging fout geëxtract als OB</t>
  </si>
  <si>
    <t>Lyreco orderbevestiging 167912161-16022026-0006.pdf</t>
  </si>
  <si>
    <t>Geen UoM en delivery date op OB</t>
  </si>
  <si>
    <t>Lyreco orderbevestiging 167913009-16022026-0006.pdf</t>
  </si>
  <si>
    <t>Lyreco orderbevestiging 167924591-16022026-0006.pdf</t>
  </si>
  <si>
    <t>Mediq orderbevestiging_ 1507018696.pdf</t>
  </si>
  <si>
    <t>Mediq orderbevestiging_ 3507009731.pdf</t>
  </si>
  <si>
    <t>Medtronic - backorder report - Hospital Logistics.pdf</t>
  </si>
  <si>
    <t>Order bevestiging 26-02818.pdf</t>
  </si>
  <si>
    <t>OB niet voor HL maar klant</t>
  </si>
  <si>
    <t xml:space="preserve">Wat gaan we doen met deze OB's? </t>
  </si>
  <si>
    <t>Order bevestiging 26-02855.pdf</t>
  </si>
  <si>
    <t>OB niet voor HL maar klant - Leverdatum voor 1 lijn niet meegegeven</t>
  </si>
  <si>
    <t>Order bevestiging 26-02889.pdf</t>
  </si>
  <si>
    <t>ORDERBEVESTIGING 2364064918.pdf</t>
  </si>
  <si>
    <t>ORDERBEVESTIGING 2364067490.pdf</t>
  </si>
  <si>
    <t>Orderbevestiging C007-S2607585-1.pdf</t>
  </si>
  <si>
    <t>Orderbevestiging C007-S2607598-1.pdf</t>
  </si>
  <si>
    <t>Orderbevestiging C007-S2607619-1.pdf</t>
  </si>
  <si>
    <t>Orderbevestiging C007-S2607622-1.pdf</t>
  </si>
  <si>
    <t>Orderbevestiging C007-S2607623-1.pdf</t>
  </si>
  <si>
    <t>Orderbevestiging C007-S2607720-1.pdf</t>
  </si>
  <si>
    <t>Orderbevestiging C007-S2607726-1.pdf</t>
  </si>
  <si>
    <t>Orderbevestiging_Orderacknowledgement_ 3505026688.pdf</t>
  </si>
  <si>
    <t>Re_ [EXTERNAL EMAIL] Order Hospital Logistics  1507018691.pdf</t>
  </si>
  <si>
    <t>Voor artikel 3 is geen prijs meegegeven - Aantal lijnen zonder leverdatum</t>
  </si>
  <si>
    <t>Wat indien geen prijs?</t>
  </si>
  <si>
    <t>Re_ [EXTERNAL EMAIL] Order Hospital Logistics  1508015191.pdf</t>
  </si>
  <si>
    <t>Re_ [EXTERNAL EMAIL] Order Hospital Logistics  3504015924.pdf</t>
  </si>
  <si>
    <t>Geen leverdatum meegedeeld</t>
  </si>
  <si>
    <t>Re_ [EXTERNAL EMAIL] Order Hospital Logistics  3505026679.pdf</t>
  </si>
  <si>
    <t>Voor aantal artikels is geen prijs meegegeven - Aantal lijnen zonder leverdatum</t>
  </si>
  <si>
    <t>RE_ FW_ Opvolging openstaande orders.pdf</t>
  </si>
  <si>
    <t>RE_ Opvolging openstaande orders.pdf</t>
  </si>
  <si>
    <t>RE_ order 1501037263.pdf</t>
  </si>
  <si>
    <t>RE_ RE_ Teleflex Orderbevestiging 1504025864 and 13995843.pdf</t>
  </si>
  <si>
    <t>RE_ Verwachte leverdatum.pdf</t>
  </si>
  <si>
    <t>RE_ Verwachte LT.pdf</t>
  </si>
  <si>
    <t>Teleflex Verzendnotificatie 8015531328.pdf</t>
  </si>
  <si>
    <t>Teleflex Verzendnotificatie 8015532636.pdf</t>
  </si>
  <si>
    <t>Uw orderbevestiging 60392040.pdf</t>
  </si>
  <si>
    <t>Uw orderinformatie (uw referentie_ 1504026606, Brocacef Ordernr_ TPV72539).pdf</t>
  </si>
  <si>
    <t>OB met backorderoverzicht wordt per PO gesplitst op de lijnen - Geen currency, geen Unit price en niet overal planned delivery date</t>
  </si>
  <si>
    <t>Uw orderinformatie (uw referentie_ 2505040801, Brocacef Ordernr_ TPV72495).pdf</t>
  </si>
  <si>
    <t xml:space="preserve"> Geen currency en geen Unit price</t>
  </si>
  <si>
    <t>Van Hoeckel leveringsinformatie.pdf</t>
  </si>
  <si>
    <t>Leveringsinformatie =/= OB</t>
  </si>
  <si>
    <t>Wat gaan we hiermee doen?</t>
  </si>
  <si>
    <t>Van Hoeckel order ontvangstbevestiging.pdf</t>
  </si>
  <si>
    <t>Order ontvangst bevestiging =/= OB</t>
  </si>
  <si>
    <t>Van Hoeckel orderinformatie.pdf</t>
  </si>
  <si>
    <t>Orderinformatie =/= OB</t>
  </si>
  <si>
    <t>Verkooporder SO00454616 _ 3505026682.pdf</t>
  </si>
  <si>
    <t>Verkooporder SO00454632 _ 3505026682.pdf</t>
  </si>
  <si>
    <t>Verkooporder SO00454638 _ 3505026682.pdf</t>
  </si>
  <si>
    <t>Verkooporder SO00454639 _ 3505026682.pdf</t>
  </si>
  <si>
    <t>Verkooporder SO00454641 _ 3505026682.pdf</t>
  </si>
  <si>
    <t>Verkooporder SO00454642 _ 3505026682.pdf</t>
  </si>
  <si>
    <t>Verkooporder SO00454644 _ 3507009728.pdf</t>
  </si>
  <si>
    <t>Verkooporder SO00454649 _ 3507009728.pdf</t>
  </si>
  <si>
    <t>Verkooporder SO00454662 _ 3504015927.pdf</t>
  </si>
  <si>
    <t>Verkooporder SO00454663 _ 3504015927.pdf</t>
  </si>
  <si>
    <t>Corrected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</si>
</sst>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5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 vertical="top" wrapText="1"/>
    </xf>
    <xf numFmtId="0" fontId="7" fillId="3" borderId="5" xfId="2" applyFont="1" applyFill="1" applyBorder="1" applyAlignment="1">
      <alignment vertical="top"/>
    </xf>
    <xf numFmtId="0" fontId="7" fillId="3" borderId="2" xfId="2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center" vertical="top" wrapText="1"/>
    </xf>
    <xf numFmtId="0" fontId="6" fillId="0" borderId="7" xfId="2" applyBorder="1"/>
    <xf numFmtId="0" fontId="6" fillId="0" borderId="0" xfId="2"/>
    <xf numFmtId="0" fontId="6" fillId="0" borderId="8" xfId="2" applyBorder="1"/>
    <xf numFmtId="0" fontId="6" fillId="0" borderId="6" xfId="2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9" xfId="0" applyBorder="1"/>
    <xf numFmtId="0" fontId="6" fillId="0" borderId="11" xfId="2" applyBorder="1"/>
    <xf numFmtId="0" fontId="6" fillId="0" borderId="12" xfId="2" applyBorder="1"/>
    <xf numFmtId="0" fontId="6" fillId="0" borderId="9" xfId="2" applyBorder="1" applyAlignment="1">
      <alignment horizontal="center"/>
    </xf>
    <xf numFmtId="0" fontId="8" fillId="0" borderId="11" xfId="0" applyFont="1" applyBorder="1"/>
    <xf numFmtId="0" fontId="8" fillId="0" borderId="9" xfId="0" applyFont="1" applyBorder="1"/>
    <xf numFmtId="0" fontId="9" fillId="0" borderId="10" xfId="0" applyFont="1" applyBorder="1"/>
    <xf numFmtId="0" fontId="9" fillId="0" borderId="9" xfId="0" applyFont="1" applyBorder="1"/>
    <xf numFmtId="0" fontId="6" fillId="0" borderId="11" xfId="2" applyBorder="1" applyAlignment="1">
      <alignment wrapText="1"/>
    </xf>
    <xf numFmtId="0" fontId="0" fillId="0" borderId="9" xfId="0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2" fillId="0" borderId="9" xfId="0" applyFont="1" applyBorder="1"/>
    <xf numFmtId="0" fontId="8" fillId="0" borderId="10" xfId="0" applyFont="1" applyBorder="1"/>
    <xf numFmtId="0" fontId="8" fillId="0" borderId="9" xfId="0" applyFont="1" applyBorder="1" applyAlignment="1">
      <alignment vertical="top" wrapText="1"/>
    </xf>
    <xf numFmtId="0" fontId="6" fillId="0" borderId="13" xfId="2" applyBorder="1"/>
    <xf numFmtId="0" fontId="6" fillId="0" borderId="14" xfId="2" applyBorder="1"/>
    <xf numFmtId="0" fontId="6" fillId="0" borderId="15" xfId="2" applyBorder="1"/>
    <xf numFmtId="0" fontId="6" fillId="0" borderId="16" xfId="2" applyBorder="1" applyAlignment="1">
      <alignment horizontal="center"/>
    </xf>
    <xf numFmtId="0" fontId="0" fillId="0" borderId="17" xfId="0" applyBorder="1"/>
  </cellXfs>
  <cellStyles count="3">
    <cellStyle name="Normal 2" xfId="2" xr:uid="{52E6159C-99B5-4F74-A555-E033A4118D90}"/>
    <cellStyle name="Procent" xfId="1" builtinId="5"/>
    <cellStyle name="Standaard" xfId="0" builtinId="0"/>
  </cellStyles>
  <dxfs count="44"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onos-my.sharepoint.com/personal/feremfe_cronos_be/Documents/Stage/design-UI-card/Analyse%20purchase%20orders%20confirmations%20Hospital%20Logistics.xlsx" TargetMode="External"/><Relationship Id="rId1" Type="http://schemas.openxmlformats.org/officeDocument/2006/relationships/externalLinkPath" Target="https://cronos-my.sharepoint.com/personal/feremfe_cronos_be/Documents/Stage/design-UI-card/Analyse%20purchase%20orders%20confirmations%20Hospital%20Log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300"/>
      <sheetName val="Analyse HL 2 (3)"/>
      <sheetName val="SAPUI5 Export"/>
      <sheetName val="Analyse 1 Documents 27-02"/>
      <sheetName val="Analyse 2 Detail 02-03"/>
      <sheetName val="Pivot"/>
      <sheetName val="Sheet2"/>
      <sheetName val="Analyse HL 1"/>
      <sheetName val="Analyse HL 2"/>
      <sheetName val="Analyse HL 2 (2)"/>
      <sheetName val="Business rules"/>
      <sheetName val="Overzicht"/>
    </sheetNames>
    <sheetDataSet>
      <sheetData sheetId="0">
        <row r="1">
          <cell r="A1" t="str">
            <v>In scope</v>
          </cell>
          <cell r="C1" t="str">
            <v>Leveranciersnaam</v>
          </cell>
        </row>
        <row r="2">
          <cell r="A2" t="str">
            <v>X</v>
          </cell>
          <cell r="C2" t="str">
            <v>ABENA BV</v>
          </cell>
        </row>
        <row r="3">
          <cell r="A3" t="str">
            <v>X</v>
          </cell>
          <cell r="C3" t="str">
            <v>ADDED PHARMA BV</v>
          </cell>
        </row>
        <row r="4">
          <cell r="A4" t="str">
            <v>X</v>
          </cell>
          <cell r="C4" t="str">
            <v>AKB GROOTVERBRUIK B.V.</v>
          </cell>
        </row>
        <row r="5">
          <cell r="A5" t="str">
            <v>X</v>
          </cell>
          <cell r="C5" t="str">
            <v>ALCON NEDERLAND BV</v>
          </cell>
        </row>
        <row r="6">
          <cell r="A6" t="str">
            <v>X</v>
          </cell>
          <cell r="C6" t="str">
            <v>ALCON NV</v>
          </cell>
        </row>
        <row r="7">
          <cell r="A7" t="str">
            <v>X</v>
          </cell>
          <cell r="C7" t="str">
            <v>ALPHEIOS</v>
          </cell>
        </row>
        <row r="8">
          <cell r="A8" t="str">
            <v>X</v>
          </cell>
          <cell r="C8" t="str">
            <v>ALPHEIOS BV</v>
          </cell>
        </row>
        <row r="9">
          <cell r="A9" t="str">
            <v>X</v>
          </cell>
          <cell r="C9" t="str">
            <v>AMBU BV</v>
          </cell>
        </row>
        <row r="10">
          <cell r="A10" t="str">
            <v>X</v>
          </cell>
          <cell r="C10" t="str">
            <v>AMBU BV Belgie</v>
          </cell>
        </row>
        <row r="11">
          <cell r="A11" t="str">
            <v>X</v>
          </cell>
          <cell r="C11" t="str">
            <v>APPLIED MEDICAL BELGIUM BV</v>
          </cell>
        </row>
        <row r="12">
          <cell r="A12" t="str">
            <v>X</v>
          </cell>
          <cell r="C12" t="str">
            <v>APPLIED MEDICAL BV</v>
          </cell>
        </row>
        <row r="13">
          <cell r="A13" t="str">
            <v>X</v>
          </cell>
          <cell r="C13" t="str">
            <v>ARGUS ETIKETTEN BV</v>
          </cell>
        </row>
        <row r="14">
          <cell r="A14" t="str">
            <v>X</v>
          </cell>
          <cell r="C14" t="str">
            <v>ARJO BELGIUM NV</v>
          </cell>
        </row>
        <row r="15">
          <cell r="A15" t="str">
            <v>X</v>
          </cell>
          <cell r="C15" t="str">
            <v>ARJO NEDERLAND BV</v>
          </cell>
        </row>
        <row r="16">
          <cell r="A16" t="str">
            <v>X</v>
          </cell>
          <cell r="C16" t="str">
            <v>ARSEUS MEDICAL GROUP BV</v>
          </cell>
        </row>
        <row r="17">
          <cell r="A17" t="str">
            <v>X</v>
          </cell>
          <cell r="C17" t="str">
            <v>ARSEUS MEDICAL GROUP NV</v>
          </cell>
        </row>
        <row r="18">
          <cell r="A18" t="str">
            <v>X</v>
          </cell>
          <cell r="C18" t="str">
            <v>ARSEUS MEDICAL GROUP NV AZ DIMPNA</v>
          </cell>
        </row>
        <row r="19">
          <cell r="A19" t="str">
            <v>X</v>
          </cell>
          <cell r="C19" t="str">
            <v>ARSEUS MEDICAL GROUP NV AZ H</v>
          </cell>
        </row>
        <row r="20">
          <cell r="A20" t="str">
            <v>X</v>
          </cell>
          <cell r="C20" t="str">
            <v>ARSEUS MEDICAL GROUP NV CHC</v>
          </cell>
        </row>
        <row r="21">
          <cell r="A21" t="str">
            <v>X</v>
          </cell>
          <cell r="C21" t="str">
            <v>ARSEUS MEDICAL GROUP NV EMMAUS</v>
          </cell>
        </row>
        <row r="22">
          <cell r="A22" t="str">
            <v>X</v>
          </cell>
          <cell r="C22" t="str">
            <v>ARSEUS MEDICAL GROUP NV IMELDA</v>
          </cell>
        </row>
        <row r="23">
          <cell r="A23" t="str">
            <v>X</v>
          </cell>
          <cell r="C23" t="str">
            <v>ARSEUS MEDICAL GROUP NV SAL</v>
          </cell>
        </row>
        <row r="24">
          <cell r="A24" t="str">
            <v>X</v>
          </cell>
          <cell r="C24" t="str">
            <v>ARSEUS MEDICAL GROUP NV WZC</v>
          </cell>
        </row>
        <row r="25">
          <cell r="A25" t="str">
            <v>X</v>
          </cell>
          <cell r="C25" t="str">
            <v>ARTHREX BVBA</v>
          </cell>
        </row>
        <row r="26">
          <cell r="A26" t="str">
            <v>X</v>
          </cell>
          <cell r="C26" t="str">
            <v>ARTHREX NEDERLAND BV</v>
          </cell>
        </row>
        <row r="27">
          <cell r="A27" t="str">
            <v>X</v>
          </cell>
          <cell r="C27" t="str">
            <v>AT MEDICALS BVBA AZ ST DIMPNA GEEL</v>
          </cell>
        </row>
        <row r="28">
          <cell r="A28" t="str">
            <v>X</v>
          </cell>
          <cell r="C28" t="str">
            <v>AT MEDICALS BVBA EMMAUS</v>
          </cell>
        </row>
        <row r="29">
          <cell r="A29" t="str">
            <v>X</v>
          </cell>
          <cell r="C29" t="str">
            <v>AT MEDICALS BVBA IMELDA</v>
          </cell>
        </row>
        <row r="30">
          <cell r="A30" t="str">
            <v>X</v>
          </cell>
          <cell r="C30" t="str">
            <v>AT MEDICALS BVBA SAL</v>
          </cell>
        </row>
        <row r="31">
          <cell r="A31" t="str">
            <v>X</v>
          </cell>
          <cell r="C31" t="str">
            <v>B. BRAUN MEDICAL BV</v>
          </cell>
        </row>
        <row r="32">
          <cell r="A32" t="str">
            <v>X</v>
          </cell>
          <cell r="C32" t="str">
            <v>B.BRAUN MEDICAL N.V.</v>
          </cell>
        </row>
        <row r="33">
          <cell r="A33" t="str">
            <v>X</v>
          </cell>
          <cell r="C33" t="str">
            <v>BAUSCH &amp; LOMB BVBA</v>
          </cell>
        </row>
        <row r="34">
          <cell r="A34" t="str">
            <v>X</v>
          </cell>
          <cell r="C34" t="str">
            <v>BAUSCH EN LOMB SURGICAL</v>
          </cell>
        </row>
        <row r="35">
          <cell r="A35" t="str">
            <v>X</v>
          </cell>
          <cell r="C35" t="str">
            <v>BAXTER BE BVBA AZ ST DIMPNA</v>
          </cell>
        </row>
        <row r="36">
          <cell r="A36" t="str">
            <v>X</v>
          </cell>
          <cell r="C36" t="str">
            <v>BAXTER BE BVBA AZH</v>
          </cell>
        </row>
        <row r="37">
          <cell r="A37" t="str">
            <v>X</v>
          </cell>
          <cell r="C37" t="str">
            <v>BAXTER BE BVBA CHC</v>
          </cell>
        </row>
        <row r="38">
          <cell r="A38" t="str">
            <v>X</v>
          </cell>
          <cell r="C38" t="str">
            <v>BAXTER BE BVBA EMMAUS</v>
          </cell>
        </row>
        <row r="39">
          <cell r="A39" t="str">
            <v>X</v>
          </cell>
          <cell r="C39" t="str">
            <v>BAXTER BE BVBA IMELDA</v>
          </cell>
        </row>
        <row r="40">
          <cell r="A40" t="str">
            <v>X</v>
          </cell>
          <cell r="C40" t="str">
            <v>BAXTER BE BVBA SAL</v>
          </cell>
        </row>
        <row r="41">
          <cell r="A41" t="str">
            <v>X</v>
          </cell>
          <cell r="C41" t="str">
            <v>BAXTER BV</v>
          </cell>
        </row>
        <row r="42">
          <cell r="A42" t="str">
            <v>X</v>
          </cell>
          <cell r="C42" t="str">
            <v>BAYER HEALTHCARE</v>
          </cell>
        </row>
        <row r="43">
          <cell r="A43" t="str">
            <v>X</v>
          </cell>
          <cell r="C43" t="str">
            <v>BECTON DICKINSON BV</v>
          </cell>
        </row>
        <row r="44">
          <cell r="A44" t="str">
            <v>X</v>
          </cell>
          <cell r="C44" t="str">
            <v>BECTON DICKINSON BV EU NL1033064313</v>
          </cell>
        </row>
        <row r="45">
          <cell r="A45" t="str">
            <v>X</v>
          </cell>
          <cell r="C45" t="str">
            <v>BECTON DICKINSON NV</v>
          </cell>
        </row>
        <row r="46">
          <cell r="A46" t="str">
            <v>X</v>
          </cell>
          <cell r="C46" t="str">
            <v>BELDICO BV</v>
          </cell>
        </row>
        <row r="47">
          <cell r="A47" t="str">
            <v>X</v>
          </cell>
          <cell r="C47" t="str">
            <v>BELDICO BV EUROFINS NL1033067738</v>
          </cell>
        </row>
        <row r="48">
          <cell r="A48" t="str">
            <v>X</v>
          </cell>
          <cell r="C48" t="str">
            <v>BOMA NEDERLAND BV</v>
          </cell>
        </row>
        <row r="49">
          <cell r="A49" t="str">
            <v>X</v>
          </cell>
          <cell r="C49" t="str">
            <v>BOMA NV AZH</v>
          </cell>
        </row>
        <row r="50">
          <cell r="A50" t="str">
            <v>X</v>
          </cell>
          <cell r="C50" t="str">
            <v>BOMA NV CHC</v>
          </cell>
        </row>
        <row r="51">
          <cell r="A51" t="str">
            <v>X</v>
          </cell>
          <cell r="C51" t="str">
            <v>BOMA NV EMMAUS</v>
          </cell>
        </row>
        <row r="52">
          <cell r="A52" t="str">
            <v>X</v>
          </cell>
          <cell r="C52" t="str">
            <v>BOMA NV IMELDA</v>
          </cell>
        </row>
        <row r="53">
          <cell r="A53" t="str">
            <v>X</v>
          </cell>
          <cell r="C53" t="str">
            <v>BOMA NV SAL</v>
          </cell>
        </row>
        <row r="54">
          <cell r="A54" t="str">
            <v>X</v>
          </cell>
          <cell r="C54" t="str">
            <v>BOMA NV WZC</v>
          </cell>
        </row>
        <row r="55">
          <cell r="A55" t="str">
            <v>X</v>
          </cell>
          <cell r="C55" t="str">
            <v>BOSTON SCIENTIFIC BENELUX NV</v>
          </cell>
        </row>
        <row r="56">
          <cell r="A56" t="str">
            <v>X</v>
          </cell>
          <cell r="C56" t="str">
            <v>BOSTON SCIENTIFIC NEDERLAND BV</v>
          </cell>
        </row>
        <row r="57">
          <cell r="A57" t="str">
            <v>X</v>
          </cell>
          <cell r="C57" t="str">
            <v>Bracco Imaging Europe</v>
          </cell>
        </row>
        <row r="58">
          <cell r="A58" t="str">
            <v>X</v>
          </cell>
          <cell r="C58" t="str">
            <v>BRACCO IMAGING EUROPE BV</v>
          </cell>
        </row>
        <row r="59">
          <cell r="A59" t="str">
            <v>X</v>
          </cell>
          <cell r="C59" t="str">
            <v>BRIDEA MEDICAL BV</v>
          </cell>
        </row>
        <row r="60">
          <cell r="A60" t="str">
            <v>X</v>
          </cell>
          <cell r="C60" t="str">
            <v>BROCACEF ZORGLOGISTIEK BV</v>
          </cell>
        </row>
        <row r="61">
          <cell r="A61" t="str">
            <v>X</v>
          </cell>
          <cell r="C61" t="str">
            <v>BUROFORM NV</v>
          </cell>
        </row>
        <row r="62">
          <cell r="A62" t="str">
            <v>X</v>
          </cell>
          <cell r="C62" t="str">
            <v>CAIR BELGIUM</v>
          </cell>
        </row>
        <row r="63">
          <cell r="A63" t="str">
            <v>X</v>
          </cell>
          <cell r="C63" t="str">
            <v>CaptureTech</v>
          </cell>
        </row>
        <row r="64">
          <cell r="A64" t="str">
            <v>X</v>
          </cell>
          <cell r="C64" t="str">
            <v>CARDINAL HEALTH BE AZ ST D</v>
          </cell>
        </row>
        <row r="65">
          <cell r="A65" t="str">
            <v>X</v>
          </cell>
          <cell r="C65" t="str">
            <v>CARDINAL HEALTH BE AZH</v>
          </cell>
        </row>
        <row r="66">
          <cell r="A66" t="str">
            <v>X</v>
          </cell>
          <cell r="C66" t="str">
            <v>CARDINAL HEALTH BE CHC</v>
          </cell>
        </row>
        <row r="67">
          <cell r="A67" t="str">
            <v>X</v>
          </cell>
          <cell r="C67" t="str">
            <v>CARDINAL HEALTH BE EMMAUS</v>
          </cell>
        </row>
        <row r="68">
          <cell r="A68" t="str">
            <v>X</v>
          </cell>
          <cell r="C68" t="str">
            <v>CARDINAL HEALTH BE IMELDA</v>
          </cell>
        </row>
        <row r="69">
          <cell r="A69" t="str">
            <v>X</v>
          </cell>
          <cell r="C69" t="str">
            <v>CARDINAL HEALTH BE SAL</v>
          </cell>
        </row>
        <row r="70">
          <cell r="A70" t="str">
            <v>X</v>
          </cell>
          <cell r="C70" t="str">
            <v>CARDINAL HEALTH NETHERLANDS 502 BV</v>
          </cell>
        </row>
        <row r="71">
          <cell r="A71" t="str">
            <v>X</v>
          </cell>
          <cell r="C71" t="str">
            <v>CAREL LURVINK</v>
          </cell>
        </row>
        <row r="72">
          <cell r="A72" t="str">
            <v>X</v>
          </cell>
          <cell r="C72" t="str">
            <v>CAZANDER MEDICAL BV</v>
          </cell>
        </row>
        <row r="73">
          <cell r="A73" t="str">
            <v>X</v>
          </cell>
          <cell r="C73" t="str">
            <v>COCA-COLA BEVERAGES (1991) N.V</v>
          </cell>
        </row>
        <row r="74">
          <cell r="A74" t="str">
            <v>X</v>
          </cell>
          <cell r="C74" t="str">
            <v>CODAN BV</v>
          </cell>
        </row>
        <row r="75">
          <cell r="A75" t="str">
            <v>X</v>
          </cell>
          <cell r="C75" t="str">
            <v>CODAN GHZ</v>
          </cell>
        </row>
        <row r="76">
          <cell r="A76" t="str">
            <v>X</v>
          </cell>
          <cell r="C76" t="str">
            <v>CODAN PMC</v>
          </cell>
        </row>
        <row r="77">
          <cell r="A77" t="str">
            <v>X</v>
          </cell>
          <cell r="C77" t="str">
            <v>COLOPLAST BV</v>
          </cell>
        </row>
        <row r="78">
          <cell r="A78" t="str">
            <v>X</v>
          </cell>
          <cell r="C78" t="str">
            <v>COLOPLAST NV AZ ST DIMPNA</v>
          </cell>
        </row>
        <row r="79">
          <cell r="A79" t="str">
            <v>X</v>
          </cell>
          <cell r="C79" t="str">
            <v>COLOPLAST NV AZH</v>
          </cell>
        </row>
        <row r="80">
          <cell r="A80" t="str">
            <v>X</v>
          </cell>
          <cell r="C80" t="str">
            <v>COLOPLAST NV CHC</v>
          </cell>
        </row>
        <row r="81">
          <cell r="A81" t="str">
            <v>X</v>
          </cell>
          <cell r="C81" t="str">
            <v>COLOPLAST NV EMMAUS</v>
          </cell>
        </row>
        <row r="82">
          <cell r="A82" t="str">
            <v>X</v>
          </cell>
          <cell r="C82" t="str">
            <v>COLOPLAST NV IMELDA</v>
          </cell>
        </row>
        <row r="83">
          <cell r="A83" t="str">
            <v>X</v>
          </cell>
          <cell r="C83" t="str">
            <v>COLOPLAST NV SAL</v>
          </cell>
        </row>
        <row r="84">
          <cell r="A84" t="str">
            <v>X</v>
          </cell>
          <cell r="C84" t="str">
            <v>CONVATEC BELGIUM BVBA</v>
          </cell>
        </row>
        <row r="85">
          <cell r="A85" t="str">
            <v>X</v>
          </cell>
          <cell r="C85" t="str">
            <v>CONVATEC BV</v>
          </cell>
        </row>
        <row r="86">
          <cell r="A86" t="str">
            <v>X</v>
          </cell>
          <cell r="C86" t="str">
            <v>COOK BELGIUM NV</v>
          </cell>
        </row>
        <row r="87">
          <cell r="A87" t="str">
            <v>X</v>
          </cell>
          <cell r="C87" t="str">
            <v>COOK NEDERLAND BV</v>
          </cell>
        </row>
        <row r="88">
          <cell r="A88" t="str">
            <v>X</v>
          </cell>
          <cell r="C88" t="str">
            <v>CORDIS BELGIUM IMELDA</v>
          </cell>
        </row>
        <row r="89">
          <cell r="A89" t="str">
            <v>X</v>
          </cell>
          <cell r="C89" t="str">
            <v>CORDIS NETHERLANDS</v>
          </cell>
        </row>
        <row r="90">
          <cell r="A90" t="str">
            <v>X</v>
          </cell>
          <cell r="C90" t="str">
            <v>DAILY FRESH FOOD BV</v>
          </cell>
        </row>
        <row r="91">
          <cell r="A91" t="str">
            <v>X</v>
          </cell>
          <cell r="C91" t="str">
            <v>DAKLAPACK EUROPE BV</v>
          </cell>
        </row>
        <row r="92">
          <cell r="A92" t="str">
            <v>X</v>
          </cell>
          <cell r="C92" t="str">
            <v>DAKLAPACK EUROPE BV EU NL1033067753</v>
          </cell>
        </row>
        <row r="93">
          <cell r="A93" t="str">
            <v>X</v>
          </cell>
          <cell r="C93" t="str">
            <v>DANONE BELUX NV</v>
          </cell>
        </row>
        <row r="94">
          <cell r="A94" t="str">
            <v>X</v>
          </cell>
          <cell r="C94" t="str">
            <v>De Bondt Grafimedia Communicatie BV</v>
          </cell>
        </row>
        <row r="95">
          <cell r="A95" t="str">
            <v>X</v>
          </cell>
          <cell r="C95" t="str">
            <v>DEFORCE MEDICAL BVBA</v>
          </cell>
        </row>
        <row r="96">
          <cell r="A96" t="str">
            <v>X</v>
          </cell>
          <cell r="C96" t="str">
            <v>DEMUYNCK-VERRAX NV</v>
          </cell>
        </row>
        <row r="97">
          <cell r="A97" t="str">
            <v>X</v>
          </cell>
          <cell r="C97" t="str">
            <v>DIALEX BIOMEDICA NV AZ ST DIMPNA</v>
          </cell>
        </row>
        <row r="98">
          <cell r="A98" t="str">
            <v>X</v>
          </cell>
          <cell r="C98" t="str">
            <v>DIALEX BIOMEDICA NV AZH</v>
          </cell>
        </row>
        <row r="99">
          <cell r="A99" t="str">
            <v>X</v>
          </cell>
          <cell r="C99" t="str">
            <v>DIALEX BIOMEDICA NV CHC</v>
          </cell>
        </row>
        <row r="100">
          <cell r="A100" t="str">
            <v>X</v>
          </cell>
          <cell r="C100" t="str">
            <v>DIALEX BIOMEDICA NV EMMAUS</v>
          </cell>
        </row>
        <row r="101">
          <cell r="A101" t="str">
            <v>X</v>
          </cell>
          <cell r="C101" t="str">
            <v>DIALEX BIOMEDICA NV IMELDA</v>
          </cell>
        </row>
        <row r="102">
          <cell r="A102" t="str">
            <v>X</v>
          </cell>
          <cell r="C102" t="str">
            <v>DIALEX BIOMEDICA NV OPZ</v>
          </cell>
        </row>
        <row r="103">
          <cell r="A103" t="str">
            <v>X</v>
          </cell>
          <cell r="C103" t="str">
            <v>DIALEX BIOMEDICA NV SAL</v>
          </cell>
        </row>
        <row r="104">
          <cell r="A104" t="str">
            <v>X</v>
          </cell>
          <cell r="C104" t="str">
            <v>DIALEX BIOMEDICA NV WZC</v>
          </cell>
        </row>
        <row r="105">
          <cell r="A105" t="str">
            <v>X</v>
          </cell>
          <cell r="C105" t="str">
            <v>DIVERSEY B.V.</v>
          </cell>
        </row>
        <row r="106">
          <cell r="A106" t="str">
            <v>X</v>
          </cell>
          <cell r="C106" t="str">
            <v>DIVERSEY BELGIUM BVBA</v>
          </cell>
        </row>
        <row r="107">
          <cell r="A107" t="str">
            <v>X</v>
          </cell>
          <cell r="C107" t="str">
            <v>DORC INTERNATIONAL BV</v>
          </cell>
        </row>
        <row r="108">
          <cell r="A108" t="str">
            <v>X</v>
          </cell>
          <cell r="C108" t="str">
            <v>DORC SALES</v>
          </cell>
        </row>
        <row r="109">
          <cell r="A109" t="str">
            <v>X</v>
          </cell>
          <cell r="C109" t="str">
            <v>DOUWE EGBERTS PROFESSIONAL</v>
          </cell>
        </row>
        <row r="110">
          <cell r="A110" t="str">
            <v>X</v>
          </cell>
          <cell r="C110" t="str">
            <v>DR. WEIGERT NEDERLAND BV</v>
          </cell>
        </row>
        <row r="111">
          <cell r="A111" t="str">
            <v>X</v>
          </cell>
          <cell r="C111" t="str">
            <v>DR.WEIGERT NV</v>
          </cell>
        </row>
        <row r="112">
          <cell r="A112" t="str">
            <v>X</v>
          </cell>
          <cell r="C112" t="str">
            <v>DRAGER BELGIUM N.V.</v>
          </cell>
        </row>
        <row r="113">
          <cell r="A113" t="str">
            <v>X</v>
          </cell>
          <cell r="C113" t="str">
            <v>DRAGER MEDICAL NETHERLANDS BV</v>
          </cell>
        </row>
        <row r="114">
          <cell r="A114" t="str">
            <v>X</v>
          </cell>
          <cell r="C114" t="str">
            <v>DRUKKERIJ DE BINK</v>
          </cell>
        </row>
        <row r="115">
          <cell r="A115" t="str">
            <v>X</v>
          </cell>
          <cell r="C115" t="str">
            <v>DRUKKERIJ THIJSEN GELDERMALSEN B.V.</v>
          </cell>
        </row>
        <row r="116">
          <cell r="A116" t="str">
            <v>X</v>
          </cell>
          <cell r="C116" t="str">
            <v>DUOMED BELGIUM NV AZ ST DIMPNA</v>
          </cell>
        </row>
        <row r="117">
          <cell r="A117" t="str">
            <v>X</v>
          </cell>
          <cell r="C117" t="str">
            <v>DUOMED BELGIUM NV AZH</v>
          </cell>
        </row>
        <row r="118">
          <cell r="A118" t="str">
            <v>X</v>
          </cell>
          <cell r="C118" t="str">
            <v>DUOMED BELGIUM NV CHC</v>
          </cell>
        </row>
        <row r="119">
          <cell r="A119" t="str">
            <v>X</v>
          </cell>
          <cell r="C119" t="str">
            <v>DUOMED BELGIUM NV EMMAUS</v>
          </cell>
        </row>
        <row r="120">
          <cell r="A120" t="str">
            <v>X</v>
          </cell>
          <cell r="C120" t="str">
            <v>DUOMED BELGIUM NV IMELDA</v>
          </cell>
        </row>
        <row r="121">
          <cell r="A121" t="str">
            <v>X</v>
          </cell>
          <cell r="C121" t="str">
            <v>DUOMED BELGIUM NV SAL</v>
          </cell>
        </row>
        <row r="122">
          <cell r="A122" t="str">
            <v>X</v>
          </cell>
          <cell r="C122" t="str">
            <v>DUOMED BELGIUM NV WZC</v>
          </cell>
        </row>
        <row r="123">
          <cell r="A123" t="str">
            <v>X</v>
          </cell>
          <cell r="C123" t="str">
            <v>DUOMED BV</v>
          </cell>
        </row>
        <row r="124">
          <cell r="A124" t="str">
            <v>X</v>
          </cell>
          <cell r="C124" t="str">
            <v>DUOMED THE NEDERLANDS</v>
          </cell>
        </row>
        <row r="125">
          <cell r="A125" t="str">
            <v>X</v>
          </cell>
          <cell r="C125" t="str">
            <v>ECOLAB BVBA</v>
          </cell>
        </row>
        <row r="126">
          <cell r="A126" t="str">
            <v>X</v>
          </cell>
          <cell r="C126" t="str">
            <v>EDWARDS LIFESCIENCES BELGIUM BV</v>
          </cell>
        </row>
        <row r="127">
          <cell r="A127" t="str">
            <v>X</v>
          </cell>
          <cell r="C127" t="str">
            <v>EDWARDS LIFESCIENCES BV</v>
          </cell>
        </row>
        <row r="128">
          <cell r="A128" t="str">
            <v>X</v>
          </cell>
          <cell r="C128" t="str">
            <v>ELEP DRUKKERIJ</v>
          </cell>
        </row>
        <row r="129">
          <cell r="A129" t="str">
            <v>X</v>
          </cell>
          <cell r="C129" t="str">
            <v>EMDAMED BV</v>
          </cell>
        </row>
        <row r="130">
          <cell r="A130" t="str">
            <v>X</v>
          </cell>
          <cell r="C130" t="str">
            <v>ENDOMED BV</v>
          </cell>
        </row>
        <row r="131">
          <cell r="A131" t="str">
            <v>X</v>
          </cell>
          <cell r="C131" t="str">
            <v>ESSITY BELGIUM NV</v>
          </cell>
        </row>
        <row r="132">
          <cell r="A132" t="str">
            <v>X</v>
          </cell>
          <cell r="C132" t="str">
            <v>ESSITY NETHERLANDS BV</v>
          </cell>
        </row>
        <row r="133">
          <cell r="A133" t="str">
            <v>X</v>
          </cell>
          <cell r="C133" t="str">
            <v>Eye on Consumables BV</v>
          </cell>
        </row>
        <row r="134">
          <cell r="A134" t="str">
            <v>X</v>
          </cell>
          <cell r="C134" t="str">
            <v>FAGRON NV</v>
          </cell>
        </row>
        <row r="135">
          <cell r="A135" t="str">
            <v>X</v>
          </cell>
          <cell r="C135" t="str">
            <v>FISHER - PAYKEL AZ HERENTALS</v>
          </cell>
        </row>
        <row r="136">
          <cell r="A136" t="str">
            <v>X</v>
          </cell>
          <cell r="C136" t="str">
            <v>FISHER - PAYKEL CHC</v>
          </cell>
        </row>
        <row r="137">
          <cell r="A137" t="str">
            <v>X</v>
          </cell>
          <cell r="C137" t="str">
            <v>FISHER - PAYKEL EMMAUS</v>
          </cell>
        </row>
        <row r="138">
          <cell r="A138" t="str">
            <v>X</v>
          </cell>
          <cell r="C138" t="str">
            <v>FISHER - PAYKEL HEALTHCARE</v>
          </cell>
        </row>
        <row r="139">
          <cell r="A139" t="str">
            <v>X</v>
          </cell>
          <cell r="C139" t="str">
            <v>FISHER - PAYKEL IMELDA</v>
          </cell>
        </row>
        <row r="140">
          <cell r="A140" t="str">
            <v>X</v>
          </cell>
          <cell r="C140" t="str">
            <v>FISHER - PAYKEL SAL</v>
          </cell>
        </row>
        <row r="141">
          <cell r="A141" t="str">
            <v>X</v>
          </cell>
          <cell r="C141" t="str">
            <v>Flexicare B.V.</v>
          </cell>
        </row>
        <row r="142">
          <cell r="A142" t="str">
            <v>X</v>
          </cell>
          <cell r="C142" t="str">
            <v>FRESENIUS KABI NEDERLAND BV</v>
          </cell>
        </row>
        <row r="143">
          <cell r="A143" t="str">
            <v>X</v>
          </cell>
          <cell r="C143" t="str">
            <v>FRESENIUS KABI NV</v>
          </cell>
        </row>
        <row r="144">
          <cell r="A144" t="str">
            <v>X</v>
          </cell>
          <cell r="C144" t="str">
            <v>FRESENIUS MEDICAL CARE NED. BV</v>
          </cell>
        </row>
        <row r="145">
          <cell r="A145" t="str">
            <v>X</v>
          </cell>
          <cell r="C145" t="str">
            <v>FRESENIUS MEDICAL CARE NV</v>
          </cell>
        </row>
        <row r="146">
          <cell r="A146" t="str">
            <v>X</v>
          </cell>
          <cell r="C146" t="str">
            <v>G3 MEDICAL BV</v>
          </cell>
        </row>
        <row r="147">
          <cell r="A147" t="str">
            <v>X</v>
          </cell>
          <cell r="C147" t="str">
            <v>GD MEDICAL BELGIUM BV</v>
          </cell>
        </row>
        <row r="148">
          <cell r="A148" t="str">
            <v>X</v>
          </cell>
          <cell r="C148" t="str">
            <v>GD MEDICAL PHARMA BV</v>
          </cell>
        </row>
        <row r="149">
          <cell r="A149" t="str">
            <v>X</v>
          </cell>
          <cell r="C149" t="str">
            <v>GEOSTICK BV</v>
          </cell>
        </row>
        <row r="150">
          <cell r="A150" t="str">
            <v>X</v>
          </cell>
          <cell r="C150" t="str">
            <v>GETINGE BELGIUM</v>
          </cell>
        </row>
        <row r="151">
          <cell r="A151" t="str">
            <v>X</v>
          </cell>
          <cell r="C151" t="str">
            <v>GETINGE NETHERLANDS BV</v>
          </cell>
        </row>
        <row r="152">
          <cell r="A152" t="str">
            <v>X</v>
          </cell>
          <cell r="C152" t="str">
            <v>GLOBAL NET SA - GLORIEUX</v>
          </cell>
        </row>
        <row r="153">
          <cell r="A153" t="str">
            <v>X</v>
          </cell>
          <cell r="C153" t="str">
            <v>G-PLUS bvba</v>
          </cell>
        </row>
        <row r="154">
          <cell r="A154" t="str">
            <v>X</v>
          </cell>
          <cell r="C154" t="str">
            <v>GREINER BIO-ONE BV</v>
          </cell>
        </row>
        <row r="155">
          <cell r="A155" t="str">
            <v>X</v>
          </cell>
          <cell r="C155" t="str">
            <v>GREINER BIO-ONE BV EU NL1033074544</v>
          </cell>
        </row>
        <row r="156">
          <cell r="A156" t="str">
            <v>X</v>
          </cell>
          <cell r="C156" t="str">
            <v>GUERBET NEDERLAND BV</v>
          </cell>
        </row>
        <row r="157">
          <cell r="A157" t="str">
            <v>X</v>
          </cell>
          <cell r="C157" t="str">
            <v>GUERBET NV</v>
          </cell>
        </row>
        <row r="158">
          <cell r="A158" t="str">
            <v>X</v>
          </cell>
          <cell r="C158" t="str">
            <v>HALBACH MEDICAL</v>
          </cell>
        </row>
        <row r="159">
          <cell r="A159" t="str">
            <v>X</v>
          </cell>
          <cell r="C159" t="str">
            <v>HOLLISTER BELGIUM</v>
          </cell>
        </row>
        <row r="160">
          <cell r="A160" t="str">
            <v>X</v>
          </cell>
          <cell r="C160" t="str">
            <v>HOLLISTER BV</v>
          </cell>
        </row>
        <row r="161">
          <cell r="A161" t="str">
            <v>X</v>
          </cell>
          <cell r="C161" t="str">
            <v>HOLOGIC NETHERLANDS BV</v>
          </cell>
        </row>
        <row r="162">
          <cell r="A162" t="str">
            <v>X</v>
          </cell>
          <cell r="C162" t="str">
            <v>HOLOGIC NV</v>
          </cell>
        </row>
        <row r="163">
          <cell r="A163" t="str">
            <v>X</v>
          </cell>
          <cell r="C163" t="str">
            <v>Hospidex BV</v>
          </cell>
        </row>
        <row r="164">
          <cell r="A164" t="str">
            <v>X</v>
          </cell>
          <cell r="C164" t="str">
            <v>HOSPIDEX NV</v>
          </cell>
        </row>
        <row r="165">
          <cell r="A165" t="str">
            <v>X</v>
          </cell>
          <cell r="C165" t="str">
            <v>HUSK MEDICAL BV</v>
          </cell>
        </row>
        <row r="166">
          <cell r="A166" t="str">
            <v>X</v>
          </cell>
          <cell r="C166" t="str">
            <v>HUUSKES VERSPRODUCTEN</v>
          </cell>
        </row>
        <row r="167">
          <cell r="A167" t="str">
            <v>X</v>
          </cell>
          <cell r="C167" t="str">
            <v>ICU Medical Belgium NV</v>
          </cell>
        </row>
        <row r="168">
          <cell r="A168" t="str">
            <v>X</v>
          </cell>
          <cell r="C168" t="str">
            <v>ICU Medical Belgium NV AZH</v>
          </cell>
        </row>
        <row r="169">
          <cell r="A169" t="str">
            <v>X</v>
          </cell>
          <cell r="C169" t="str">
            <v>ICU Medical Belgium NV CHC</v>
          </cell>
        </row>
        <row r="170">
          <cell r="A170" t="str">
            <v>X</v>
          </cell>
          <cell r="C170" t="str">
            <v>ICU Medical Belgium NV DIMPNA</v>
          </cell>
        </row>
        <row r="171">
          <cell r="A171" t="str">
            <v>X</v>
          </cell>
          <cell r="C171" t="str">
            <v>ICU Medical Belgium NV EMMAUS</v>
          </cell>
        </row>
        <row r="172">
          <cell r="A172" t="str">
            <v>X</v>
          </cell>
          <cell r="C172" t="str">
            <v>ICU Medical Belgium NV IMELDA</v>
          </cell>
        </row>
        <row r="173">
          <cell r="A173" t="str">
            <v>X</v>
          </cell>
          <cell r="C173" t="str">
            <v>ICU Medical Belgium NV SAL</v>
          </cell>
        </row>
        <row r="174">
          <cell r="A174" t="str">
            <v>X</v>
          </cell>
          <cell r="C174" t="str">
            <v>ICU MEDICAL BV</v>
          </cell>
        </row>
        <row r="175">
          <cell r="A175" t="str">
            <v>X</v>
          </cell>
          <cell r="C175" t="str">
            <v>ICU MEDICAL NV AZ HERENTALS</v>
          </cell>
        </row>
        <row r="176">
          <cell r="A176" t="str">
            <v>X</v>
          </cell>
          <cell r="C176" t="str">
            <v>IMMED BENELUX NV</v>
          </cell>
        </row>
        <row r="177">
          <cell r="A177" t="str">
            <v>X</v>
          </cell>
          <cell r="C177" t="str">
            <v>INBEV SAL</v>
          </cell>
        </row>
        <row r="178">
          <cell r="A178" t="str">
            <v>X</v>
          </cell>
          <cell r="C178" t="str">
            <v>INBEV WZC</v>
          </cell>
        </row>
        <row r="179">
          <cell r="A179" t="str">
            <v>X</v>
          </cell>
          <cell r="C179" t="str">
            <v>INTERNAT. MEDICAL PRODUCTS CHC</v>
          </cell>
        </row>
        <row r="180">
          <cell r="A180" t="str">
            <v>X</v>
          </cell>
          <cell r="C180" t="str">
            <v>INTERNAT. MEDICAL PRODUCTS EMMAUS</v>
          </cell>
        </row>
        <row r="181">
          <cell r="A181" t="str">
            <v>X</v>
          </cell>
          <cell r="C181" t="str">
            <v>INTERNAT. MEDICAL PRODUCTS IMELDA</v>
          </cell>
        </row>
        <row r="182">
          <cell r="A182" t="str">
            <v>X</v>
          </cell>
          <cell r="C182" t="str">
            <v>INTERNAT. MEDICAL PRODUCTS NV AZH</v>
          </cell>
        </row>
        <row r="183">
          <cell r="A183" t="str">
            <v>X</v>
          </cell>
          <cell r="C183" t="str">
            <v>INTERNAT. MEDICAL PRODUCTS NV AZSTD</v>
          </cell>
        </row>
        <row r="184">
          <cell r="A184" t="str">
            <v>X</v>
          </cell>
          <cell r="C184" t="str">
            <v>INTERNAT. MEDICAL PRODUCTS SAL</v>
          </cell>
        </row>
        <row r="185">
          <cell r="A185" t="str">
            <v>X</v>
          </cell>
          <cell r="C185" t="str">
            <v>INTERNAT. MEDICAL PRODUCTS WZC</v>
          </cell>
        </row>
        <row r="186">
          <cell r="A186" t="str">
            <v>X</v>
          </cell>
          <cell r="C186" t="str">
            <v>INTERSTER INTERNATIONAL BV</v>
          </cell>
        </row>
        <row r="187">
          <cell r="A187" t="str">
            <v>X</v>
          </cell>
          <cell r="C187" t="str">
            <v>INTERSURGICAL AZ ST DIMPNA GEEL</v>
          </cell>
        </row>
        <row r="188">
          <cell r="A188" t="str">
            <v>X</v>
          </cell>
          <cell r="C188" t="str">
            <v>INTERSURGICAL BV</v>
          </cell>
        </row>
        <row r="189">
          <cell r="A189" t="str">
            <v>X</v>
          </cell>
          <cell r="C189" t="str">
            <v>INTERSURGICAL BV BE AZ HERENTALS</v>
          </cell>
        </row>
        <row r="190">
          <cell r="A190" t="str">
            <v>X</v>
          </cell>
          <cell r="C190" t="str">
            <v>INTERSURGICAL BV BE CHC</v>
          </cell>
        </row>
        <row r="191">
          <cell r="A191" t="str">
            <v>X</v>
          </cell>
          <cell r="C191" t="str">
            <v>INTERSURGICAL BV BE EMMAUS</v>
          </cell>
        </row>
        <row r="192">
          <cell r="A192" t="str">
            <v>X</v>
          </cell>
          <cell r="C192" t="str">
            <v>INTERSURGICAL BV BE IMELDA</v>
          </cell>
        </row>
        <row r="193">
          <cell r="A193" t="str">
            <v>X</v>
          </cell>
          <cell r="C193" t="str">
            <v>INTERSURGICAL BV BE SAL</v>
          </cell>
        </row>
        <row r="194">
          <cell r="A194" t="str">
            <v>X</v>
          </cell>
          <cell r="C194" t="str">
            <v>INTERSURGICAL GHZ</v>
          </cell>
        </row>
        <row r="195">
          <cell r="A195" t="str">
            <v>X</v>
          </cell>
          <cell r="C195" t="str">
            <v>INTERSURGICAL OZR</v>
          </cell>
        </row>
        <row r="196">
          <cell r="A196" t="str">
            <v>X</v>
          </cell>
          <cell r="C196" t="str">
            <v>INTERSURGICAL PRINSES MAXIMA CEN</v>
          </cell>
        </row>
        <row r="197">
          <cell r="A197" t="str">
            <v>X</v>
          </cell>
          <cell r="C197" t="str">
            <v>INTUITIVE SURGICAL EUROPE SARL</v>
          </cell>
        </row>
        <row r="198">
          <cell r="A198" t="str">
            <v>X</v>
          </cell>
          <cell r="C198" t="str">
            <v>JOHNSON &amp; JOHNSON AZM</v>
          </cell>
        </row>
        <row r="199">
          <cell r="A199" t="str">
            <v>X</v>
          </cell>
          <cell r="C199" t="str">
            <v>JOHNSON &amp; JOHNSON BERNHOVEN</v>
          </cell>
        </row>
        <row r="200">
          <cell r="A200" t="str">
            <v>X</v>
          </cell>
          <cell r="C200" t="str">
            <v>JOHNSON &amp; JOHNSON CHC</v>
          </cell>
        </row>
        <row r="201">
          <cell r="A201" t="str">
            <v>X</v>
          </cell>
          <cell r="C201" t="str">
            <v>JOHNSON &amp; JOHNSON CWZ</v>
          </cell>
        </row>
        <row r="202">
          <cell r="A202" t="str">
            <v>X</v>
          </cell>
          <cell r="C202" t="str">
            <v>JOHNSON &amp; JOHNSON Frisius MC</v>
          </cell>
        </row>
        <row r="203">
          <cell r="A203" t="str">
            <v>X</v>
          </cell>
          <cell r="C203" t="str">
            <v>JOHNSON &amp; JOHNSON GELRE</v>
          </cell>
        </row>
        <row r="204">
          <cell r="A204" t="str">
            <v>X</v>
          </cell>
          <cell r="C204" t="str">
            <v>JOHNSON &amp; JOHNSON GHZ</v>
          </cell>
        </row>
        <row r="205">
          <cell r="A205" t="str">
            <v>X</v>
          </cell>
          <cell r="C205" t="str">
            <v>JOHNSON &amp; JOHNSON IMELDA</v>
          </cell>
        </row>
        <row r="206">
          <cell r="A206" t="str">
            <v>X</v>
          </cell>
          <cell r="C206" t="str">
            <v>JOHNSON &amp; JOHNSON ISALA</v>
          </cell>
        </row>
        <row r="207">
          <cell r="A207" t="str">
            <v>X</v>
          </cell>
          <cell r="C207" t="str">
            <v>JOHNSON &amp; JOHNSON JBZ</v>
          </cell>
        </row>
        <row r="208">
          <cell r="A208" t="str">
            <v>X</v>
          </cell>
          <cell r="C208" t="str">
            <v>JOHNSON &amp; JOHNSON MEDICAL BV</v>
          </cell>
        </row>
        <row r="209">
          <cell r="A209" t="str">
            <v>X</v>
          </cell>
          <cell r="C209" t="str">
            <v>JOHNSON &amp; JOHNSON NS</v>
          </cell>
        </row>
        <row r="210">
          <cell r="A210" t="str">
            <v>X</v>
          </cell>
          <cell r="C210" t="str">
            <v>JOHNSON &amp; JOHNSON OZR</v>
          </cell>
        </row>
        <row r="211">
          <cell r="A211" t="str">
            <v>X</v>
          </cell>
          <cell r="C211" t="str">
            <v>JOHNSON &amp; JOHNSON SAL</v>
          </cell>
        </row>
        <row r="212">
          <cell r="A212" t="str">
            <v>X</v>
          </cell>
          <cell r="C212" t="str">
            <v>JOHNSON &amp; JOHNSON ZUYDERLAND</v>
          </cell>
        </row>
        <row r="213">
          <cell r="A213" t="str">
            <v>X</v>
          </cell>
          <cell r="C213" t="str">
            <v>KCI MEDICAL B.V.</v>
          </cell>
        </row>
        <row r="214">
          <cell r="A214" t="str">
            <v>X</v>
          </cell>
          <cell r="C214" t="str">
            <v>KCI MEDICAL BELGIUM BV</v>
          </cell>
        </row>
        <row r="215">
          <cell r="A215" t="str">
            <v>X</v>
          </cell>
          <cell r="C215" t="str">
            <v>KEBOMED BV</v>
          </cell>
        </row>
        <row r="216">
          <cell r="A216" t="str">
            <v>X</v>
          </cell>
          <cell r="C216" t="str">
            <v>KING BELGIUM NV</v>
          </cell>
        </row>
        <row r="217">
          <cell r="A217" t="str">
            <v>X</v>
          </cell>
          <cell r="C217" t="str">
            <v>KING BELGIUM NV AZ ST DIMPNA</v>
          </cell>
        </row>
        <row r="218">
          <cell r="A218" t="str">
            <v>X</v>
          </cell>
          <cell r="C218" t="str">
            <v>KING BELGIUM NV AZH</v>
          </cell>
        </row>
        <row r="219">
          <cell r="A219" t="str">
            <v>X</v>
          </cell>
          <cell r="C219" t="str">
            <v>KING BELGIUM NV CHC</v>
          </cell>
        </row>
        <row r="220">
          <cell r="A220" t="str">
            <v>X</v>
          </cell>
          <cell r="C220" t="str">
            <v>KING BELGIUM NV EMMAUS</v>
          </cell>
        </row>
        <row r="221">
          <cell r="A221" t="str">
            <v>X</v>
          </cell>
          <cell r="C221" t="str">
            <v>KING BELGIUM NV IMELDA</v>
          </cell>
        </row>
        <row r="222">
          <cell r="A222" t="str">
            <v>X</v>
          </cell>
          <cell r="C222" t="str">
            <v>KING BELGIUM NV OPZ</v>
          </cell>
        </row>
        <row r="223">
          <cell r="A223" t="str">
            <v>X</v>
          </cell>
          <cell r="C223" t="str">
            <v>KING BELGIUM NV SAL</v>
          </cell>
        </row>
        <row r="224">
          <cell r="A224" t="str">
            <v>X</v>
          </cell>
          <cell r="C224" t="str">
            <v>KING BELGIUM NV WZC</v>
          </cell>
        </row>
        <row r="225">
          <cell r="A225" t="str">
            <v>X</v>
          </cell>
          <cell r="C225" t="str">
            <v>KING NEDERLAND</v>
          </cell>
        </row>
        <row r="226">
          <cell r="A226" t="str">
            <v>X</v>
          </cell>
          <cell r="C226" t="str">
            <v>KM INNOVATIONS BV</v>
          </cell>
        </row>
        <row r="227">
          <cell r="A227" t="str">
            <v>X</v>
          </cell>
          <cell r="C227" t="str">
            <v>KYOCERA Document Solutions Belgium</v>
          </cell>
        </row>
        <row r="228">
          <cell r="A228" t="str">
            <v>X</v>
          </cell>
          <cell r="C228" t="str">
            <v>LIVA NOVA NEDERLAND NV</v>
          </cell>
        </row>
        <row r="229">
          <cell r="A229" t="str">
            <v>X</v>
          </cell>
          <cell r="C229" t="str">
            <v>LIVANOVA BELGIUM NV</v>
          </cell>
        </row>
        <row r="230">
          <cell r="A230" t="str">
            <v>X</v>
          </cell>
          <cell r="C230" t="str">
            <v>LOHMANN EN RAUSCHER BV</v>
          </cell>
        </row>
        <row r="231">
          <cell r="A231" t="str">
            <v>X</v>
          </cell>
          <cell r="C231" t="str">
            <v>LOHMANN RAUSCHER NV AZ ST DIMPNA</v>
          </cell>
        </row>
        <row r="232">
          <cell r="A232" t="str">
            <v>X</v>
          </cell>
          <cell r="C232" t="str">
            <v>LOHMANN RAUSCHER NV AZH</v>
          </cell>
        </row>
        <row r="233">
          <cell r="A233" t="str">
            <v>X</v>
          </cell>
          <cell r="C233" t="str">
            <v>LOHMANN RAUSCHER NV CHC</v>
          </cell>
        </row>
        <row r="234">
          <cell r="A234" t="str">
            <v>X</v>
          </cell>
          <cell r="C234" t="str">
            <v>LOHMANN RAUSCHER NV EMMAUS</v>
          </cell>
        </row>
        <row r="235">
          <cell r="A235" t="str">
            <v>X</v>
          </cell>
          <cell r="C235" t="str">
            <v>LOHMANN RAUSCHER NV IMELDA</v>
          </cell>
        </row>
        <row r="236">
          <cell r="A236" t="str">
            <v>X</v>
          </cell>
          <cell r="C236" t="str">
            <v>LOHMANN RAUSCHER NV SAL</v>
          </cell>
        </row>
        <row r="237">
          <cell r="A237" t="str">
            <v>X</v>
          </cell>
          <cell r="C237" t="str">
            <v>LOHMANN RAUSCHER NV WZC</v>
          </cell>
        </row>
        <row r="238">
          <cell r="A238" t="str">
            <v>X</v>
          </cell>
          <cell r="C238" t="str">
            <v>LOMED NEDERLAND</v>
          </cell>
        </row>
        <row r="239">
          <cell r="A239" t="str">
            <v>X</v>
          </cell>
          <cell r="C239" t="str">
            <v>LOTUS BAKERIES NV</v>
          </cell>
        </row>
        <row r="240">
          <cell r="A240" t="str">
            <v>X</v>
          </cell>
          <cell r="C240" t="str">
            <v>LYRECO BELGIUM NV</v>
          </cell>
        </row>
        <row r="241">
          <cell r="A241" t="str">
            <v>X</v>
          </cell>
          <cell r="C241" t="str">
            <v>LYRECO NEDERLAND BV</v>
          </cell>
        </row>
        <row r="242">
          <cell r="A242" t="str">
            <v>X</v>
          </cell>
          <cell r="C242" t="str">
            <v>MEDECO BV</v>
          </cell>
        </row>
        <row r="243">
          <cell r="A243" t="str">
            <v>X</v>
          </cell>
          <cell r="C243" t="str">
            <v>MEDELA BENELUX BV</v>
          </cell>
        </row>
        <row r="244">
          <cell r="A244" t="str">
            <v>X</v>
          </cell>
          <cell r="C244" t="str">
            <v>MEDICA EUROPE</v>
          </cell>
        </row>
        <row r="245">
          <cell r="A245" t="str">
            <v>X</v>
          </cell>
          <cell r="C245" t="str">
            <v>MEDICA EUROPE BV</v>
          </cell>
        </row>
        <row r="246">
          <cell r="A246" t="str">
            <v>X</v>
          </cell>
          <cell r="C246" t="str">
            <v>MEDICAL DYNAMICS BV</v>
          </cell>
        </row>
        <row r="247">
          <cell r="A247" t="str">
            <v>X</v>
          </cell>
          <cell r="C247" t="str">
            <v>MEDICO CARE BV</v>
          </cell>
        </row>
        <row r="248">
          <cell r="A248" t="str">
            <v>X</v>
          </cell>
          <cell r="C248" t="str">
            <v>MEDIPHARCHEM NEDERLAND BV</v>
          </cell>
        </row>
        <row r="249">
          <cell r="A249" t="str">
            <v>X</v>
          </cell>
          <cell r="C249" t="str">
            <v>MEDIPLAST / CAIR NEDERLAND</v>
          </cell>
        </row>
        <row r="250">
          <cell r="A250" t="str">
            <v>X</v>
          </cell>
          <cell r="C250" t="str">
            <v>MEDIPLAST BENELUX BV</v>
          </cell>
        </row>
        <row r="251">
          <cell r="A251" t="str">
            <v>X</v>
          </cell>
          <cell r="C251" t="str">
            <v>MEDIQ MEDECO AZ HERENTALS</v>
          </cell>
        </row>
        <row r="252">
          <cell r="A252" t="str">
            <v>X</v>
          </cell>
          <cell r="C252" t="str">
            <v>MEDIQ MEDECO AZ ST DIMPNA GEEL</v>
          </cell>
        </row>
        <row r="253">
          <cell r="A253" t="str">
            <v>X</v>
          </cell>
          <cell r="C253" t="str">
            <v>MEDIQ MEDECO CHC</v>
          </cell>
        </row>
        <row r="254">
          <cell r="A254" t="str">
            <v>X</v>
          </cell>
          <cell r="C254" t="str">
            <v>MEDIQ MEDECO EMMAUS</v>
          </cell>
        </row>
        <row r="255">
          <cell r="A255" t="str">
            <v>X</v>
          </cell>
          <cell r="C255" t="str">
            <v>MEDIQ MEDECO IMELDA</v>
          </cell>
        </row>
        <row r="256">
          <cell r="A256" t="str">
            <v>X</v>
          </cell>
          <cell r="C256" t="str">
            <v>MEDIQ MEDECO NV</v>
          </cell>
        </row>
        <row r="257">
          <cell r="A257" t="str">
            <v>X</v>
          </cell>
          <cell r="C257" t="str">
            <v>MEDIQ MEDECO SAL</v>
          </cell>
        </row>
        <row r="258">
          <cell r="A258" t="str">
            <v>X</v>
          </cell>
          <cell r="C258" t="str">
            <v>MEDIQ MEDECO WZC</v>
          </cell>
        </row>
        <row r="259">
          <cell r="A259" t="str">
            <v>X</v>
          </cell>
          <cell r="C259" t="str">
            <v>MEDIQ MEDECO ZOZ</v>
          </cell>
        </row>
        <row r="260">
          <cell r="A260" t="str">
            <v>X</v>
          </cell>
          <cell r="C260" t="str">
            <v>MEDITEC BV</v>
          </cell>
        </row>
        <row r="261">
          <cell r="A261" t="str">
            <v>X</v>
          </cell>
          <cell r="C261" t="str">
            <v>MEDLINE BVBA AZ ST DIMPNA</v>
          </cell>
        </row>
        <row r="262">
          <cell r="A262" t="str">
            <v>X</v>
          </cell>
          <cell r="C262" t="str">
            <v>MEDLINE BVBA AZH</v>
          </cell>
        </row>
        <row r="263">
          <cell r="A263" t="str">
            <v>X</v>
          </cell>
          <cell r="C263" t="str">
            <v>MEDLINE BVBA CHC</v>
          </cell>
        </row>
        <row r="264">
          <cell r="A264" t="str">
            <v>X</v>
          </cell>
          <cell r="C264" t="str">
            <v>MEDLINE BVBA EMMAUS</v>
          </cell>
        </row>
        <row r="265">
          <cell r="A265" t="str">
            <v>X</v>
          </cell>
          <cell r="C265" t="str">
            <v>MEDLINE BVBA IMELDA</v>
          </cell>
        </row>
        <row r="266">
          <cell r="A266" t="str">
            <v>X</v>
          </cell>
          <cell r="C266" t="str">
            <v>MEDLINE BVBA SAL</v>
          </cell>
        </row>
        <row r="267">
          <cell r="A267" t="str">
            <v>X</v>
          </cell>
          <cell r="C267" t="str">
            <v>MEDLINE INTERNATIONAL NL</v>
          </cell>
        </row>
        <row r="268">
          <cell r="A268" t="str">
            <v>X</v>
          </cell>
          <cell r="C268" t="str">
            <v>MEDTRONIC BELGIUM NV</v>
          </cell>
        </row>
        <row r="269">
          <cell r="A269" t="str">
            <v>X</v>
          </cell>
          <cell r="C269" t="str">
            <v>MEDTRONIC NEDERLAND BV</v>
          </cell>
        </row>
        <row r="270">
          <cell r="A270" t="str">
            <v>X</v>
          </cell>
          <cell r="C270" t="str">
            <v>MEDTRONIC NV AZ ST DIMPNA</v>
          </cell>
        </row>
        <row r="271">
          <cell r="A271" t="str">
            <v>X</v>
          </cell>
          <cell r="C271" t="str">
            <v>MEDTRONIC NV AZH</v>
          </cell>
        </row>
        <row r="272">
          <cell r="A272" t="str">
            <v>X</v>
          </cell>
          <cell r="C272" t="str">
            <v>MEDTRONIC NV CHC</v>
          </cell>
        </row>
        <row r="273">
          <cell r="A273" t="str">
            <v>X</v>
          </cell>
          <cell r="C273" t="str">
            <v>MEDTRONIC NV EMMAUS</v>
          </cell>
        </row>
        <row r="274">
          <cell r="A274" t="str">
            <v>X</v>
          </cell>
          <cell r="C274" t="str">
            <v>MEDTRONIC NV IMELDA</v>
          </cell>
        </row>
        <row r="275">
          <cell r="A275" t="str">
            <v>X</v>
          </cell>
          <cell r="C275" t="str">
            <v>MEDTRONIC NV SAL</v>
          </cell>
        </row>
        <row r="276">
          <cell r="A276" t="str">
            <v>X</v>
          </cell>
          <cell r="C276" t="str">
            <v>MEDTRONIC NV WZC</v>
          </cell>
        </row>
        <row r="277">
          <cell r="A277" t="str">
            <v>X</v>
          </cell>
          <cell r="C277" t="str">
            <v>MERIT MEDICAL BELGIUM BVBA</v>
          </cell>
        </row>
        <row r="278">
          <cell r="A278" t="str">
            <v>X</v>
          </cell>
          <cell r="C278" t="str">
            <v>MERIT MEDICAL BV</v>
          </cell>
        </row>
        <row r="279">
          <cell r="A279" t="str">
            <v>X</v>
          </cell>
          <cell r="C279" t="str">
            <v>MLS Imelda</v>
          </cell>
        </row>
        <row r="280">
          <cell r="A280" t="str">
            <v>X</v>
          </cell>
          <cell r="C280" t="str">
            <v>MLS NV</v>
          </cell>
        </row>
        <row r="281">
          <cell r="A281" t="str">
            <v>X</v>
          </cell>
          <cell r="C281" t="str">
            <v>MLS NV AZ ST DIMPNA</v>
          </cell>
        </row>
        <row r="282">
          <cell r="A282" t="str">
            <v>X</v>
          </cell>
          <cell r="C282" t="str">
            <v>MLS NV AZH</v>
          </cell>
        </row>
        <row r="283">
          <cell r="A283" t="str">
            <v>X</v>
          </cell>
          <cell r="C283" t="str">
            <v>MLS NV CHC</v>
          </cell>
        </row>
        <row r="284">
          <cell r="A284" t="str">
            <v>X</v>
          </cell>
          <cell r="C284" t="str">
            <v>MLS NV EMMAUS</v>
          </cell>
        </row>
        <row r="285">
          <cell r="A285" t="str">
            <v>X</v>
          </cell>
          <cell r="C285" t="str">
            <v>MLS NV EUROFINS NL1033074523</v>
          </cell>
        </row>
        <row r="286">
          <cell r="A286" t="str">
            <v>X</v>
          </cell>
          <cell r="C286" t="str">
            <v>MLS NV SAL</v>
          </cell>
        </row>
        <row r="287">
          <cell r="A287" t="str">
            <v>X</v>
          </cell>
          <cell r="C287" t="str">
            <v>MLS NV TBV E-SWAB AZM</v>
          </cell>
        </row>
        <row r="288">
          <cell r="A288" t="str">
            <v>X</v>
          </cell>
          <cell r="C288" t="str">
            <v>MLS NV WZC</v>
          </cell>
        </row>
        <row r="289">
          <cell r="A289" t="str">
            <v>X</v>
          </cell>
          <cell r="C289" t="str">
            <v>MLS UZ Leuven</v>
          </cell>
        </row>
        <row r="290">
          <cell r="A290" t="str">
            <v>X</v>
          </cell>
          <cell r="C290" t="str">
            <v>MOLNLYCKE HEALTH CARE NV</v>
          </cell>
        </row>
        <row r="291">
          <cell r="A291" t="str">
            <v>X</v>
          </cell>
          <cell r="C291" t="str">
            <v>MOLNLYCKE HEALTHCARE BV</v>
          </cell>
        </row>
        <row r="292">
          <cell r="A292" t="str">
            <v>X</v>
          </cell>
          <cell r="C292" t="str">
            <v>MOLNLYCKE NV AZ HERENTALS</v>
          </cell>
        </row>
        <row r="293">
          <cell r="A293" t="str">
            <v>X</v>
          </cell>
          <cell r="C293" t="str">
            <v>MOLNLYCKE NV AZ ST DIMPNA GEEL</v>
          </cell>
        </row>
        <row r="294">
          <cell r="A294" t="str">
            <v>X</v>
          </cell>
          <cell r="C294" t="str">
            <v>MOLNLYCKE NV CHC</v>
          </cell>
        </row>
        <row r="295">
          <cell r="A295" t="str">
            <v>X</v>
          </cell>
          <cell r="C295" t="str">
            <v>MOLNLYCKE NV EMMAUS</v>
          </cell>
        </row>
        <row r="296">
          <cell r="A296" t="str">
            <v>X</v>
          </cell>
          <cell r="C296" t="str">
            <v>MOLNLYCKE NV IMELDA</v>
          </cell>
        </row>
        <row r="297">
          <cell r="A297" t="str">
            <v>X</v>
          </cell>
          <cell r="C297" t="str">
            <v>MOLNLYCKE NV SAL</v>
          </cell>
        </row>
        <row r="298">
          <cell r="A298" t="str">
            <v>X</v>
          </cell>
          <cell r="C298" t="str">
            <v>MOLNLYCKE NV WZC</v>
          </cell>
        </row>
        <row r="299">
          <cell r="A299" t="str">
            <v>X</v>
          </cell>
          <cell r="C299" t="str">
            <v>MOOVARTES BV</v>
          </cell>
        </row>
        <row r="300">
          <cell r="A300" t="str">
            <v>X</v>
          </cell>
          <cell r="C300" t="str">
            <v>Nestle Belgilux</v>
          </cell>
        </row>
        <row r="301">
          <cell r="A301" t="str">
            <v>X</v>
          </cell>
          <cell r="C301" t="str">
            <v>NIPRO EUROPE NEDERLAND</v>
          </cell>
        </row>
        <row r="302">
          <cell r="A302" t="str">
            <v>X</v>
          </cell>
          <cell r="C302" t="str">
            <v>NIPRO MEDICAL EUROPE</v>
          </cell>
        </row>
        <row r="303">
          <cell r="A303" t="str">
            <v>X</v>
          </cell>
          <cell r="C303" t="str">
            <v>NOOTENS AZ HERENTALS</v>
          </cell>
        </row>
        <row r="304">
          <cell r="A304" t="str">
            <v>X</v>
          </cell>
          <cell r="C304" t="str">
            <v>NOOTENS AZ ST DIMPNA GEEL</v>
          </cell>
        </row>
        <row r="305">
          <cell r="A305" t="str">
            <v>X</v>
          </cell>
          <cell r="C305" t="str">
            <v>NOOTENS CHC</v>
          </cell>
        </row>
        <row r="306">
          <cell r="A306" t="str">
            <v>X</v>
          </cell>
          <cell r="C306" t="str">
            <v>NOOTENS EMMAUS</v>
          </cell>
        </row>
        <row r="307">
          <cell r="A307" t="str">
            <v>X</v>
          </cell>
          <cell r="C307" t="str">
            <v>NOOTENS IMELDA</v>
          </cell>
        </row>
        <row r="308">
          <cell r="A308" t="str">
            <v>X</v>
          </cell>
          <cell r="C308" t="str">
            <v>NOOTENS SAL</v>
          </cell>
        </row>
        <row r="309">
          <cell r="A309" t="str">
            <v>X</v>
          </cell>
          <cell r="C309" t="str">
            <v>NOOTENS WZC</v>
          </cell>
        </row>
        <row r="310">
          <cell r="A310" t="str">
            <v>X</v>
          </cell>
          <cell r="C310" t="str">
            <v>O+M HALYARD BELGIUM BVBA</v>
          </cell>
        </row>
        <row r="311">
          <cell r="A311" t="str">
            <v>X</v>
          </cell>
          <cell r="C311" t="str">
            <v>O+M HALYARD NETHERLANDS BV</v>
          </cell>
        </row>
        <row r="312">
          <cell r="A312" t="str">
            <v>X</v>
          </cell>
          <cell r="C312" t="str">
            <v>OLYMPUS BELGIUM NV</v>
          </cell>
        </row>
        <row r="313">
          <cell r="A313" t="str">
            <v>X</v>
          </cell>
          <cell r="C313" t="str">
            <v>OLYMPUS NEDERLAND BV</v>
          </cell>
        </row>
        <row r="314">
          <cell r="A314" t="str">
            <v>X</v>
          </cell>
          <cell r="C314" t="str">
            <v>OMNISAFE NV</v>
          </cell>
        </row>
        <row r="315">
          <cell r="A315" t="str">
            <v>X</v>
          </cell>
          <cell r="C315" t="str">
            <v>ON SPOT MEDICAL</v>
          </cell>
        </row>
        <row r="316">
          <cell r="A316" t="str">
            <v>X</v>
          </cell>
          <cell r="C316" t="str">
            <v>ONTEX BVBA</v>
          </cell>
        </row>
        <row r="317">
          <cell r="A317" t="str">
            <v>X</v>
          </cell>
          <cell r="C317" t="str">
            <v>PACKYARD PHARMA BV</v>
          </cell>
        </row>
        <row r="318">
          <cell r="A318" t="str">
            <v>X</v>
          </cell>
          <cell r="C318" t="str">
            <v>PAJUNK MEDICAL PRODUKTE GMBH</v>
          </cell>
        </row>
        <row r="319">
          <cell r="A319" t="str">
            <v>X</v>
          </cell>
          <cell r="C319" t="str">
            <v>PAUL HARTMANN BV</v>
          </cell>
        </row>
        <row r="320">
          <cell r="A320" t="str">
            <v>X</v>
          </cell>
          <cell r="C320" t="str">
            <v>PAUL HARTMANN NV AZ ST DIMPNA</v>
          </cell>
        </row>
        <row r="321">
          <cell r="A321" t="str">
            <v>X</v>
          </cell>
          <cell r="C321" t="str">
            <v>PAUL HARTMANN NV AZH</v>
          </cell>
        </row>
        <row r="322">
          <cell r="A322" t="str">
            <v>X</v>
          </cell>
          <cell r="C322" t="str">
            <v>PAUL HARTMANN NV CHC</v>
          </cell>
        </row>
        <row r="323">
          <cell r="A323" t="str">
            <v>X</v>
          </cell>
          <cell r="C323" t="str">
            <v>PAUL HARTMANN NV EMMAUS</v>
          </cell>
        </row>
        <row r="324">
          <cell r="A324" t="str">
            <v>X</v>
          </cell>
          <cell r="C324" t="str">
            <v>PAUL HARTMANN NV IMELDA</v>
          </cell>
        </row>
        <row r="325">
          <cell r="A325" t="str">
            <v>X</v>
          </cell>
          <cell r="C325" t="str">
            <v>PAUL HARTMANN NV OPZ</v>
          </cell>
        </row>
        <row r="326">
          <cell r="A326" t="str">
            <v>X</v>
          </cell>
          <cell r="C326" t="str">
            <v>PAUL HARTMANN NV SAL</v>
          </cell>
        </row>
        <row r="327">
          <cell r="A327" t="str">
            <v>X</v>
          </cell>
          <cell r="C327" t="str">
            <v>PAUL HARTMANN NV WZC</v>
          </cell>
        </row>
        <row r="328">
          <cell r="A328" t="str">
            <v>X</v>
          </cell>
          <cell r="C328" t="str">
            <v>PETERS SURGICAL SA</v>
          </cell>
        </row>
        <row r="329">
          <cell r="A329" t="str">
            <v>X</v>
          </cell>
          <cell r="C329" t="str">
            <v>PHI DATA NV</v>
          </cell>
        </row>
        <row r="330">
          <cell r="A330" t="str">
            <v>X</v>
          </cell>
          <cell r="C330" t="str">
            <v>PHILIPS BELGIUM COMMERCIAL NV</v>
          </cell>
        </row>
        <row r="331">
          <cell r="A331" t="str">
            <v>X</v>
          </cell>
          <cell r="C331" t="str">
            <v>PHILIPS NEDERLAND HEALTHCARE BV</v>
          </cell>
        </row>
        <row r="332">
          <cell r="A332" t="str">
            <v>X</v>
          </cell>
          <cell r="C332" t="str">
            <v>PHYSIOL NV</v>
          </cell>
        </row>
        <row r="333">
          <cell r="A333" t="str">
            <v>X</v>
          </cell>
          <cell r="C333" t="str">
            <v>PL-SAFETY</v>
          </cell>
        </row>
        <row r="334">
          <cell r="A334" t="str">
            <v>X</v>
          </cell>
          <cell r="C334" t="str">
            <v>PREZERO RECYCLING BV</v>
          </cell>
        </row>
        <row r="335">
          <cell r="A335" t="str">
            <v>X</v>
          </cell>
          <cell r="C335" t="str">
            <v>QP&amp;S NV</v>
          </cell>
        </row>
        <row r="336">
          <cell r="A336" t="str">
            <v>X</v>
          </cell>
          <cell r="C336" t="str">
            <v>QRS HEALTHCARE BV</v>
          </cell>
        </row>
        <row r="337">
          <cell r="A337" t="str">
            <v>X</v>
          </cell>
          <cell r="C337" t="str">
            <v>RAJAPACK BV</v>
          </cell>
        </row>
        <row r="338">
          <cell r="A338" t="str">
            <v>X</v>
          </cell>
          <cell r="C338" t="str">
            <v>RAJAPACK NV</v>
          </cell>
        </row>
        <row r="339">
          <cell r="A339" t="str">
            <v>X</v>
          </cell>
          <cell r="C339" t="str">
            <v>REALDOLMEN NV</v>
          </cell>
        </row>
        <row r="340">
          <cell r="A340" t="str">
            <v>X</v>
          </cell>
          <cell r="C340" t="str">
            <v>REMBRANDT MEDICAL</v>
          </cell>
        </row>
        <row r="341">
          <cell r="A341" t="str">
            <v>X</v>
          </cell>
          <cell r="C341" t="str">
            <v>REMBRANDT MEDICAL NV</v>
          </cell>
        </row>
        <row r="342">
          <cell r="A342" t="str">
            <v>X</v>
          </cell>
          <cell r="C342" t="str">
            <v>REYNDERS LABEL PRINTING</v>
          </cell>
        </row>
        <row r="343">
          <cell r="A343" t="str">
            <v>X</v>
          </cell>
          <cell r="C343" t="str">
            <v>RICOH BELGIUM NV</v>
          </cell>
        </row>
        <row r="344">
          <cell r="A344" t="str">
            <v>X</v>
          </cell>
          <cell r="C344" t="str">
            <v>RMS Medical Devices</v>
          </cell>
        </row>
        <row r="345">
          <cell r="A345" t="str">
            <v>X</v>
          </cell>
          <cell r="C345" t="str">
            <v>ROCHE DIAGNOSTICS BELGIUM NV</v>
          </cell>
        </row>
        <row r="346">
          <cell r="A346" t="str">
            <v>X</v>
          </cell>
          <cell r="C346" t="str">
            <v>ROCHE DIAGNOSTICS BV-GLUC.STR. ORB</v>
          </cell>
        </row>
        <row r="347">
          <cell r="A347" t="str">
            <v>X</v>
          </cell>
          <cell r="C347" t="str">
            <v>ROCHE DIAGONSTICS BV</v>
          </cell>
        </row>
        <row r="348">
          <cell r="A348" t="str">
            <v>X</v>
          </cell>
          <cell r="C348" t="str">
            <v>ROCKMED</v>
          </cell>
        </row>
        <row r="349">
          <cell r="A349" t="str">
            <v>X</v>
          </cell>
          <cell r="C349" t="str">
            <v>ROCKMED BV</v>
          </cell>
        </row>
        <row r="350">
          <cell r="A350" t="str">
            <v>X</v>
          </cell>
          <cell r="C350" t="str">
            <v>Rockmed Pharma BV</v>
          </cell>
        </row>
        <row r="351">
          <cell r="A351" t="str">
            <v>X</v>
          </cell>
          <cell r="C351" t="str">
            <v>SALUBRIS EMMAUS</v>
          </cell>
        </row>
        <row r="352">
          <cell r="A352" t="str">
            <v>X</v>
          </cell>
          <cell r="C352" t="str">
            <v>SALUBRIS IMELDA</v>
          </cell>
        </row>
        <row r="353">
          <cell r="A353" t="str">
            <v>X</v>
          </cell>
          <cell r="C353" t="str">
            <v>SALUBRIS OPZ</v>
          </cell>
        </row>
        <row r="354">
          <cell r="A354" t="str">
            <v>X</v>
          </cell>
          <cell r="C354" t="str">
            <v>SALUBRIS SAL</v>
          </cell>
        </row>
        <row r="355">
          <cell r="A355" t="str">
            <v>X</v>
          </cell>
          <cell r="C355" t="str">
            <v>SALUBRIS WZC</v>
          </cell>
        </row>
        <row r="356">
          <cell r="A356" t="str">
            <v>X</v>
          </cell>
          <cell r="C356" t="str">
            <v>SARSTEDT BV</v>
          </cell>
        </row>
        <row r="357">
          <cell r="A357" t="str">
            <v>X</v>
          </cell>
          <cell r="C357" t="str">
            <v>SARSTEDT BVBA</v>
          </cell>
        </row>
        <row r="358">
          <cell r="A358" t="str">
            <v>X</v>
          </cell>
          <cell r="C358" t="str">
            <v>SLIGRO FOOD - VAN HOECKEL BV</v>
          </cell>
        </row>
        <row r="359">
          <cell r="A359" t="str">
            <v>X</v>
          </cell>
          <cell r="C359" t="str">
            <v>SLIGRO FOOD GROUP BELGIUM NV</v>
          </cell>
        </row>
        <row r="360">
          <cell r="A360" t="str">
            <v>X</v>
          </cell>
          <cell r="C360" t="str">
            <v>SLIGRO FOOD GROUP BELGIUM OPZ</v>
          </cell>
        </row>
        <row r="361">
          <cell r="A361" t="str">
            <v>X</v>
          </cell>
          <cell r="C361" t="str">
            <v>SLIGRO FOOD GROUP BELGIUM SAL</v>
          </cell>
        </row>
        <row r="362">
          <cell r="A362" t="str">
            <v>X</v>
          </cell>
          <cell r="C362" t="str">
            <v>SLIGRO FOOD GROUP BELGIUM WZC</v>
          </cell>
        </row>
        <row r="363">
          <cell r="A363" t="str">
            <v>X</v>
          </cell>
          <cell r="C363" t="str">
            <v>SLIGRO FOOD-VAN HOECKEL BV GHZ</v>
          </cell>
        </row>
        <row r="364">
          <cell r="A364" t="str">
            <v>X</v>
          </cell>
          <cell r="C364" t="str">
            <v>SMITH &amp; NEPHEW NV AZ ST DIMPNA</v>
          </cell>
        </row>
        <row r="365">
          <cell r="A365" t="str">
            <v>X</v>
          </cell>
          <cell r="C365" t="str">
            <v>SMITH &amp; NEPHEW NV AZH</v>
          </cell>
        </row>
        <row r="366">
          <cell r="A366" t="str">
            <v>X</v>
          </cell>
          <cell r="C366" t="str">
            <v>SMITH &amp; NEPHEW NV CHC</v>
          </cell>
        </row>
        <row r="367">
          <cell r="A367" t="str">
            <v>X</v>
          </cell>
          <cell r="C367" t="str">
            <v>SMITH &amp; NEPHEW NV EMMAUS</v>
          </cell>
        </row>
        <row r="368">
          <cell r="A368" t="str">
            <v>X</v>
          </cell>
          <cell r="C368" t="str">
            <v>SMITH &amp; NEPHEW NV IMELDA</v>
          </cell>
        </row>
        <row r="369">
          <cell r="A369" t="str">
            <v>X</v>
          </cell>
          <cell r="C369" t="str">
            <v>SMITH &amp; NEPHEW NV SAL</v>
          </cell>
        </row>
        <row r="370">
          <cell r="A370" t="str">
            <v>X</v>
          </cell>
          <cell r="C370" t="str">
            <v>SMITH &amp; NEPHEW NV WZC</v>
          </cell>
        </row>
        <row r="371">
          <cell r="A371" t="str">
            <v>X</v>
          </cell>
          <cell r="C371" t="str">
            <v>SMITH EN NEPHEW NEDERLAND BV</v>
          </cell>
        </row>
        <row r="372">
          <cell r="A372" t="str">
            <v>X</v>
          </cell>
          <cell r="C372" t="str">
            <v>SODEXO HEALTHCARE</v>
          </cell>
        </row>
        <row r="373">
          <cell r="A373" t="str">
            <v>X</v>
          </cell>
          <cell r="C373" t="str">
            <v>SOLUCIOUS NV IMELDA</v>
          </cell>
        </row>
        <row r="374">
          <cell r="A374" t="str">
            <v>X</v>
          </cell>
          <cell r="C374" t="str">
            <v>SOLUCIOUS NV SAL</v>
          </cell>
        </row>
        <row r="375">
          <cell r="A375" t="str">
            <v>X</v>
          </cell>
          <cell r="C375" t="str">
            <v>SOLUCIOUS NV WZC</v>
          </cell>
        </row>
        <row r="376">
          <cell r="A376" t="str">
            <v>X</v>
          </cell>
          <cell r="C376" t="str">
            <v>STAPLES ADVANTAGE BVBA</v>
          </cell>
        </row>
        <row r="377">
          <cell r="A377" t="str">
            <v>X</v>
          </cell>
          <cell r="C377" t="str">
            <v>STAXS BELGIUM NV</v>
          </cell>
        </row>
        <row r="378">
          <cell r="A378" t="str">
            <v>X</v>
          </cell>
          <cell r="C378" t="str">
            <v>STAXS THE NETHERLANDS BV</v>
          </cell>
        </row>
        <row r="379">
          <cell r="A379" t="str">
            <v>X</v>
          </cell>
          <cell r="C379" t="str">
            <v>STERIS NETHERLANDS BV</v>
          </cell>
        </row>
        <row r="380">
          <cell r="A380" t="str">
            <v>X</v>
          </cell>
          <cell r="C380" t="str">
            <v>STICHTING CERTE MED.DIAGNOSTIEK+ADV</v>
          </cell>
        </row>
        <row r="381">
          <cell r="A381" t="str">
            <v>X</v>
          </cell>
          <cell r="C381" t="str">
            <v>STRYKER HOWMEDICA NV</v>
          </cell>
        </row>
        <row r="382">
          <cell r="A382" t="str">
            <v>X</v>
          </cell>
          <cell r="C382" t="str">
            <v>STRYKER NEDERLAND</v>
          </cell>
        </row>
        <row r="383">
          <cell r="A383" t="str">
            <v>X</v>
          </cell>
          <cell r="C383" t="str">
            <v>SYSMEX BELGIUM NV</v>
          </cell>
        </row>
        <row r="384">
          <cell r="A384" t="str">
            <v>X</v>
          </cell>
          <cell r="C384" t="str">
            <v>SYSMEX BV</v>
          </cell>
        </row>
        <row r="385">
          <cell r="A385" t="str">
            <v>X</v>
          </cell>
          <cell r="C385" t="str">
            <v>Systemat Document Solutions</v>
          </cell>
        </row>
        <row r="386">
          <cell r="A386" t="str">
            <v>X</v>
          </cell>
          <cell r="C386" t="str">
            <v>TELEFLEX AZ HERENTALS</v>
          </cell>
        </row>
        <row r="387">
          <cell r="A387" t="str">
            <v>X</v>
          </cell>
          <cell r="C387" t="str">
            <v>TELEFLEX AZ ST DIMPNA GEEL</v>
          </cell>
        </row>
        <row r="388">
          <cell r="A388" t="str">
            <v>X</v>
          </cell>
          <cell r="C388" t="str">
            <v>TELEFLEX CHC</v>
          </cell>
        </row>
        <row r="389">
          <cell r="A389" t="str">
            <v>X</v>
          </cell>
          <cell r="C389" t="str">
            <v>TELEFLEX EMMAUS</v>
          </cell>
        </row>
        <row r="390">
          <cell r="A390" t="str">
            <v>X</v>
          </cell>
          <cell r="C390" t="str">
            <v>TELEFLEX IMELDA</v>
          </cell>
        </row>
        <row r="391">
          <cell r="A391" t="str">
            <v>X</v>
          </cell>
          <cell r="C391" t="str">
            <v>TELEFLEX MEDICAL BV</v>
          </cell>
        </row>
        <row r="392">
          <cell r="A392" t="str">
            <v>X</v>
          </cell>
          <cell r="C392" t="str">
            <v>TELEFLEX SAL</v>
          </cell>
        </row>
        <row r="393">
          <cell r="A393" t="str">
            <v>X</v>
          </cell>
          <cell r="C393" t="str">
            <v>TELEFLEX WZC</v>
          </cell>
        </row>
        <row r="394">
          <cell r="A394" t="str">
            <v>X</v>
          </cell>
          <cell r="C394" t="str">
            <v>TERUMO BCT EUROPE NV</v>
          </cell>
        </row>
        <row r="395">
          <cell r="A395" t="str">
            <v>X</v>
          </cell>
          <cell r="C395" t="str">
            <v>TERUMO EUROPE NV</v>
          </cell>
        </row>
        <row r="396">
          <cell r="A396" t="str">
            <v>X</v>
          </cell>
          <cell r="C396" t="str">
            <v>THE SURGICAL COMPANY PTM</v>
          </cell>
        </row>
        <row r="397">
          <cell r="A397" t="str">
            <v>X</v>
          </cell>
          <cell r="C397" t="str">
            <v>TRENDY FOODS BELGIUM</v>
          </cell>
        </row>
        <row r="398">
          <cell r="A398" t="str">
            <v>X</v>
          </cell>
          <cell r="C398" t="str">
            <v>TURBEL NV</v>
          </cell>
        </row>
        <row r="399">
          <cell r="A399" t="str">
            <v>X</v>
          </cell>
          <cell r="C399" t="str">
            <v>TZMO BENELUX BV</v>
          </cell>
        </row>
        <row r="400">
          <cell r="A400" t="str">
            <v>X</v>
          </cell>
          <cell r="C400" t="str">
            <v>VAN HOECKEL - PALLET LEVERING</v>
          </cell>
        </row>
        <row r="401">
          <cell r="A401" t="str">
            <v>X</v>
          </cell>
          <cell r="C401" t="str">
            <v>VAN HOECKEL BV ZOZ</v>
          </cell>
        </row>
        <row r="402">
          <cell r="A402" t="str">
            <v>X</v>
          </cell>
          <cell r="C402" t="str">
            <v>VAN STRATEN MEDICAL BV</v>
          </cell>
        </row>
        <row r="403">
          <cell r="A403" t="str">
            <v>X</v>
          </cell>
          <cell r="C403" t="str">
            <v>VAN VLIET MEDICAL PRODUCTS BV</v>
          </cell>
        </row>
        <row r="404">
          <cell r="A404" t="str">
            <v>X</v>
          </cell>
          <cell r="C404" t="str">
            <v>VAN VLIET MEDICAL SUPPLY BV</v>
          </cell>
        </row>
        <row r="405">
          <cell r="A405" t="str">
            <v>X</v>
          </cell>
          <cell r="C405" t="str">
            <v>VANDEPUTTE MEDICAL</v>
          </cell>
        </row>
        <row r="406">
          <cell r="A406" t="str">
            <v>X</v>
          </cell>
          <cell r="C406" t="str">
            <v>Vandeputte Medical BV</v>
          </cell>
        </row>
        <row r="407">
          <cell r="A407" t="str">
            <v>X</v>
          </cell>
          <cell r="C407" t="str">
            <v>VANDEPUTTE SAFETY</v>
          </cell>
        </row>
        <row r="408">
          <cell r="A408" t="str">
            <v>X</v>
          </cell>
          <cell r="C408" t="str">
            <v>Vantive B.V.</v>
          </cell>
        </row>
        <row r="409">
          <cell r="A409" t="str">
            <v>X</v>
          </cell>
          <cell r="C409" t="str">
            <v>VANTIVE BELGIUM SRL CHC</v>
          </cell>
        </row>
        <row r="410">
          <cell r="A410" t="str">
            <v>X</v>
          </cell>
          <cell r="C410" t="str">
            <v>VANTIVE BELGIUM SRL IMELDA</v>
          </cell>
        </row>
        <row r="411">
          <cell r="A411" t="str">
            <v>X</v>
          </cell>
          <cell r="C411" t="str">
            <v>VANTIVE BELGIUM SRL SAL</v>
          </cell>
        </row>
        <row r="412">
          <cell r="A412" t="str">
            <v>X</v>
          </cell>
          <cell r="C412" t="str">
            <v>VEKA MEDICAL BV</v>
          </cell>
        </row>
        <row r="413">
          <cell r="A413" t="str">
            <v>X</v>
          </cell>
          <cell r="C413" t="str">
            <v>VE-SYSTEMS BV</v>
          </cell>
        </row>
        <row r="414">
          <cell r="A414" t="str">
            <v>X</v>
          </cell>
          <cell r="C414" t="str">
            <v>VISION MEDICAL COMPANY</v>
          </cell>
        </row>
        <row r="415">
          <cell r="A415" t="str">
            <v>X</v>
          </cell>
          <cell r="C415" t="str">
            <v>VIVISOL BVBA</v>
          </cell>
        </row>
        <row r="416">
          <cell r="A416" t="str">
            <v>X</v>
          </cell>
          <cell r="C416" t="str">
            <v>VIVISOL NEDERLAND</v>
          </cell>
        </row>
        <row r="417">
          <cell r="A417" t="str">
            <v>X</v>
          </cell>
          <cell r="C417" t="str">
            <v>VVO DRINKS BVBA</v>
          </cell>
        </row>
        <row r="418">
          <cell r="A418" t="str">
            <v>X</v>
          </cell>
          <cell r="C418" t="str">
            <v>VWR INTERNATIONAL</v>
          </cell>
        </row>
        <row r="419">
          <cell r="A419" t="str">
            <v>X</v>
          </cell>
          <cell r="C419" t="str">
            <v>VWR INTERNATIONAL</v>
          </cell>
        </row>
        <row r="420">
          <cell r="A420" t="str">
            <v>X</v>
          </cell>
          <cell r="C420" t="str">
            <v>VWR INTERNATIONAL AZ ST DIMPNA GEEL</v>
          </cell>
        </row>
        <row r="421">
          <cell r="A421" t="str">
            <v>X</v>
          </cell>
          <cell r="C421" t="str">
            <v>VWR INTERNATIONAL CHC</v>
          </cell>
        </row>
        <row r="422">
          <cell r="A422" t="str">
            <v>X</v>
          </cell>
          <cell r="C422" t="str">
            <v>VWR INTERNATIONAL EMMAUS</v>
          </cell>
        </row>
        <row r="423">
          <cell r="A423" t="str">
            <v>X</v>
          </cell>
          <cell r="C423" t="str">
            <v>VWR INTERNATIONAL IMELDA</v>
          </cell>
        </row>
        <row r="424">
          <cell r="A424" t="str">
            <v>X</v>
          </cell>
          <cell r="C424" t="str">
            <v>VWR INTERNATIONAL SAL</v>
          </cell>
        </row>
        <row r="425">
          <cell r="A425" t="str">
            <v>X</v>
          </cell>
          <cell r="C425" t="str">
            <v>VYGON NEDERLAND BV</v>
          </cell>
        </row>
        <row r="426">
          <cell r="A426" t="str">
            <v>X</v>
          </cell>
          <cell r="C426" t="str">
            <v>VYGON NV</v>
          </cell>
        </row>
        <row r="427">
          <cell r="A427" t="str">
            <v>X</v>
          </cell>
          <cell r="C427" t="str">
            <v>VYGON NV AZ HERENTALS</v>
          </cell>
        </row>
        <row r="428">
          <cell r="A428" t="str">
            <v>X</v>
          </cell>
          <cell r="C428" t="str">
            <v>VYGON NV AZ ST DIMPNA</v>
          </cell>
        </row>
        <row r="429">
          <cell r="A429" t="str">
            <v>X</v>
          </cell>
          <cell r="C429" t="str">
            <v>VYGON NV CHC</v>
          </cell>
        </row>
        <row r="430">
          <cell r="A430" t="str">
            <v>X</v>
          </cell>
          <cell r="C430" t="str">
            <v>VYGON NV EMMAUS</v>
          </cell>
        </row>
        <row r="431">
          <cell r="A431" t="str">
            <v>X</v>
          </cell>
          <cell r="C431" t="str">
            <v>VYGON NV IMELDA</v>
          </cell>
        </row>
        <row r="432">
          <cell r="A432" t="str">
            <v>X</v>
          </cell>
          <cell r="C432" t="str">
            <v>VYGON NV SAL</v>
          </cell>
        </row>
        <row r="433">
          <cell r="A433" t="str">
            <v>X</v>
          </cell>
          <cell r="C433" t="str">
            <v>WELLSPECT BV</v>
          </cell>
        </row>
        <row r="434">
          <cell r="A434" t="str">
            <v>X</v>
          </cell>
          <cell r="C434" t="str">
            <v>WM SUPPLIES BVBA AZ ST D</v>
          </cell>
        </row>
        <row r="435">
          <cell r="A435" t="str">
            <v>X</v>
          </cell>
          <cell r="C435" t="str">
            <v>WM SUPPLIES BVBA AZH</v>
          </cell>
        </row>
        <row r="436">
          <cell r="A436" t="str">
            <v>X</v>
          </cell>
          <cell r="C436" t="str">
            <v>WM SUPPLIES BVBA CHC</v>
          </cell>
        </row>
        <row r="437">
          <cell r="A437" t="str">
            <v>X</v>
          </cell>
          <cell r="C437" t="str">
            <v>WM SUPPLIES BVBA EMMAUS</v>
          </cell>
        </row>
        <row r="438">
          <cell r="A438" t="str">
            <v>X</v>
          </cell>
          <cell r="C438" t="str">
            <v>WM SUPPLIES BVBA IMELDA</v>
          </cell>
        </row>
        <row r="439">
          <cell r="A439" t="str">
            <v>X</v>
          </cell>
          <cell r="C439" t="str">
            <v>WM SUPPLIES BVBA OPZ</v>
          </cell>
        </row>
        <row r="440">
          <cell r="A440" t="str">
            <v>X</v>
          </cell>
          <cell r="C440" t="str">
            <v>WM SUPPLIES BVBA SAL</v>
          </cell>
        </row>
        <row r="441">
          <cell r="A441" t="str">
            <v>X</v>
          </cell>
          <cell r="C441" t="str">
            <v>WM SUPPLIES BVBA WZC</v>
          </cell>
        </row>
        <row r="442">
          <cell r="A442" t="str">
            <v>X</v>
          </cell>
          <cell r="C442" t="str">
            <v>YVSOLAB NV</v>
          </cell>
        </row>
        <row r="443">
          <cell r="A443" t="str">
            <v>X</v>
          </cell>
          <cell r="C443" t="str">
            <v>ZALSMAN BV</v>
          </cell>
        </row>
        <row r="444">
          <cell r="A444" t="str">
            <v>X</v>
          </cell>
          <cell r="C444" t="str">
            <v>ZALSMAN BV - LEVERINGEN OSS</v>
          </cell>
        </row>
        <row r="445">
          <cell r="A445" t="str">
            <v>X</v>
          </cell>
          <cell r="C445" t="str">
            <v>ZOLL INTERNATIONAL HOLDING</v>
          </cell>
        </row>
      </sheetData>
      <sheetData sheetId="1"/>
      <sheetData sheetId="2"/>
      <sheetData sheetId="3"/>
      <sheetData sheetId="4">
        <row r="2">
          <cell r="A2" t="str">
            <v>File Name</v>
          </cell>
          <cell r="R2" t="str">
            <v>Supplier Name</v>
          </cell>
        </row>
        <row r="3">
          <cell r="A3" t="str">
            <v>Uw orderbevestiging 60392040.pdf</v>
          </cell>
          <cell r="R3" t="str">
            <v>QRS Healthcare BV</v>
          </cell>
        </row>
        <row r="4">
          <cell r="A4" t="str">
            <v>Verkooporder SO00454632 _ 3505026682.pdf</v>
          </cell>
          <cell r="R4" t="str">
            <v>G3 Medical B.V.</v>
          </cell>
        </row>
        <row r="5">
          <cell r="A5" t="str">
            <v>Verkooporder SO00454632 _ 3505026682.pdf</v>
          </cell>
          <cell r="R5" t="str">
            <v>G3 Medical B.V.</v>
          </cell>
        </row>
        <row r="6">
          <cell r="A6" t="str">
            <v>Verkooporder SO00454632 _ 3505026682.pdf</v>
          </cell>
          <cell r="R6" t="str">
            <v>G3 Medical B.V.</v>
          </cell>
        </row>
        <row r="7">
          <cell r="A7" t="str">
            <v>Verkooporder SO00454632 _ 3505026682.pdf</v>
          </cell>
          <cell r="R7" t="str">
            <v>G3 Medical B.V.</v>
          </cell>
        </row>
        <row r="8">
          <cell r="A8" t="str">
            <v>Verkooporder SO00454632 _ 3505026682.pdf</v>
          </cell>
          <cell r="R8" t="str">
            <v>G3 Medical B.V.</v>
          </cell>
        </row>
        <row r="9">
          <cell r="A9" t="str">
            <v>Verkooporder SO00454632 _ 3505026682.pdf</v>
          </cell>
          <cell r="R9" t="str">
            <v>G3 Medical B.V.</v>
          </cell>
        </row>
        <row r="10">
          <cell r="A10" t="str">
            <v>Verkooporder SO00454632 _ 3505026682.pdf</v>
          </cell>
          <cell r="R10" t="str">
            <v>G3 Medical B.V.</v>
          </cell>
        </row>
        <row r="11">
          <cell r="A11" t="str">
            <v>Verkooporder SO00454632 _ 3505026682.pdf</v>
          </cell>
          <cell r="R11" t="str">
            <v>G3 Medical B.V.</v>
          </cell>
        </row>
        <row r="12">
          <cell r="A12" t="str">
            <v>Verkooporder SO00454616 _ 3505026682.pdf</v>
          </cell>
          <cell r="R12" t="str">
            <v>G3 Medical B.V.</v>
          </cell>
        </row>
        <row r="13">
          <cell r="A13" t="str">
            <v>Verkooporder SO00454616 _ 3505026682.pdf</v>
          </cell>
          <cell r="R13" t="str">
            <v>G3 Medical B.V.</v>
          </cell>
        </row>
        <row r="14">
          <cell r="A14" t="str">
            <v>Verkooporder SO00454616 _ 3505026682.pdf</v>
          </cell>
          <cell r="R14" t="str">
            <v>G3 Medical B.V.</v>
          </cell>
        </row>
        <row r="15">
          <cell r="A15" t="str">
            <v>Verkooporder SO00454616 _ 3505026682.pdf</v>
          </cell>
          <cell r="R15" t="str">
            <v>G3 Medical B.V.</v>
          </cell>
        </row>
        <row r="16">
          <cell r="A16" t="str">
            <v>Verkooporder SO00454616 _ 3505026682.pdf</v>
          </cell>
          <cell r="R16" t="str">
            <v>G3 Medical B.V.</v>
          </cell>
        </row>
        <row r="17">
          <cell r="A17" t="str">
            <v>Verkooporder SO00454616 _ 3505026682.pdf</v>
          </cell>
          <cell r="R17" t="str">
            <v>G3 Medical B.V.</v>
          </cell>
        </row>
        <row r="18">
          <cell r="A18" t="str">
            <v>Verkooporder SO00454616 _ 3505026682.pdf</v>
          </cell>
          <cell r="R18" t="str">
            <v>G3 Medical B.V.</v>
          </cell>
        </row>
        <row r="19">
          <cell r="A19" t="str">
            <v>Verkooporder SO00454616 _ 3505026682.pdf</v>
          </cell>
          <cell r="R19" t="str">
            <v>G3 Medical B.V.</v>
          </cell>
        </row>
        <row r="20">
          <cell r="A20" t="str">
            <v>Verkooporder SO00454616 _ 3505026682.pdf</v>
          </cell>
          <cell r="R20" t="str">
            <v>G3 Medical B.V.</v>
          </cell>
        </row>
        <row r="21">
          <cell r="A21" t="str">
            <v>Verkooporder SO00454616 _ 3505026682.pdf</v>
          </cell>
          <cell r="R21" t="str">
            <v>G3 Medical B.V.</v>
          </cell>
        </row>
        <row r="22">
          <cell r="A22" t="str">
            <v>Verkooporder SO00454616 _ 3505026682.pdf</v>
          </cell>
          <cell r="R22" t="str">
            <v>G3 Medical B.V.</v>
          </cell>
        </row>
        <row r="23">
          <cell r="A23" t="str">
            <v>Re_ [EXTERNAL EMAIL] Order Hospital Logistics  1507018691.pdf</v>
          </cell>
          <cell r="R23" t="str">
            <v>Fresenius Medical Care Nederland BV</v>
          </cell>
        </row>
        <row r="24">
          <cell r="A24" t="str">
            <v>Re_ [EXTERNAL EMAIL] Order Hospital Logistics  1507018691.pdf</v>
          </cell>
          <cell r="R24" t="str">
            <v>Fresenius Medical Care Nederland BV</v>
          </cell>
        </row>
        <row r="25">
          <cell r="A25" t="str">
            <v>Re_ [EXTERNAL EMAIL] Order Hospital Logistics  1507018691.pdf</v>
          </cell>
          <cell r="R25" t="str">
            <v>Fresenius Medical Care Nederland BV</v>
          </cell>
        </row>
        <row r="26">
          <cell r="A26" t="str">
            <v>Re_ [EXTERNAL EMAIL] Order Hospital Logistics  1507018691.pdf</v>
          </cell>
          <cell r="R26" t="str">
            <v>Fresenius Medical Care Nederland BV</v>
          </cell>
        </row>
        <row r="27">
          <cell r="A27" t="str">
            <v>Re_ [EXTERNAL EMAIL] Order Hospital Logistics  1507018691.pdf</v>
          </cell>
          <cell r="R27" t="str">
            <v>Fresenius Medical Care Nederland BV</v>
          </cell>
        </row>
        <row r="28">
          <cell r="A28" t="str">
            <v>Re_ [EXTERNAL EMAIL] Order Hospital Logistics  1507018691.pdf</v>
          </cell>
          <cell r="R28" t="str">
            <v>Fresenius Medical Care Nederland BV</v>
          </cell>
        </row>
        <row r="29">
          <cell r="A29" t="str">
            <v>Re_ [EXTERNAL EMAIL] Order Hospital Logistics  3504015924.pdf</v>
          </cell>
          <cell r="R29" t="str">
            <v>Fresenius Medical Care Nederland BV</v>
          </cell>
        </row>
        <row r="30">
          <cell r="A30" t="str">
            <v>Re_ [EXTERNAL EMAIL] Order Hospital Logistics  3504015924.pdf</v>
          </cell>
          <cell r="R30" t="str">
            <v>Fresenius Medical Care Nederland BV</v>
          </cell>
        </row>
        <row r="31">
          <cell r="A31" t="str">
            <v>Re_ [EXTERNAL EMAIL] Order Hospital Logistics  3504015924.pdf</v>
          </cell>
          <cell r="R31" t="str">
            <v>Fresenius Medical Care Nederland BV</v>
          </cell>
        </row>
        <row r="32">
          <cell r="A32" t="str">
            <v>3505026639 ESSITY Orderbevestiging.pdf</v>
          </cell>
          <cell r="R32" t="str">
            <v>Essity Netherlands B.V. Health &amp; Medical</v>
          </cell>
        </row>
        <row r="33">
          <cell r="A33" t="str">
            <v>3505026639 ESSITY Orderbevestiging.pdf</v>
          </cell>
          <cell r="R33" t="str">
            <v>Essity Netherlands B.V. Health &amp; Medical</v>
          </cell>
        </row>
        <row r="34">
          <cell r="A34" t="str">
            <v>3505026639 ESSITY Orderbevestiging.pdf</v>
          </cell>
          <cell r="R34" t="str">
            <v>Essity Netherlands B.V. Health &amp; Medical</v>
          </cell>
        </row>
        <row r="35">
          <cell r="A35" t="str">
            <v>3505026639 ESSITY Orderbevestiging.pdf</v>
          </cell>
          <cell r="R35" t="str">
            <v>Essity Netherlands B.V. Health &amp; Medical</v>
          </cell>
        </row>
        <row r="36">
          <cell r="A36" t="str">
            <v>3505026639 ESSITY Orderbevestiging.pdf</v>
          </cell>
          <cell r="R36" t="str">
            <v>Essity Netherlands B.V. Health &amp; Medical</v>
          </cell>
        </row>
        <row r="37">
          <cell r="A37" t="str">
            <v>3505026639 ESSITY Orderbevestiging.pdf</v>
          </cell>
          <cell r="R37" t="str">
            <v>Essity Netherlands B.V. Health &amp; Medical</v>
          </cell>
        </row>
        <row r="38">
          <cell r="A38" t="str">
            <v>3505026639 ESSITY Orderbevestiging.pdf</v>
          </cell>
          <cell r="R38" t="str">
            <v>Essity Netherlands B.V. Health &amp; Medical</v>
          </cell>
        </row>
        <row r="39">
          <cell r="A39" t="str">
            <v>3505026639 ESSITY Orderbevestiging.pdf</v>
          </cell>
          <cell r="R39" t="str">
            <v>Essity Netherlands B.V. Health &amp; Medical</v>
          </cell>
        </row>
        <row r="40">
          <cell r="A40" t="str">
            <v>3505026639 ESSITY Orderbevestiging.pdf</v>
          </cell>
          <cell r="R40" t="str">
            <v>Essity Netherlands B.V. Health &amp; Medical</v>
          </cell>
        </row>
        <row r="41">
          <cell r="A41" t="str">
            <v>3505026639 ESSITY Orderbevestiging.pdf</v>
          </cell>
          <cell r="R41" t="str">
            <v>Essity Netherlands B.V. Health &amp; Medical</v>
          </cell>
        </row>
        <row r="42">
          <cell r="A42" t="str">
            <v>3505026639 ESSITY Orderbevestiging.pdf</v>
          </cell>
          <cell r="R42" t="str">
            <v>Essity Netherlands B.V. Health &amp; Medical</v>
          </cell>
        </row>
        <row r="43">
          <cell r="A43" t="str">
            <v>3505026639 ESSITY Orderbevestiging.pdf</v>
          </cell>
          <cell r="R43" t="str">
            <v>Essity Netherlands B.V. Health &amp; Medical</v>
          </cell>
        </row>
        <row r="44">
          <cell r="A44" t="str">
            <v>3505026639 ESSITY Orderbevestiging.pdf</v>
          </cell>
          <cell r="R44" t="str">
            <v>Essity Netherlands B.V. Health &amp; Medical</v>
          </cell>
        </row>
        <row r="45">
          <cell r="A45" t="str">
            <v>3505026639 ESSITY Orderbevestiging.pdf</v>
          </cell>
          <cell r="R45" t="str">
            <v>Essity Netherlands B.V. Health &amp; Medical</v>
          </cell>
        </row>
        <row r="46">
          <cell r="A46" t="str">
            <v>3505026639 ESSITY Orderbevestiging.pdf</v>
          </cell>
          <cell r="R46" t="str">
            <v>Essity Netherlands B.V. Health &amp; Medical</v>
          </cell>
        </row>
        <row r="47">
          <cell r="A47" t="str">
            <v>3505026639 ESSITY Orderbevestiging.pdf</v>
          </cell>
          <cell r="R47" t="str">
            <v>Essity Netherlands B.V. Health &amp; Medical</v>
          </cell>
        </row>
        <row r="48">
          <cell r="A48" t="str">
            <v>3505026639 ESSITY Orderbevestiging.pdf</v>
          </cell>
          <cell r="R48" t="str">
            <v>Essity Netherlands B.V. Health &amp; Medical</v>
          </cell>
        </row>
        <row r="49">
          <cell r="A49" t="str">
            <v>3505026639 ESSITY Orderbevestiging.pdf</v>
          </cell>
          <cell r="R49" t="str">
            <v>Essity Netherlands B.V. Health &amp; Medical</v>
          </cell>
        </row>
        <row r="50">
          <cell r="A50" t="str">
            <v>3505026639 ESSITY Orderbevestiging.pdf</v>
          </cell>
          <cell r="R50" t="str">
            <v>Essity Netherlands B.V. Health &amp; Medical</v>
          </cell>
        </row>
        <row r="51">
          <cell r="A51" t="str">
            <v>3505026639 ESSITY Orderbevestiging.pdf</v>
          </cell>
          <cell r="R51" t="str">
            <v>Essity Netherlands B.V. Health &amp; Medical</v>
          </cell>
        </row>
        <row r="52">
          <cell r="A52" t="str">
            <v>3505026639 ESSITY Orderbevestiging.pdf</v>
          </cell>
          <cell r="R52" t="str">
            <v>Essity Netherlands B.V. Health &amp; Medical</v>
          </cell>
        </row>
        <row r="53">
          <cell r="A53" t="str">
            <v>3505026639 ESSITY Orderbevestiging.pdf</v>
          </cell>
          <cell r="R53" t="str">
            <v>Essity Netherlands B.V. Health &amp; Medical</v>
          </cell>
        </row>
        <row r="54">
          <cell r="A54" t="str">
            <v>3505026639 ESSITY Orderbevestiging.pdf</v>
          </cell>
          <cell r="R54" t="str">
            <v>Essity Netherlands B.V. Health &amp; Medical</v>
          </cell>
        </row>
        <row r="55">
          <cell r="A55" t="str">
            <v>3505026639 ESSITY Orderbevestiging.pdf</v>
          </cell>
          <cell r="R55" t="str">
            <v>Essity Netherlands B.V. Health &amp; Medical</v>
          </cell>
        </row>
        <row r="56">
          <cell r="A56" t="str">
            <v>3505026639 ESSITY Orderbevestiging.pdf</v>
          </cell>
          <cell r="R56" t="str">
            <v>Essity Netherlands B.V. Health &amp; Medical</v>
          </cell>
        </row>
        <row r="57">
          <cell r="A57" t="str">
            <v>3505026639 ESSITY Orderbevestiging.pdf</v>
          </cell>
          <cell r="R57" t="str">
            <v>Essity Netherlands B.V. Health &amp; Medical</v>
          </cell>
        </row>
        <row r="58">
          <cell r="A58" t="str">
            <v>3505026639 ESSITY Orderbevestiging.pdf</v>
          </cell>
          <cell r="R58" t="str">
            <v>Essity Netherlands B.V. Health &amp; Medical</v>
          </cell>
        </row>
        <row r="59">
          <cell r="A59" t="str">
            <v>3505026639 ESSITY Orderbevestiging.pdf</v>
          </cell>
          <cell r="R59" t="str">
            <v>Essity Netherlands B.V. Health &amp; Medical</v>
          </cell>
        </row>
        <row r="60">
          <cell r="A60" t="str">
            <v>3505026639 ESSITY Orderbevestiging.pdf</v>
          </cell>
          <cell r="R60" t="str">
            <v>Essity Netherlands B.V. Health &amp; Medical</v>
          </cell>
        </row>
        <row r="61">
          <cell r="A61" t="str">
            <v>3505026639 ESSITY Orderbevestiging.pdf</v>
          </cell>
          <cell r="R61" t="str">
            <v>Essity Netherlands B.V. Health &amp; Medical</v>
          </cell>
        </row>
        <row r="62">
          <cell r="A62" t="str">
            <v>3505026639 ESSITY Orderbevestiging.pdf</v>
          </cell>
          <cell r="R62" t="str">
            <v>Essity Netherlands B.V. Health &amp; Medical</v>
          </cell>
        </row>
        <row r="63">
          <cell r="A63" t="str">
            <v>3505026639 ESSITY Orderbevestiging.pdf</v>
          </cell>
          <cell r="R63" t="str">
            <v>Essity Netherlands B.V. Health &amp; Medical</v>
          </cell>
        </row>
        <row r="64">
          <cell r="A64" t="str">
            <v>3505026639 ESSITY Orderbevestiging.pdf</v>
          </cell>
          <cell r="R64" t="str">
            <v>Essity Netherlands B.V. Health &amp; Medical</v>
          </cell>
        </row>
        <row r="65">
          <cell r="A65" t="str">
            <v>3505026639 ESSITY Orderbevestiging.pdf</v>
          </cell>
          <cell r="R65" t="str">
            <v>Essity Netherlands B.V. Health &amp; Medical</v>
          </cell>
        </row>
        <row r="66">
          <cell r="A66" t="str">
            <v>3505026639 ESSITY Orderbevestiging.pdf</v>
          </cell>
          <cell r="R66" t="str">
            <v>Essity Netherlands B.V. Health &amp; Medical</v>
          </cell>
        </row>
        <row r="67">
          <cell r="A67" t="str">
            <v>3505026639 ESSITY Orderbevestiging.pdf</v>
          </cell>
          <cell r="R67" t="str">
            <v>Essity Netherlands B.V. Health &amp; Medical</v>
          </cell>
        </row>
        <row r="68">
          <cell r="A68" t="str">
            <v>3505026639 ESSITY Orderbevestiging.pdf</v>
          </cell>
          <cell r="R68" t="str">
            <v>Essity Netherlands B.V. Health &amp; Medical</v>
          </cell>
        </row>
        <row r="69">
          <cell r="A69" t="str">
            <v>3505026639 ESSITY Orderbevestiging.pdf</v>
          </cell>
          <cell r="R69" t="str">
            <v>Essity Netherlands B.V. Health &amp; Medical</v>
          </cell>
        </row>
        <row r="70">
          <cell r="A70" t="str">
            <v>3505026639 ESSITY Orderbevestiging.pdf</v>
          </cell>
          <cell r="R70" t="str">
            <v>Essity Netherlands B.V. Health &amp; Medical</v>
          </cell>
        </row>
        <row r="71">
          <cell r="A71" t="str">
            <v>3505026639 ESSITY Orderbevestiging.pdf</v>
          </cell>
          <cell r="R71" t="str">
            <v>Essity Netherlands B.V. Health &amp; Medical</v>
          </cell>
        </row>
        <row r="72">
          <cell r="A72" t="str">
            <v>3505026639 ESSITY Orderbevestiging.pdf</v>
          </cell>
          <cell r="R72" t="str">
            <v>Essity Netherlands B.V. Health &amp; Medical</v>
          </cell>
        </row>
        <row r="73">
          <cell r="A73" t="str">
            <v>3505026639 ESSITY Orderbevestiging.pdf</v>
          </cell>
          <cell r="R73" t="str">
            <v>Essity Netherlands B.V. Health &amp; Medical</v>
          </cell>
        </row>
        <row r="74">
          <cell r="A74" t="str">
            <v>3505026639 ESSITY Orderbevestiging.pdf</v>
          </cell>
          <cell r="R74" t="str">
            <v>Essity Netherlands B.V. Health &amp; Medical</v>
          </cell>
        </row>
        <row r="75">
          <cell r="A75" t="str">
            <v>3505026639 ESSITY Orderbevestiging.pdf</v>
          </cell>
          <cell r="R75" t="str">
            <v>Essity Netherlands B.V. Health &amp; Medical</v>
          </cell>
        </row>
        <row r="76">
          <cell r="A76" t="str">
            <v>3505026639 ESSITY Orderbevestiging.pdf</v>
          </cell>
          <cell r="R76" t="str">
            <v>Essity Netherlands B.V. Health &amp; Medical</v>
          </cell>
        </row>
        <row r="77">
          <cell r="A77" t="str">
            <v>3505026639 ESSITY Orderbevestiging.pdf</v>
          </cell>
          <cell r="R77" t="str">
            <v>Essity Netherlands B.V. Health &amp; Medical</v>
          </cell>
        </row>
        <row r="78">
          <cell r="A78" t="str">
            <v>3505026639 ESSITY Orderbevestiging.pdf</v>
          </cell>
          <cell r="R78" t="str">
            <v>Essity Netherlands B.V. Health &amp; Medical</v>
          </cell>
        </row>
        <row r="79">
          <cell r="A79" t="str">
            <v>3505026639 ESSITY Orderbevestiging.pdf</v>
          </cell>
          <cell r="R79" t="str">
            <v>Essity Netherlands B.V. Health &amp; Medical</v>
          </cell>
        </row>
        <row r="80">
          <cell r="A80" t="str">
            <v>3505026639 ESSITY Orderbevestiging.pdf</v>
          </cell>
          <cell r="R80" t="str">
            <v>Essity Netherlands B.V. Health &amp; Medical</v>
          </cell>
        </row>
        <row r="81">
          <cell r="A81" t="str">
            <v>3505026639 ESSITY Orderbevestiging.pdf</v>
          </cell>
          <cell r="R81" t="str">
            <v>Essity Netherlands B.V. Health &amp; Medical</v>
          </cell>
        </row>
        <row r="82">
          <cell r="A82" t="str">
            <v>3505026639 ESSITY Orderbevestiging.pdf</v>
          </cell>
          <cell r="R82" t="str">
            <v>Essity Netherlands B.V. Health &amp; Medical</v>
          </cell>
        </row>
        <row r="83">
          <cell r="A83" t="str">
            <v>3505026639 ESSITY Orderbevestiging.pdf</v>
          </cell>
          <cell r="R83" t="str">
            <v>Essity Netherlands B.V. Health &amp; Medical</v>
          </cell>
        </row>
        <row r="84">
          <cell r="A84" t="str">
            <v>3505026639 ESSITY Orderbevestiging.pdf</v>
          </cell>
          <cell r="R84" t="str">
            <v>Essity Netherlands B.V. Health &amp; Medical</v>
          </cell>
        </row>
        <row r="85">
          <cell r="A85" t="str">
            <v>3505026639 ESSITY Orderbevestiging.pdf</v>
          </cell>
          <cell r="R85" t="str">
            <v>Essity Netherlands B.V. Health &amp; Medical</v>
          </cell>
        </row>
        <row r="86">
          <cell r="A86" t="str">
            <v>3505026639 ESSITY Orderbevestiging.pdf</v>
          </cell>
          <cell r="R86" t="str">
            <v>Essity Netherlands B.V. Health &amp; Medical</v>
          </cell>
        </row>
        <row r="87">
          <cell r="A87" t="str">
            <v>3505026639 ESSITY Orderbevestiging.pdf</v>
          </cell>
          <cell r="R87" t="str">
            <v>Essity Netherlands B.V. Health &amp; Medical</v>
          </cell>
        </row>
        <row r="88">
          <cell r="A88" t="str">
            <v>3505026639 ESSITY Orderbevestiging.pdf</v>
          </cell>
          <cell r="R88" t="str">
            <v>Essity Netherlands B.V. Health &amp; Medical</v>
          </cell>
        </row>
        <row r="89">
          <cell r="A89" t="str">
            <v>3505026639 ESSITY Orderbevestiging.pdf</v>
          </cell>
          <cell r="R89" t="str">
            <v>Essity Netherlands B.V. Health &amp; Medical</v>
          </cell>
        </row>
        <row r="90">
          <cell r="A90" t="str">
            <v>3505026639 ESSITY Orderbevestiging.pdf</v>
          </cell>
          <cell r="R90" t="str">
            <v>Essity Netherlands B.V. Health &amp; Medical</v>
          </cell>
        </row>
        <row r="91">
          <cell r="A91" t="str">
            <v>3505026639 ESSITY Orderbevestiging.pdf</v>
          </cell>
          <cell r="R91" t="str">
            <v>Essity Netherlands B.V. Health &amp; Medical</v>
          </cell>
        </row>
        <row r="92">
          <cell r="A92" t="str">
            <v>3505026639 ESSITY Orderbevestiging.pdf</v>
          </cell>
          <cell r="R92" t="str">
            <v>Essity Netherlands B.V. Health &amp; Medical</v>
          </cell>
        </row>
        <row r="93">
          <cell r="A93" t="str">
            <v>3505026639 ESSITY Orderbevestiging.pdf</v>
          </cell>
          <cell r="R93" t="str">
            <v>Essity Netherlands B.V. Health &amp; Medical</v>
          </cell>
        </row>
        <row r="94">
          <cell r="A94" t="str">
            <v>3505026639 ESSITY Orderbevestiging.pdf</v>
          </cell>
          <cell r="R94" t="str">
            <v>Essity Netherlands B.V. Health &amp; Medical</v>
          </cell>
        </row>
        <row r="95">
          <cell r="A95" t="str">
            <v>3505026639 ESSITY Orderbevestiging.pdf</v>
          </cell>
          <cell r="R95" t="str">
            <v>Essity Netherlands B.V. Health &amp; Medical</v>
          </cell>
        </row>
        <row r="96">
          <cell r="A96" t="str">
            <v>3505026639 ESSITY Orderbevestiging.pdf</v>
          </cell>
          <cell r="R96" t="str">
            <v>Essity Netherlands B.V. Health &amp; Medical</v>
          </cell>
        </row>
        <row r="97">
          <cell r="A97" t="str">
            <v>3505026639 ESSITY Orderbevestiging.pdf</v>
          </cell>
          <cell r="R97" t="str">
            <v>Essity Netherlands B.V. Health &amp; Medical</v>
          </cell>
        </row>
        <row r="98">
          <cell r="A98" t="str">
            <v>3505026639 ESSITY Orderbevestiging.pdf</v>
          </cell>
          <cell r="R98" t="str">
            <v>Essity Netherlands B.V. Health &amp; Medical</v>
          </cell>
        </row>
        <row r="99">
          <cell r="A99" t="str">
            <v>3505026639 ESSITY Orderbevestiging.pdf</v>
          </cell>
          <cell r="R99" t="str">
            <v>Essity Netherlands B.V. Health &amp; Medical</v>
          </cell>
        </row>
        <row r="100">
          <cell r="A100" t="str">
            <v>3505026639 ESSITY Orderbevestiging.pdf</v>
          </cell>
          <cell r="R100" t="str">
            <v>Essity Netherlands B.V. Health &amp; Medical</v>
          </cell>
        </row>
        <row r="101">
          <cell r="A101" t="str">
            <v>3505026639 ESSITY Orderbevestiging.pdf</v>
          </cell>
          <cell r="R101" t="str">
            <v>Essity Netherlands B.V. Health &amp; Medical</v>
          </cell>
        </row>
        <row r="102">
          <cell r="A102" t="str">
            <v>3505026639 ESSITY Orderbevestiging.pdf</v>
          </cell>
          <cell r="R102" t="str">
            <v>Essity Netherlands B.V. Health &amp; Medical</v>
          </cell>
        </row>
        <row r="103">
          <cell r="A103" t="str">
            <v>3505026639 ESSITY Orderbevestiging.pdf</v>
          </cell>
          <cell r="R103" t="str">
            <v>Essity Netherlands B.V. Health &amp; Medical</v>
          </cell>
        </row>
        <row r="104">
          <cell r="A104" t="str">
            <v>3505026639 ESSITY Orderbevestiging.pdf</v>
          </cell>
          <cell r="R104" t="str">
            <v>Essity Netherlands B.V. Health &amp; Medical</v>
          </cell>
        </row>
        <row r="105">
          <cell r="A105" t="str">
            <v>3505026639 ESSITY Orderbevestiging.pdf</v>
          </cell>
          <cell r="R105" t="str">
            <v>Essity Netherlands B.V. Health &amp; Medical</v>
          </cell>
        </row>
        <row r="106">
          <cell r="A106" t="str">
            <v>3505026639 ESSITY Orderbevestiging.pdf</v>
          </cell>
          <cell r="R106" t="str">
            <v>Essity Netherlands B.V. Health &amp; Medical</v>
          </cell>
        </row>
        <row r="107">
          <cell r="A107" t="str">
            <v>3505026639 ESSITY Orderbevestiging.pdf</v>
          </cell>
          <cell r="R107" t="str">
            <v>Essity Netherlands B.V. Health &amp; Medical</v>
          </cell>
        </row>
        <row r="108">
          <cell r="A108" t="str">
            <v>3505026639 ESSITY Orderbevestiging.pdf</v>
          </cell>
          <cell r="R108" t="str">
            <v>Essity Netherlands B.V. Health &amp; Medical</v>
          </cell>
        </row>
        <row r="109">
          <cell r="A109" t="str">
            <v>3505026639 ESSITY Orderbevestiging.pdf</v>
          </cell>
          <cell r="R109" t="str">
            <v>Essity Netherlands B.V. Health &amp; Medical</v>
          </cell>
        </row>
        <row r="110">
          <cell r="A110" t="str">
            <v>3505026639 ESSITY Orderbevestiging.pdf</v>
          </cell>
          <cell r="R110" t="str">
            <v>Essity Netherlands B.V. Health &amp; Medical</v>
          </cell>
        </row>
        <row r="111">
          <cell r="A111" t="str">
            <v>3505026639 ESSITY Orderbevestiging.pdf</v>
          </cell>
          <cell r="R111" t="str">
            <v>Essity Netherlands B.V. Health &amp; Medical</v>
          </cell>
        </row>
        <row r="112">
          <cell r="A112" t="str">
            <v>3505026639 ESSITY Orderbevestiging.pdf</v>
          </cell>
          <cell r="R112" t="str">
            <v>Essity Netherlands B.V. Health &amp; Medical</v>
          </cell>
        </row>
        <row r="113">
          <cell r="A113" t="str">
            <v>3505026639 ESSITY Orderbevestiging.pdf</v>
          </cell>
          <cell r="R113" t="str">
            <v>Essity Netherlands B.V. Health &amp; Medical</v>
          </cell>
        </row>
        <row r="114">
          <cell r="A114" t="str">
            <v>3505026639 ESSITY Orderbevestiging.pdf</v>
          </cell>
          <cell r="R114" t="str">
            <v>Essity Netherlands B.V. Health &amp; Medical</v>
          </cell>
        </row>
        <row r="115">
          <cell r="A115" t="str">
            <v>3505026639 ESSITY Orderbevestiging.pdf</v>
          </cell>
          <cell r="R115" t="str">
            <v>Essity Netherlands B.V. Health &amp; Medical</v>
          </cell>
        </row>
        <row r="116">
          <cell r="A116" t="str">
            <v>3505026639 ESSITY Orderbevestiging.pdf</v>
          </cell>
          <cell r="R116" t="str">
            <v>Essity Netherlands B.V. Health &amp; Medical</v>
          </cell>
        </row>
        <row r="117">
          <cell r="A117" t="str">
            <v>3505026639 ESSITY Orderbevestiging.pdf</v>
          </cell>
          <cell r="R117" t="str">
            <v>Essity Netherlands B.V. Health &amp; Medical</v>
          </cell>
        </row>
        <row r="118">
          <cell r="A118" t="str">
            <v>3505026639 ESSITY Orderbevestiging.pdf</v>
          </cell>
          <cell r="R118" t="str">
            <v>Essity Netherlands B.V. Health &amp; Medical</v>
          </cell>
        </row>
        <row r="119">
          <cell r="A119" t="str">
            <v>3505026639 ESSITY Orderbevestiging.pdf</v>
          </cell>
          <cell r="R119" t="str">
            <v>Essity Netherlands B.V. Health &amp; Medical</v>
          </cell>
        </row>
        <row r="120">
          <cell r="A120" t="str">
            <v>Order bevestiging 26-02818.pdf</v>
          </cell>
          <cell r="R120" t="str">
            <v>Medtronic Trading NL BV</v>
          </cell>
        </row>
        <row r="121">
          <cell r="A121" t="str">
            <v>Order bevestiging 26-02818.pdf</v>
          </cell>
          <cell r="R121" t="str">
            <v>Medtronic Trading NL BV</v>
          </cell>
        </row>
        <row r="122">
          <cell r="A122" t="str">
            <v>3505026670 ESSITY Orderbevestiging.pdf</v>
          </cell>
          <cell r="R122" t="str">
            <v>Essity Netherlands B.V.</v>
          </cell>
        </row>
        <row r="123">
          <cell r="A123" t="str">
            <v>Betreft_ Overzicht van nog te leveren Vygon producten.pdf</v>
          </cell>
          <cell r="R123" t="str">
            <v>VYGON NEDERLAND B.V.</v>
          </cell>
        </row>
        <row r="124">
          <cell r="A124" t="str">
            <v>6507004827 ESSITY Order Ontvangstbevestiging.pdf</v>
          </cell>
          <cell r="R124" t="str">
            <v>Essity Netherlands B.V.</v>
          </cell>
        </row>
        <row r="125">
          <cell r="A125" t="str">
            <v>Order bevestiging 26-02818.pdf</v>
          </cell>
          <cell r="R125" t="str">
            <v>Medtronic Trading NL BV</v>
          </cell>
        </row>
        <row r="126">
          <cell r="A126" t="str">
            <v>Order bevestiging 26-02818.pdf</v>
          </cell>
          <cell r="R126" t="str">
            <v>Medtronic Trading NL BV</v>
          </cell>
        </row>
        <row r="127">
          <cell r="A127" t="str">
            <v>Jouw Lyreco bestelling 1178683275 - 2505040761 is onderweg!.pdf</v>
          </cell>
        </row>
        <row r="128">
          <cell r="A128" t="str">
            <v>Bevestiging bestelling  S09313444-1.pdf</v>
          </cell>
          <cell r="R128" t="str">
            <v>King Belgium SA/NV</v>
          </cell>
        </row>
        <row r="129">
          <cell r="A129" t="str">
            <v>JAVA leveringsinformatie.pdf</v>
          </cell>
        </row>
        <row r="130">
          <cell r="A130" t="str">
            <v>Verkooporder SO00454642 _ 3505026682.pdf</v>
          </cell>
        </row>
        <row r="131">
          <cell r="A131" t="str">
            <v>Verkooporder SO00454641 _ 3505026682.pdf</v>
          </cell>
          <cell r="R131" t="str">
            <v>G3 Medical B.V.</v>
          </cell>
        </row>
        <row r="132">
          <cell r="A132" t="str">
            <v>Verkooporder SO00454641 _ 3505026682.pdf</v>
          </cell>
          <cell r="R132" t="str">
            <v>G3 Medical B.V.</v>
          </cell>
        </row>
        <row r="133">
          <cell r="A133" t="str">
            <v>Verkooporder SO00454641 _ 3505026682.pdf</v>
          </cell>
          <cell r="R133" t="str">
            <v>G3 Medical B.V.</v>
          </cell>
        </row>
        <row r="134">
          <cell r="A134" t="str">
            <v>Verkooporder SO00454641 _ 3505026682.pdf</v>
          </cell>
          <cell r="R134" t="str">
            <v>G3 Medical B.V.</v>
          </cell>
        </row>
        <row r="135">
          <cell r="A135" t="str">
            <v>Verkooporder SO00454641 _ 3505026682.pdf</v>
          </cell>
          <cell r="R135" t="str">
            <v>G3 Medical B.V.</v>
          </cell>
        </row>
        <row r="136">
          <cell r="A136" t="str">
            <v>Verkooporder SO00454639 _ 3505026682.pdf</v>
          </cell>
          <cell r="R136" t="str">
            <v>G3 Medical B.V.</v>
          </cell>
        </row>
        <row r="137">
          <cell r="A137" t="str">
            <v>Verkooporder SO00454639 _ 3505026682.pdf</v>
          </cell>
          <cell r="R137" t="str">
            <v>G3 Medical B.V.</v>
          </cell>
        </row>
        <row r="138">
          <cell r="A138" t="str">
            <v>Verkooporder SO00454639 _ 3505026682.pdf</v>
          </cell>
          <cell r="R138" t="str">
            <v>G3 Medical B.V.</v>
          </cell>
        </row>
        <row r="139">
          <cell r="A139" t="str">
            <v>Verkooporder SO00454639 _ 3505026682.pdf</v>
          </cell>
          <cell r="R139" t="str">
            <v>G3 Medical B.V.</v>
          </cell>
        </row>
        <row r="140">
          <cell r="A140" t="str">
            <v>Verkooporder SO00454639 _ 3505026682.pdf</v>
          </cell>
          <cell r="R140" t="str">
            <v>G3 Medical B.V.</v>
          </cell>
        </row>
        <row r="141">
          <cell r="A141" t="str">
            <v>Verkooporder SO00454644 _ 3507009728.pdf</v>
          </cell>
        </row>
        <row r="142">
          <cell r="A142" t="str">
            <v>RE_ RE_ Teleflex Orderbevestiging 1504025864 and 13995843.pdf</v>
          </cell>
        </row>
        <row r="143">
          <cell r="A143" t="str">
            <v>Lyreco orderbevestiging 167912161-16022026-0006.pdf</v>
          </cell>
          <cell r="R143" t="str">
            <v>Lyreco Belgium SA/NV</v>
          </cell>
        </row>
        <row r="144">
          <cell r="A144" t="str">
            <v>Orderbevestiging C007-S2607585-1.pdf</v>
          </cell>
          <cell r="R144" t="str">
            <v>Duomed Belgium NV/SA</v>
          </cell>
        </row>
        <row r="145">
          <cell r="A145" t="str">
            <v>Orderbevestiging C007-S2607585-1.pdf</v>
          </cell>
          <cell r="R145" t="str">
            <v>Duomed Belgium NV/SA</v>
          </cell>
        </row>
        <row r="146">
          <cell r="A146" t="str">
            <v>Orderbevestiging C007-S2607585-1.pdf</v>
          </cell>
          <cell r="R146" t="str">
            <v>Duomed Belgium NV/SA</v>
          </cell>
        </row>
        <row r="147">
          <cell r="A147" t="str">
            <v>Orderbevestiging C007-S2607585-1.pdf</v>
          </cell>
          <cell r="R147" t="str">
            <v>Duomed Belgium NV/SA</v>
          </cell>
        </row>
        <row r="148">
          <cell r="A148" t="str">
            <v>Orderbevestiging C007-S2607585-1.pdf</v>
          </cell>
          <cell r="R148" t="str">
            <v>Duomed Belgium NV/SA</v>
          </cell>
        </row>
        <row r="149">
          <cell r="A149" t="str">
            <v>Orderbevestiging C007-S2607585-1.pdf</v>
          </cell>
          <cell r="R149" t="str">
            <v>Duomed Belgium NV/SA</v>
          </cell>
        </row>
        <row r="150">
          <cell r="A150" t="str">
            <v>Orderbevestiging C007-S2607585-1.pdf</v>
          </cell>
          <cell r="R150" t="str">
            <v>Duomed Belgium NV/SA</v>
          </cell>
        </row>
        <row r="151">
          <cell r="A151" t="str">
            <v>Orderbevestiging C007-S2607585-1.pdf</v>
          </cell>
          <cell r="R151" t="str">
            <v>Duomed Belgium NV/SA</v>
          </cell>
        </row>
        <row r="152">
          <cell r="A152" t="str">
            <v>Orderbevestiging C007-S2607585-1.pdf</v>
          </cell>
          <cell r="R152" t="str">
            <v>Duomed Belgium NV/SA</v>
          </cell>
        </row>
        <row r="153">
          <cell r="A153" t="str">
            <v>Orderbevestiging C007-S2607585-1.pdf</v>
          </cell>
          <cell r="R153" t="str">
            <v>Duomed Belgium NV/SA</v>
          </cell>
        </row>
        <row r="154">
          <cell r="A154" t="str">
            <v>Orderbevestiging C007-S2607585-1.pdf</v>
          </cell>
          <cell r="R154" t="str">
            <v>Duomed Belgium NV/SA</v>
          </cell>
        </row>
        <row r="155">
          <cell r="A155" t="str">
            <v>Orderbevestiging C007-S2607585-1.pdf</v>
          </cell>
          <cell r="R155" t="str">
            <v>Duomed Belgium NV/SA</v>
          </cell>
        </row>
        <row r="156">
          <cell r="A156" t="str">
            <v>Orderbevestiging_Orderacknowledgement_ 3505026688.pdf</v>
          </cell>
          <cell r="R156" t="str">
            <v>Medica Europe B.V.</v>
          </cell>
        </row>
        <row r="157">
          <cell r="A157" t="str">
            <v>Bevestiging bestelling  S09313928-1.pdf</v>
          </cell>
          <cell r="R157" t="str">
            <v>King Belgium SA/NV</v>
          </cell>
        </row>
        <row r="158">
          <cell r="A158" t="str">
            <v>Bevestiging bestelling  S09313928-1.pdf</v>
          </cell>
          <cell r="R158" t="str">
            <v>King Belgium SA/NV</v>
          </cell>
        </row>
        <row r="159">
          <cell r="A159" t="str">
            <v>RE_ order 1501037263.pdf</v>
          </cell>
        </row>
        <row r="160">
          <cell r="A160" t="str">
            <v>Mediq orderbevestiging_ 1507018696.pdf</v>
          </cell>
          <cell r="R160" t="str">
            <v>Mediq Nederland B.V.</v>
          </cell>
        </row>
        <row r="161">
          <cell r="A161" t="str">
            <v>Verkooporder SO00454663 _ 3504015927.pdf</v>
          </cell>
          <cell r="R161" t="str">
            <v>G3 Medical B.V.</v>
          </cell>
        </row>
        <row r="162">
          <cell r="A162" t="str">
            <v>Verkooporder SO00454663 _ 3504015927.pdf</v>
          </cell>
          <cell r="R162" t="str">
            <v>G3 Medical B.V.</v>
          </cell>
        </row>
        <row r="163">
          <cell r="A163" t="str">
            <v>Verkooporder SO00454663 _ 3504015927.pdf</v>
          </cell>
          <cell r="R163" t="str">
            <v>G3 Medical B.V.</v>
          </cell>
        </row>
        <row r="164">
          <cell r="A164" t="str">
            <v>Verkooporder SO00454663 _ 3504015927.pdf</v>
          </cell>
          <cell r="R164" t="str">
            <v>G3 Medical B.V.</v>
          </cell>
        </row>
        <row r="165">
          <cell r="A165" t="str">
            <v>Verkooporder SO00454663 _ 3504015927.pdf</v>
          </cell>
          <cell r="R165" t="str">
            <v>G3 Medical B.V.</v>
          </cell>
        </row>
        <row r="166">
          <cell r="A166" t="str">
            <v>Verkooporder SO00454663 _ 3504015927.pdf</v>
          </cell>
          <cell r="R166" t="str">
            <v>G3 Medical B.V.</v>
          </cell>
        </row>
        <row r="167">
          <cell r="A167" t="str">
            <v>Verkooporder SO00454663 _ 3504015927.pdf</v>
          </cell>
          <cell r="R167" t="str">
            <v>G3 Medical B.V.</v>
          </cell>
        </row>
        <row r="168">
          <cell r="A168" t="str">
            <v>Verkooporder SO00454663 _ 3504015927.pdf</v>
          </cell>
          <cell r="R168" t="str">
            <v>G3 Medical B.V.</v>
          </cell>
        </row>
        <row r="169">
          <cell r="A169" t="str">
            <v>Verkooporder SO00454663 _ 3504015927.pdf</v>
          </cell>
          <cell r="R169" t="str">
            <v>G3 Medical B.V.</v>
          </cell>
        </row>
        <row r="170">
          <cell r="A170" t="str">
            <v>Verkooporder SO00454663 _ 3504015927.pdf</v>
          </cell>
          <cell r="R170" t="str">
            <v>G3 Medical B.V.</v>
          </cell>
        </row>
        <row r="171">
          <cell r="A171" t="str">
            <v>Medtronic - backorder report - Hospital Logistics.pdf</v>
          </cell>
        </row>
        <row r="172">
          <cell r="A172" t="str">
            <v>BD Order Acknowledgement for your purchase order with reference 3507009726.pdf</v>
          </cell>
          <cell r="R172" t="str">
            <v>Becton Dickinson BV</v>
          </cell>
        </row>
        <row r="173">
          <cell r="A173" t="str">
            <v>BD Order Acknowledgement for your purchase order with reference 3507009726.pdf</v>
          </cell>
          <cell r="R173" t="str">
            <v>Becton Dickinson BV</v>
          </cell>
        </row>
        <row r="174">
          <cell r="A174" t="str">
            <v>BD Order Acknowledgement for your purchase order with reference 3507009726.pdf</v>
          </cell>
          <cell r="R174" t="str">
            <v>Becton Dickinson BV</v>
          </cell>
        </row>
        <row r="175">
          <cell r="A175" t="str">
            <v>BD Order Acknowledgement for your purchase order with reference 3507009726.pdf</v>
          </cell>
          <cell r="R175" t="str">
            <v>Becton Dickinson BV</v>
          </cell>
        </row>
        <row r="176">
          <cell r="A176" t="str">
            <v>BD Order Acknowledgement for your purchase order with reference 3507009726.pdf</v>
          </cell>
          <cell r="R176" t="str">
            <v>Becton Dickinson BV</v>
          </cell>
        </row>
        <row r="177">
          <cell r="A177" t="str">
            <v>BD Order Acknowledgement for your purchase order with reference 3507009726.pdf</v>
          </cell>
          <cell r="R177" t="str">
            <v>Becton Dickinson BV</v>
          </cell>
        </row>
        <row r="178">
          <cell r="A178" t="str">
            <v>BD Order Acknowledgement for your purchase order with reference 3507009726.pdf</v>
          </cell>
          <cell r="R178" t="str">
            <v>Becton Dickinson BV</v>
          </cell>
        </row>
        <row r="179">
          <cell r="A179" t="str">
            <v>BD Order Acknowledgement for your purchase order with reference 3507009726.pdf</v>
          </cell>
          <cell r="R179" t="str">
            <v>Becton Dickinson BV</v>
          </cell>
        </row>
        <row r="180">
          <cell r="A180" t="str">
            <v>BD Order Acknowledgement for your purchase order with reference 3507009726.pdf</v>
          </cell>
          <cell r="R180" t="str">
            <v>Becton Dickinson BV</v>
          </cell>
        </row>
        <row r="181">
          <cell r="A181" t="str">
            <v>BD Order Acknowledgement for your purchase order with reference 3507009726.pdf</v>
          </cell>
          <cell r="R181" t="str">
            <v>Becton Dickinson BV</v>
          </cell>
        </row>
        <row r="182">
          <cell r="A182" t="str">
            <v>BD Order Acknowledgement for your purchase order with reference 3507009726.pdf</v>
          </cell>
          <cell r="R182" t="str">
            <v>Becton Dickinson BV</v>
          </cell>
        </row>
        <row r="183">
          <cell r="A183" t="str">
            <v>ORDERBEVESTIGING 2364067490.pdf</v>
          </cell>
          <cell r="R183" t="str">
            <v>Fresenius Kabi Nederland B.V.</v>
          </cell>
        </row>
        <row r="184">
          <cell r="A184" t="str">
            <v>ORDERBEVESTIGING 2364067490.pdf</v>
          </cell>
          <cell r="R184" t="str">
            <v>Fresenius Kabi Nederland B.V.</v>
          </cell>
        </row>
        <row r="185">
          <cell r="A185" t="str">
            <v>Confirmation C007-S2607613-1.pdf</v>
          </cell>
          <cell r="R185" t="str">
            <v>Duomed Belgium NV/SA</v>
          </cell>
        </row>
        <row r="186">
          <cell r="A186" t="str">
            <v>Confirmation C007-S2607613-1.pdf</v>
          </cell>
          <cell r="R186" t="str">
            <v>Duomed Belgium NV/SA</v>
          </cell>
        </row>
        <row r="187">
          <cell r="A187" t="str">
            <v>Confirmation C007-S2607613-1.pdf</v>
          </cell>
          <cell r="R187" t="str">
            <v>Duomed Belgium NV/SA</v>
          </cell>
        </row>
        <row r="188">
          <cell r="A188" t="str">
            <v>Confirmation C007-S2607613-1.pdf</v>
          </cell>
          <cell r="R188" t="str">
            <v>Duomed Belgium NV/SA</v>
          </cell>
        </row>
        <row r="189">
          <cell r="A189" t="str">
            <v>Confirmation C007-S2607613-1.pdf</v>
          </cell>
          <cell r="R189" t="str">
            <v>Duomed Belgium NV/SA</v>
          </cell>
        </row>
        <row r="190">
          <cell r="A190" t="str">
            <v>Confirmation C007-S2607613-1.pdf</v>
          </cell>
          <cell r="R190" t="str">
            <v>Duomed Belgium NV/SA</v>
          </cell>
        </row>
        <row r="191">
          <cell r="A191" t="str">
            <v>Confirmation C007-S2607613-1.pdf</v>
          </cell>
          <cell r="R191" t="str">
            <v>Duomed Belgium NV/SA</v>
          </cell>
        </row>
        <row r="192">
          <cell r="A192" t="str">
            <v>Confirmation C007-S2607613-1.pdf</v>
          </cell>
          <cell r="R192" t="str">
            <v>Duomed Belgium NV/SA</v>
          </cell>
        </row>
        <row r="193">
          <cell r="A193" t="str">
            <v>Confirmation C007-S2607613-1.pdf</v>
          </cell>
          <cell r="R193" t="str">
            <v>Duomed Belgium NV/SA</v>
          </cell>
        </row>
        <row r="194">
          <cell r="A194" t="str">
            <v>Confirmation C007-S2607613-1.pdf</v>
          </cell>
          <cell r="R194" t="str">
            <v>Duomed Belgium NV/SA</v>
          </cell>
        </row>
        <row r="195">
          <cell r="A195" t="str">
            <v>Confirmation C007-S2607613-1.pdf</v>
          </cell>
          <cell r="R195" t="str">
            <v>Duomed Belgium NV/SA</v>
          </cell>
        </row>
        <row r="196">
          <cell r="A196" t="str">
            <v>Embal.bon_100726_Sligro_5061_klant_000142470.pdf</v>
          </cell>
        </row>
        <row r="197">
          <cell r="A197" t="str">
            <v>BD Order Acknowledgement for your purchase order with reference 1505040027.pdf</v>
          </cell>
          <cell r="R197" t="str">
            <v>Becton Dickinson BV</v>
          </cell>
        </row>
        <row r="198">
          <cell r="A198" t="str">
            <v>BD Order Acknowledgement for your purchase order with reference 1505040027.pdf</v>
          </cell>
          <cell r="R198" t="str">
            <v>Becton Dickinson BV</v>
          </cell>
        </row>
        <row r="199">
          <cell r="A199" t="str">
            <v>Van Hoeckel leveringsinformatie.pdf</v>
          </cell>
          <cell r="R199" t="str">
            <v>Van Hoeckel</v>
          </cell>
        </row>
        <row r="200">
          <cell r="A200" t="str">
            <v>Van Hoeckel leveringsinformatie.pdf</v>
          </cell>
          <cell r="R200" t="str">
            <v>Van Hoeckel</v>
          </cell>
        </row>
        <row r="201">
          <cell r="A201" t="str">
            <v>BD Order Acknowledgement for your purchase order with reference 3504015923.pdf</v>
          </cell>
          <cell r="R201" t="str">
            <v>Becton Dickinson BV</v>
          </cell>
        </row>
        <row r="202">
          <cell r="A202" t="str">
            <v>BD Order Acknowledgement for your purchase order with reference 3504015923.pdf</v>
          </cell>
          <cell r="R202" t="str">
            <v>Becton Dickinson BV</v>
          </cell>
        </row>
        <row r="203">
          <cell r="A203" t="str">
            <v>BD Order Acknowledgement for your purchase order with reference 3504015923.pdf</v>
          </cell>
          <cell r="R203" t="str">
            <v>Becton Dickinson BV</v>
          </cell>
        </row>
        <row r="204">
          <cell r="A204" t="str">
            <v>BD Order Acknowledgement for your purchase order with reference 3504015923.pdf</v>
          </cell>
          <cell r="R204" t="str">
            <v>Becton Dickinson BV</v>
          </cell>
        </row>
        <row r="205">
          <cell r="A205" t="str">
            <v>BD Order Acknowledgement for your purchase order with reference 3504015923.pdf</v>
          </cell>
          <cell r="R205" t="str">
            <v>Becton Dickinson BV</v>
          </cell>
        </row>
        <row r="206">
          <cell r="A206" t="str">
            <v>BD Order Acknowledgement for your purchase order with reference 3504015923.pdf</v>
          </cell>
          <cell r="R206" t="str">
            <v>Becton Dickinson BV</v>
          </cell>
        </row>
        <row r="207">
          <cell r="A207" t="str">
            <v>BD Order Acknowledgement for your purchase order with reference 3504015923.pdf</v>
          </cell>
          <cell r="R207" t="str">
            <v>Becton Dickinson BV</v>
          </cell>
        </row>
        <row r="208">
          <cell r="A208" t="str">
            <v>BD Order Acknowledgement for your purchase order with reference 3504015923.pdf</v>
          </cell>
          <cell r="R208" t="str">
            <v>Becton Dickinson BV</v>
          </cell>
        </row>
        <row r="209">
          <cell r="A209" t="str">
            <v>BD Order Acknowledgement for your purchase order with reference 3504015923.pdf</v>
          </cell>
          <cell r="R209" t="str">
            <v>Becton Dickinson BV</v>
          </cell>
        </row>
        <row r="210">
          <cell r="A210" t="str">
            <v>BD Order Acknowledgement for your purchase order with reference 3504015923.pdf</v>
          </cell>
          <cell r="R210" t="str">
            <v>Becton Dickinson BV</v>
          </cell>
        </row>
        <row r="211">
          <cell r="A211" t="str">
            <v>BD Order Acknowledgement for your purchase order with reference 3504015923.pdf</v>
          </cell>
          <cell r="R211" t="str">
            <v>Becton Dickinson BV</v>
          </cell>
        </row>
        <row r="212">
          <cell r="A212" t="str">
            <v>BD Order Acknowledgement for your purchase order with reference 3504015923.pdf</v>
          </cell>
          <cell r="R212" t="str">
            <v>Becton Dickinson BV</v>
          </cell>
        </row>
        <row r="213">
          <cell r="A213" t="str">
            <v>BD Order Acknowledgement for your purchase order with reference 3504015923.pdf</v>
          </cell>
          <cell r="R213" t="str">
            <v>Becton Dickinson BV</v>
          </cell>
        </row>
        <row r="214">
          <cell r="A214" t="str">
            <v>BD Order Acknowledgement for your purchase order with reference 3504015923.pdf</v>
          </cell>
          <cell r="R214" t="str">
            <v>Becton Dickinson BV</v>
          </cell>
        </row>
        <row r="215">
          <cell r="A215" t="str">
            <v>BD Order Acknowledgement for your purchase order with reference 3504015923.pdf</v>
          </cell>
          <cell r="R215" t="str">
            <v>Becton Dickinson BV</v>
          </cell>
        </row>
        <row r="216">
          <cell r="A216" t="str">
            <v>BD Order Acknowledgement for your purchase order with reference 3504015923.pdf</v>
          </cell>
          <cell r="R216" t="str">
            <v>Becton Dickinson BV</v>
          </cell>
        </row>
        <row r="217">
          <cell r="A217" t="str">
            <v>BD Order Acknowledgement for your purchase order with reference 3504015923.pdf</v>
          </cell>
          <cell r="R217" t="str">
            <v>Becton Dickinson BV</v>
          </cell>
        </row>
        <row r="218">
          <cell r="A218" t="str">
            <v>BD Order Acknowledgement for your purchase order with reference 3504015923.pdf</v>
          </cell>
          <cell r="R218" t="str">
            <v>Becton Dickinson BV</v>
          </cell>
        </row>
        <row r="219">
          <cell r="A219" t="str">
            <v>BD Order Acknowledgement for your purchase order with reference 3504015923.pdf</v>
          </cell>
          <cell r="R219" t="str">
            <v>Becton Dickinson BV</v>
          </cell>
        </row>
        <row r="220">
          <cell r="A220" t="str">
            <v>BD Order Acknowledgement for your purchase order with reference 3504015923.pdf</v>
          </cell>
          <cell r="R220" t="str">
            <v>Becton Dickinson BV</v>
          </cell>
        </row>
        <row r="221">
          <cell r="A221" t="str">
            <v>BD Order Acknowledgement for your purchase order with reference 3504015923.pdf</v>
          </cell>
          <cell r="R221" t="str">
            <v>Becton Dickinson BV</v>
          </cell>
        </row>
        <row r="222">
          <cell r="A222" t="str">
            <v>BD Order Acknowledgement for your purchase order with reference 3504015923.pdf</v>
          </cell>
          <cell r="R222" t="str">
            <v>Becton Dickinson BV</v>
          </cell>
        </row>
        <row r="223">
          <cell r="A223" t="str">
            <v>BD Order Acknowledgement for your purchase order with reference 3504015923.pdf</v>
          </cell>
          <cell r="R223" t="str">
            <v>Becton Dickinson BV</v>
          </cell>
        </row>
        <row r="224">
          <cell r="A224" t="str">
            <v>BD Order Acknowledgement for your purchase order with reference 3504015923.pdf</v>
          </cell>
          <cell r="R224" t="str">
            <v>Becton Dickinson BV</v>
          </cell>
        </row>
        <row r="225">
          <cell r="A225" t="str">
            <v>BD Order Acknowledgement for your purchase order with reference 3504015923.pdf</v>
          </cell>
          <cell r="R225" t="str">
            <v>Becton Dickinson BV</v>
          </cell>
        </row>
        <row r="226">
          <cell r="A226" t="str">
            <v>BD Order Acknowledgement for your purchase order with reference 3504015923.pdf</v>
          </cell>
          <cell r="R226" t="str">
            <v>Becton Dickinson BV</v>
          </cell>
        </row>
        <row r="227">
          <cell r="A227" t="str">
            <v>BD Order Acknowledgement for your purchase order with reference 3504015923.pdf</v>
          </cell>
          <cell r="R227" t="str">
            <v>Becton Dickinson BV</v>
          </cell>
        </row>
        <row r="228">
          <cell r="A228" t="str">
            <v>BD Order Acknowledgement for your purchase order with reference 3504015923.pdf</v>
          </cell>
          <cell r="R228" t="str">
            <v>Becton Dickinson BV</v>
          </cell>
        </row>
        <row r="229">
          <cell r="A229" t="str">
            <v>BD Order Acknowledgement for your purchase order with reference 3504015923.pdf</v>
          </cell>
          <cell r="R229" t="str">
            <v>Becton Dickinson BV</v>
          </cell>
        </row>
        <row r="230">
          <cell r="A230" t="str">
            <v>Bevestiging bestelling  S09313437-1.pdf</v>
          </cell>
          <cell r="R230" t="str">
            <v>King Belgium SA/NV</v>
          </cell>
        </row>
        <row r="231">
          <cell r="A231" t="str">
            <v>Bevestiging bestelling  S09313425-1.pdf</v>
          </cell>
          <cell r="R231" t="str">
            <v>King Belgium SA/NV</v>
          </cell>
        </row>
        <row r="232">
          <cell r="A232" t="str">
            <v>2501209992 ESSITY Orderbevestiging.pdf</v>
          </cell>
          <cell r="R232" t="str">
            <v>Essity Belgium NV</v>
          </cell>
        </row>
        <row r="233">
          <cell r="A233" t="str">
            <v>RE_ FW_ Opvolging openstaande orders.pdf</v>
          </cell>
        </row>
        <row r="234">
          <cell r="A234" t="str">
            <v>Bevestiging bestelling  S09313481-1.pdf</v>
          </cell>
          <cell r="R234" t="str">
            <v>King Belgium SA/NV</v>
          </cell>
        </row>
        <row r="235">
          <cell r="A235" t="str">
            <v>Hartmann _ Order bevestiging.pdf</v>
          </cell>
          <cell r="R235" t="str">
            <v>N.V. PAUL HARTMANN S.A.</v>
          </cell>
        </row>
        <row r="236">
          <cell r="A236" t="str">
            <v>Orderbevestiging_Orderacknowledgement_ 3505026688.pdf</v>
          </cell>
          <cell r="R236" t="str">
            <v>Medica Europe B.V.</v>
          </cell>
        </row>
        <row r="237">
          <cell r="A237" t="str">
            <v>Confirmation Commande S09313483-1.pdf</v>
          </cell>
          <cell r="R237" t="str">
            <v>King Belgium SA/NV</v>
          </cell>
        </row>
        <row r="238">
          <cell r="A238" t="str">
            <v>Confirmation Commande S09313483-1.pdf</v>
          </cell>
          <cell r="R238" t="str">
            <v>King Belgium SA/NV</v>
          </cell>
        </row>
        <row r="239">
          <cell r="A239" t="str">
            <v>2501209992 ESSITY Orderbevestiging.pdf</v>
          </cell>
          <cell r="R239" t="str">
            <v>Essity Belgium NV</v>
          </cell>
        </row>
        <row r="240">
          <cell r="A240" t="str">
            <v>Informatie betreffende een JAVA levering.pdf</v>
          </cell>
        </row>
        <row r="241">
          <cell r="A241" t="str">
            <v>_ Orderbevestiging 3505026677.pdf</v>
          </cell>
          <cell r="R241" t="str">
            <v>Mölnlycke Health Care B.V.</v>
          </cell>
        </row>
        <row r="242">
          <cell r="A242" t="str">
            <v>_ Orderbevestiging 3505026677.pdf</v>
          </cell>
          <cell r="R242" t="str">
            <v>Mölnlycke Health Care B.V.</v>
          </cell>
        </row>
        <row r="243">
          <cell r="A243" t="str">
            <v>_ Orderbevestiging 1504026582.pdf</v>
          </cell>
          <cell r="R243" t="str">
            <v>Mölnlycke Health Care B.V.</v>
          </cell>
        </row>
        <row r="244">
          <cell r="A244" t="str">
            <v>Informatie betreffende een JAVA levering.pdf</v>
          </cell>
        </row>
        <row r="245">
          <cell r="A245" t="str">
            <v>JAVA leveringsinformatie.pdf</v>
          </cell>
        </row>
        <row r="246">
          <cell r="A246" t="str">
            <v>_ Orderbevestiging 3504015911.pdf</v>
          </cell>
          <cell r="R246" t="str">
            <v>Mölnlycke Health Care B.V.</v>
          </cell>
        </row>
        <row r="247">
          <cell r="A247" t="str">
            <v>_ Orderbevestiging 3504015911.pdf</v>
          </cell>
          <cell r="R247" t="str">
            <v>Mölnlycke Health Care B.V.</v>
          </cell>
        </row>
        <row r="248">
          <cell r="A248" t="str">
            <v>_ Orderbevestiging 3504015911.pdf</v>
          </cell>
          <cell r="R248" t="str">
            <v>Mölnlycke Health Care B.V.</v>
          </cell>
        </row>
        <row r="249">
          <cell r="A249" t="str">
            <v>_ Orderbevestiging 3504015911.pdf</v>
          </cell>
          <cell r="R249" t="str">
            <v>Mölnlycke Health Care B.V.</v>
          </cell>
        </row>
        <row r="250">
          <cell r="A250" t="str">
            <v>_ Orderbevestiging 3504015911.pdf</v>
          </cell>
          <cell r="R250" t="str">
            <v>Mölnlycke Health Care B.V.</v>
          </cell>
        </row>
        <row r="251">
          <cell r="A251" t="str">
            <v>_ Orderbevestiging 3504015911.pdf</v>
          </cell>
          <cell r="R251" t="str">
            <v>Mölnlycke Health Care B.V.</v>
          </cell>
        </row>
        <row r="252">
          <cell r="A252" t="str">
            <v>_ Orderbevestiging 3504015911.pdf</v>
          </cell>
          <cell r="R252" t="str">
            <v>Mölnlycke Health Care B.V.</v>
          </cell>
        </row>
        <row r="253">
          <cell r="A253" t="str">
            <v>_ Orderbevestiging 3504015911.pdf</v>
          </cell>
          <cell r="R253" t="str">
            <v>Mölnlycke Health Care B.V.</v>
          </cell>
        </row>
        <row r="254">
          <cell r="A254" t="str">
            <v>_ Orderbevestiging 3504015911.pdf</v>
          </cell>
          <cell r="R254" t="str">
            <v>Mölnlycke Health Care B.V.</v>
          </cell>
        </row>
        <row r="255">
          <cell r="A255" t="str">
            <v>_ Orderbevestiging 3504015911.pdf</v>
          </cell>
          <cell r="R255" t="str">
            <v>Mölnlycke Health Care B.V.</v>
          </cell>
        </row>
        <row r="256">
          <cell r="A256" t="str">
            <v>_ Orderbevestiging 3504015911.pdf</v>
          </cell>
          <cell r="R256" t="str">
            <v>Mölnlycke Health Care B.V.</v>
          </cell>
        </row>
        <row r="257">
          <cell r="A257" t="str">
            <v>_ Orderbevestiging 3504015911.pdf</v>
          </cell>
          <cell r="R257" t="str">
            <v>Mölnlycke Health Care B.V.</v>
          </cell>
        </row>
        <row r="258">
          <cell r="A258" t="str">
            <v>_ Orderbevestiging 3504015911.pdf</v>
          </cell>
          <cell r="R258" t="str">
            <v>Mölnlycke Health Care B.V.</v>
          </cell>
        </row>
        <row r="259">
          <cell r="A259" t="str">
            <v>_ Orderbevestiging 3504015911.pdf</v>
          </cell>
          <cell r="R259" t="str">
            <v>Mölnlycke Health Care B.V.</v>
          </cell>
        </row>
        <row r="260">
          <cell r="A260" t="str">
            <v>_ Orderbevestiging 3504015911.pdf</v>
          </cell>
          <cell r="R260" t="str">
            <v>Mölnlycke Health Care B.V.</v>
          </cell>
        </row>
        <row r="261">
          <cell r="A261" t="str">
            <v>_ Orderbevestiging 3504015911.pdf</v>
          </cell>
          <cell r="R261" t="str">
            <v>Mölnlycke Health Care B.V.</v>
          </cell>
        </row>
        <row r="262">
          <cell r="A262" t="str">
            <v>_ Orderbevestiging 3504015911.pdf</v>
          </cell>
          <cell r="R262" t="str">
            <v>Mölnlycke Health Care B.V.</v>
          </cell>
        </row>
        <row r="263">
          <cell r="A263" t="str">
            <v>_ Orderbevestiging 3504015911.pdf</v>
          </cell>
          <cell r="R263" t="str">
            <v>Mölnlycke Health Care B.V.</v>
          </cell>
        </row>
        <row r="264">
          <cell r="A264" t="str">
            <v>_ Orderbevestiging 3504015911.pdf</v>
          </cell>
          <cell r="R264" t="str">
            <v>Mölnlycke Health Care B.V.</v>
          </cell>
        </row>
        <row r="265">
          <cell r="A265" t="str">
            <v>_ Orderbevestiging 3504015911.pdf</v>
          </cell>
          <cell r="R265" t="str">
            <v>Mölnlycke Health Care B.V.</v>
          </cell>
        </row>
        <row r="266">
          <cell r="A266" t="str">
            <v>_ Orderbevestiging 3504015911.pdf</v>
          </cell>
          <cell r="R266" t="str">
            <v>Mölnlycke Health Care B.V.</v>
          </cell>
        </row>
        <row r="267">
          <cell r="A267" t="str">
            <v>Informatie betreffende een JAVA levering.pdf</v>
          </cell>
        </row>
        <row r="268">
          <cell r="A268" t="str">
            <v>_ Orderbevestiging 1501037327.pdf</v>
          </cell>
          <cell r="R268" t="str">
            <v>Mölnlycke Health Care NV</v>
          </cell>
        </row>
        <row r="269">
          <cell r="A269" t="str">
            <v>RE_ Verwachte leverdatum.pdf</v>
          </cell>
        </row>
        <row r="270">
          <cell r="A270" t="str">
            <v>Betreft_ Overzicht van nog te leveren Vygon producten.pdf</v>
          </cell>
        </row>
        <row r="271">
          <cell r="A271" t="str">
            <v>Betreft_ Overzicht van nog te leveren Vygon producten.pdf</v>
          </cell>
        </row>
        <row r="272">
          <cell r="A272" t="str">
            <v>Verkooporder SO00454662 _ 3504015927.pdf</v>
          </cell>
          <cell r="R272" t="str">
            <v>G3 Medical B.V.</v>
          </cell>
        </row>
        <row r="273">
          <cell r="A273" t="str">
            <v>Verkooporder SO00454662 _ 3504015927.pdf</v>
          </cell>
          <cell r="R273" t="str">
            <v>G3 Medical B.V.</v>
          </cell>
        </row>
        <row r="274">
          <cell r="A274" t="str">
            <v>Verkooporder SO00454662 _ 3504015927.pdf</v>
          </cell>
          <cell r="R274" t="str">
            <v>G3 Medical B.V.</v>
          </cell>
        </row>
        <row r="275">
          <cell r="A275" t="str">
            <v>Verkooporder SO00454662 _ 3504015927.pdf</v>
          </cell>
          <cell r="R275" t="str">
            <v>G3 Medical B.V.</v>
          </cell>
        </row>
        <row r="276">
          <cell r="A276" t="str">
            <v>Verkooporder SO00454662 _ 3504015927.pdf</v>
          </cell>
          <cell r="R276" t="str">
            <v>G3 Medical B.V.</v>
          </cell>
        </row>
        <row r="277">
          <cell r="A277" t="str">
            <v>Verkooporder SO00454662 _ 3504015927.pdf</v>
          </cell>
          <cell r="R277" t="str">
            <v>G3 Medical B.V.</v>
          </cell>
        </row>
        <row r="278">
          <cell r="A278" t="str">
            <v>Verkooporder SO00454638 _ 3505026682.pdf</v>
          </cell>
        </row>
        <row r="279">
          <cell r="A279" t="str">
            <v>Verkooporder SO00454649 _ 3507009728.pdf</v>
          </cell>
          <cell r="R279" t="str">
            <v>G3 Medical B.V.</v>
          </cell>
        </row>
        <row r="280">
          <cell r="A280" t="str">
            <v>Verkooporder SO00454649 _ 3507009728.pdf</v>
          </cell>
          <cell r="R280" t="str">
            <v>G3 Medical B.V.</v>
          </cell>
        </row>
        <row r="281">
          <cell r="A281" t="str">
            <v>Verkooporder SO00454649 _ 3507009728.pdf</v>
          </cell>
          <cell r="R281" t="str">
            <v>G3 Medical B.V.</v>
          </cell>
        </row>
        <row r="282">
          <cell r="A282" t="str">
            <v>Verkooporder SO00454649 _ 3507009728.pdf</v>
          </cell>
          <cell r="R282" t="str">
            <v>G3 Medical B.V.</v>
          </cell>
        </row>
        <row r="283">
          <cell r="A283" t="str">
            <v>Verkooporder SO00454649 _ 3507009728.pdf</v>
          </cell>
          <cell r="R283" t="str">
            <v>G3 Medical B.V.</v>
          </cell>
        </row>
        <row r="284">
          <cell r="A284" t="str">
            <v>Verkooporder SO00454649 _ 3507009728.pdf</v>
          </cell>
          <cell r="R284" t="str">
            <v>G3 Medical B.V.</v>
          </cell>
        </row>
        <row r="285">
          <cell r="A285" t="str">
            <v>Verkooporder SO00454649 _ 3507009728.pdf</v>
          </cell>
          <cell r="R285" t="str">
            <v>G3 Medical B.V.</v>
          </cell>
        </row>
        <row r="286">
          <cell r="A286" t="str">
            <v>Verkooporder SO00454649 _ 3507009728.pdf</v>
          </cell>
          <cell r="R286" t="str">
            <v>G3 Medical B.V.</v>
          </cell>
        </row>
        <row r="287">
          <cell r="A287" t="str">
            <v>Verkooporder SO00454649 _ 3507009728.pdf</v>
          </cell>
          <cell r="R287" t="str">
            <v>G3 Medical B.V.</v>
          </cell>
        </row>
        <row r="288">
          <cell r="A288" t="str">
            <v>Verkooporder SO00454649 _ 3507009728.pdf</v>
          </cell>
          <cell r="R288" t="str">
            <v>G3 Medical B.V.</v>
          </cell>
        </row>
        <row r="289">
          <cell r="A289" t="str">
            <v>Verkooporder SO00454649 _ 3507009728.pdf</v>
          </cell>
          <cell r="R289" t="str">
            <v>G3 Medical B.V.</v>
          </cell>
        </row>
        <row r="290">
          <cell r="A290" t="str">
            <v>Verkooporder SO00454649 _ 3507009728.pdf</v>
          </cell>
          <cell r="R290" t="str">
            <v>G3 Medical B.V.</v>
          </cell>
        </row>
        <row r="291">
          <cell r="A291" t="str">
            <v>100142673 HL WZC Herinnering Sligro [#KM-6720322] [#RL-144746].pdf</v>
          </cell>
        </row>
        <row r="292">
          <cell r="A292" t="str">
            <v>Order bevestiging 26-02855.pdf</v>
          </cell>
          <cell r="R292" t="str">
            <v>Medtronic Trading NL BV</v>
          </cell>
        </row>
        <row r="293">
          <cell r="A293" t="str">
            <v>Order bevestiging 26-02855.pdf</v>
          </cell>
          <cell r="R293" t="str">
            <v>Medtronic Trading NL BV</v>
          </cell>
        </row>
        <row r="294">
          <cell r="A294" t="str">
            <v>Order bevestiging 26-02855.pdf</v>
          </cell>
          <cell r="R294" t="str">
            <v>Medtronic Trading NL BV</v>
          </cell>
        </row>
        <row r="295">
          <cell r="A295" t="str">
            <v>Order bevestiging 26-02855.pdf</v>
          </cell>
          <cell r="R295" t="str">
            <v>Medtronic Trading NL BV</v>
          </cell>
        </row>
        <row r="296">
          <cell r="A296" t="str">
            <v>Order bevestiging 26-02855.pdf</v>
          </cell>
          <cell r="R296" t="str">
            <v>Medtronic Trading NL BV</v>
          </cell>
        </row>
        <row r="297">
          <cell r="A297" t="str">
            <v>Order bevestiging 26-02855.pdf</v>
          </cell>
          <cell r="R297" t="str">
            <v>Medtronic Trading NL BV</v>
          </cell>
        </row>
        <row r="298">
          <cell r="A298" t="str">
            <v>Lyreco orderbevestiging 167913009-16022026-0006.pdf</v>
          </cell>
          <cell r="R298" t="str">
            <v>Lyreco Belgium SA/NV</v>
          </cell>
        </row>
        <row r="299">
          <cell r="A299" t="str">
            <v>ORDERBEVESTIGING 2364064918.pdf</v>
          </cell>
          <cell r="R299" t="str">
            <v>Fresenius Kabi nv/sa</v>
          </cell>
        </row>
        <row r="300">
          <cell r="A300" t="str">
            <v>ORDERBEVESTIGING 2364064918.pdf</v>
          </cell>
          <cell r="R300" t="str">
            <v>Fresenius Kabi nv/sa</v>
          </cell>
        </row>
        <row r="301">
          <cell r="A301" t="str">
            <v>ORDERBEVESTIGING 2364064918.pdf</v>
          </cell>
          <cell r="R301" t="str">
            <v>Fresenius Kabi nv/sa</v>
          </cell>
        </row>
        <row r="302">
          <cell r="A302" t="str">
            <v>2507017044 ESSITY Order Ontvangstbevestiging.pdf</v>
          </cell>
          <cell r="R302" t="str">
            <v>Essity Netherlands B.V.</v>
          </cell>
        </row>
        <row r="303">
          <cell r="A303" t="str">
            <v>2507017044 ESSITY Order Ontvangstbevestiging.pdf</v>
          </cell>
          <cell r="R303" t="str">
            <v>Essity Netherlands B.V.</v>
          </cell>
        </row>
        <row r="304">
          <cell r="A304" t="str">
            <v>2505040799 ESSITY Order Ontvangstbevestiging.pdf</v>
          </cell>
          <cell r="R304" t="str">
            <v>Essity Netherlands B.V.</v>
          </cell>
        </row>
        <row r="305">
          <cell r="A305" t="str">
            <v>3505026678 ESSITY Orderbevestiging.pdf</v>
          </cell>
          <cell r="R305" t="str">
            <v>Essity Netherlands B.V.</v>
          </cell>
        </row>
        <row r="306">
          <cell r="A306" t="str">
            <v>3505026678 ESSITY Orderbevestiging.pdf</v>
          </cell>
          <cell r="R306" t="str">
            <v>Essity Netherlands B.V.</v>
          </cell>
        </row>
        <row r="307">
          <cell r="A307" t="str">
            <v>6507004831 ESSITY Order Ontvangstbevestiging.pdf</v>
          </cell>
          <cell r="R307" t="str">
            <v>Essity Netherlands B.V.</v>
          </cell>
        </row>
        <row r="308">
          <cell r="A308" t="str">
            <v>Uw orderinformatie (uw referentie_ 2505040801, Brocacef Ordernr_ TPV72495).pdf</v>
          </cell>
          <cell r="R308" t="str">
            <v>Brocacef</v>
          </cell>
        </row>
        <row r="309">
          <cell r="A309" t="str">
            <v>Uw orderinformatie (uw referentie_ 1504026606, Brocacef Ordernr_ TPV72539).pdf</v>
          </cell>
          <cell r="R309" t="str">
            <v>Brocacef BV</v>
          </cell>
        </row>
        <row r="310">
          <cell r="A310" t="str">
            <v>Uw orderinformatie (uw referentie_ 1504026606, Brocacef Ordernr_ TPV72539).pdf</v>
          </cell>
          <cell r="R310" t="str">
            <v>Brocacef BV</v>
          </cell>
        </row>
        <row r="311">
          <cell r="A311" t="str">
            <v>Uw orderinformatie (uw referentie_ 1504026606, Brocacef Ordernr_ TPV72539).pdf</v>
          </cell>
          <cell r="R311" t="str">
            <v>Brocacef BV</v>
          </cell>
        </row>
        <row r="312">
          <cell r="A312" t="str">
            <v>Uw orderinformatie (uw referentie_ 1504026606, Brocacef Ordernr_ TPV72539).pdf</v>
          </cell>
          <cell r="R312" t="str">
            <v>Brocacef BV</v>
          </cell>
        </row>
        <row r="313">
          <cell r="A313" t="str">
            <v>Re_ [EXTERNAL EMAIL] Order Hospital Logistics  3505026679.pdf</v>
          </cell>
          <cell r="R313" t="str">
            <v>Fresenius Medical Care Nederland BV</v>
          </cell>
        </row>
        <row r="314">
          <cell r="A314" t="str">
            <v>Re_ [EXTERNAL EMAIL] Order Hospital Logistics  3505026679.pdf</v>
          </cell>
          <cell r="R314" t="str">
            <v>Fresenius Medical Care Nederland BV</v>
          </cell>
        </row>
        <row r="315">
          <cell r="A315" t="str">
            <v>Re_ [EXTERNAL EMAIL] Order Hospital Logistics  3505026679.pdf</v>
          </cell>
          <cell r="R315" t="str">
            <v>Fresenius Medical Care Nederland BV</v>
          </cell>
        </row>
        <row r="316">
          <cell r="A316" t="str">
            <v>Re_ [EXTERNAL EMAIL] Order Hospital Logistics  3505026679.pdf</v>
          </cell>
          <cell r="R316" t="str">
            <v>Fresenius Medical Care Nederland BV</v>
          </cell>
        </row>
        <row r="317">
          <cell r="A317" t="str">
            <v>Re_ [EXTERNAL EMAIL] Order Hospital Logistics  3505026679.pdf</v>
          </cell>
          <cell r="R317" t="str">
            <v>Fresenius Medical Care Nederland BV</v>
          </cell>
        </row>
        <row r="318">
          <cell r="A318" t="str">
            <v>Re_ [EXTERNAL EMAIL] Order Hospital Logistics  3505026679.pdf</v>
          </cell>
          <cell r="R318" t="str">
            <v>Fresenius Medical Care Nederland BV</v>
          </cell>
        </row>
        <row r="319">
          <cell r="A319" t="str">
            <v>Re_ [EXTERNAL EMAIL] Order Hospital Logistics  3505026679.pdf</v>
          </cell>
          <cell r="R319" t="str">
            <v>Fresenius Medical Care Nederland BV</v>
          </cell>
        </row>
        <row r="320">
          <cell r="A320" t="str">
            <v>Re_ [EXTERNAL EMAIL] Order Hospital Logistics  3505026679.pdf</v>
          </cell>
          <cell r="R320" t="str">
            <v>Fresenius Medical Care Nederland BV</v>
          </cell>
        </row>
        <row r="321">
          <cell r="A321" t="str">
            <v>Re_ [EXTERNAL EMAIL] Order Hospital Logistics  3505026679.pdf</v>
          </cell>
          <cell r="R321" t="str">
            <v>Fresenius Medical Care Nederland BV</v>
          </cell>
        </row>
        <row r="322">
          <cell r="A322" t="str">
            <v>Re_ [EXTERNAL EMAIL] Order Hospital Logistics  3505026679.pdf</v>
          </cell>
          <cell r="R322" t="str">
            <v>Fresenius Medical Care Nederland BV</v>
          </cell>
        </row>
        <row r="323">
          <cell r="A323" t="str">
            <v>Re_ [EXTERNAL EMAIL] Order Hospital Logistics  3505026679.pdf</v>
          </cell>
          <cell r="R323" t="str">
            <v>Fresenius Medical Care Nederland BV</v>
          </cell>
        </row>
        <row r="324">
          <cell r="A324" t="str">
            <v>Re_ [EXTERNAL EMAIL] Order Hospital Logistics  3505026679.pdf</v>
          </cell>
          <cell r="R324" t="str">
            <v>Fresenius Medical Care Nederland BV</v>
          </cell>
        </row>
        <row r="325">
          <cell r="A325" t="str">
            <v>Re_ [EXTERNAL EMAIL] Order Hospital Logistics  3505026679.pdf</v>
          </cell>
          <cell r="R325" t="str">
            <v>Fresenius Medical Care Nederland BV</v>
          </cell>
        </row>
        <row r="326">
          <cell r="A326" t="str">
            <v>HARTMANN_ ORDERBEVESTIGING0021752283.pdf</v>
          </cell>
          <cell r="R326" t="str">
            <v>Paul Hartmann B.V.</v>
          </cell>
        </row>
        <row r="327">
          <cell r="A327" t="str">
            <v>HARTMANN_ ORDERBEVESTIGING0021752283.pdf</v>
          </cell>
          <cell r="R327" t="str">
            <v>Paul Hartmann B.V.</v>
          </cell>
        </row>
        <row r="328">
          <cell r="A328" t="str">
            <v>HARTMANN_ ORDERBEVESTIGING0021752283.pdf</v>
          </cell>
          <cell r="R328" t="str">
            <v>Paul Hartmann B.V.</v>
          </cell>
        </row>
        <row r="329">
          <cell r="A329" t="str">
            <v>HARTMANN_ ORDERBEVESTIGING0021752283.pdf</v>
          </cell>
          <cell r="R329" t="str">
            <v>Paul Hartmann B.V.</v>
          </cell>
        </row>
        <row r="330">
          <cell r="A330" t="str">
            <v>Orderbevestiging C007-S2607598-1.pdf</v>
          </cell>
          <cell r="R330" t="str">
            <v>Duomed Belgium NV/SA</v>
          </cell>
        </row>
        <row r="331">
          <cell r="A331" t="str">
            <v>Orderbevestiging C007-S2607598-1.pdf</v>
          </cell>
          <cell r="R331" t="str">
            <v>Duomed Belgium NV/SA</v>
          </cell>
        </row>
        <row r="332">
          <cell r="A332" t="str">
            <v>Orderbevestiging C007-S2607598-1.pdf</v>
          </cell>
          <cell r="R332" t="str">
            <v>Duomed Belgium NV/SA</v>
          </cell>
        </row>
        <row r="333">
          <cell r="A333" t="str">
            <v>Orderbevestiging C007-S2607598-1.pdf</v>
          </cell>
          <cell r="R333" t="str">
            <v>Duomed Belgium NV/SA</v>
          </cell>
        </row>
        <row r="334">
          <cell r="A334" t="str">
            <v>Orderbevestiging C007-S2607598-1.pdf</v>
          </cell>
          <cell r="R334" t="str">
            <v>Duomed Belgium NV/SA</v>
          </cell>
        </row>
        <row r="335">
          <cell r="A335" t="str">
            <v>Orderbevestiging C007-S2607598-1.pdf</v>
          </cell>
          <cell r="R335" t="str">
            <v>Duomed Belgium NV/SA</v>
          </cell>
        </row>
        <row r="336">
          <cell r="A336" t="str">
            <v>Orderbevestiging C007-S2607598-1.pdf</v>
          </cell>
          <cell r="R336" t="str">
            <v>Duomed Belgium NV/SA</v>
          </cell>
        </row>
        <row r="337">
          <cell r="A337" t="str">
            <v>Orderbevestiging C007-S2607598-1.pdf</v>
          </cell>
          <cell r="R337" t="str">
            <v>Duomed Belgium NV/SA</v>
          </cell>
        </row>
        <row r="338">
          <cell r="A338" t="str">
            <v>Orderbevestiging C007-S2607598-1.pdf</v>
          </cell>
          <cell r="R338" t="str">
            <v>Duomed Belgium NV/SA</v>
          </cell>
        </row>
        <row r="339">
          <cell r="A339" t="str">
            <v>Orderbevestiging C007-S2607598-1.pdf</v>
          </cell>
          <cell r="R339" t="str">
            <v>Duomed Belgium NV/SA</v>
          </cell>
        </row>
        <row r="340">
          <cell r="A340" t="str">
            <v>HARTMANN_ ORDERBEVESTIGING0021752292.pdf</v>
          </cell>
          <cell r="R340" t="str">
            <v>Paul Hartmann B.V.</v>
          </cell>
        </row>
        <row r="341">
          <cell r="A341" t="str">
            <v>HARTMANN_ ORDERBEVESTIGING0021752292.pdf</v>
          </cell>
          <cell r="R341" t="str">
            <v>Paul Hartmann B.V.</v>
          </cell>
        </row>
        <row r="342">
          <cell r="A342" t="str">
            <v>HARTMANN_ ORDERBEVESTIGING0021752292.pdf</v>
          </cell>
          <cell r="R342" t="str">
            <v>Paul Hartmann B.V.</v>
          </cell>
        </row>
        <row r="343">
          <cell r="A343" t="str">
            <v>HARTMANN_ ORDERBEVESTIGING0021752292.pdf</v>
          </cell>
          <cell r="R343" t="str">
            <v>Paul Hartmann B.V.</v>
          </cell>
        </row>
        <row r="344">
          <cell r="A344" t="str">
            <v>HARTMANN_ ORDERBEVESTIGING0021752292.pdf</v>
          </cell>
          <cell r="R344" t="str">
            <v>Paul Hartmann B.V.</v>
          </cell>
        </row>
        <row r="345">
          <cell r="A345" t="str">
            <v>HARTMANN_ ORDERBEVESTIGING0021752292.pdf</v>
          </cell>
          <cell r="R345" t="str">
            <v>Paul Hartmann B.V.</v>
          </cell>
        </row>
        <row r="346">
          <cell r="A346" t="str">
            <v>HARTMANN_ ORDERBEVESTIGING0021752292.pdf</v>
          </cell>
          <cell r="R346" t="str">
            <v>Paul Hartmann B.V.</v>
          </cell>
        </row>
        <row r="347">
          <cell r="A347" t="str">
            <v>HARTMANN_ ORDERBEVESTIGING0021752292.pdf</v>
          </cell>
          <cell r="R347" t="str">
            <v>Paul Hartmann B.V.</v>
          </cell>
        </row>
        <row r="348">
          <cell r="A348" t="str">
            <v>HARTMANN_ ORDERBEVESTIGING0021752292.pdf</v>
          </cell>
          <cell r="R348" t="str">
            <v>Paul Hartmann B.V.</v>
          </cell>
        </row>
        <row r="349">
          <cell r="A349" t="str">
            <v>HARTMANN_ ORDERBEVESTIGING0021752292.pdf</v>
          </cell>
          <cell r="R349" t="str">
            <v>Paul Hartmann B.V.</v>
          </cell>
        </row>
        <row r="350">
          <cell r="A350" t="str">
            <v>HARTMANN_ ORDERBEVESTIGING0021752292.pdf</v>
          </cell>
          <cell r="R350" t="str">
            <v>Paul Hartmann B.V.</v>
          </cell>
        </row>
        <row r="351">
          <cell r="A351" t="str">
            <v>HARTMANN_ ORDERBEVESTIGING0021752292.pdf</v>
          </cell>
          <cell r="R351" t="str">
            <v>Paul Hartmann B.V.</v>
          </cell>
        </row>
        <row r="352">
          <cell r="A352" t="str">
            <v>HARTMANN_ ORDERBEVESTIGING0021752292.pdf</v>
          </cell>
          <cell r="R352" t="str">
            <v>Paul Hartmann B.V.</v>
          </cell>
        </row>
        <row r="353">
          <cell r="A353" t="str">
            <v>HARTMANN_ ORDERBEVESTIGING0021752292.pdf</v>
          </cell>
          <cell r="R353" t="str">
            <v>Paul Hartmann B.V.</v>
          </cell>
        </row>
        <row r="354">
          <cell r="A354" t="str">
            <v>HARTMANN_ ORDERBEVESTIGING0021752292.pdf</v>
          </cell>
          <cell r="R354" t="str">
            <v>Paul Hartmann B.V.</v>
          </cell>
        </row>
        <row r="355">
          <cell r="A355" t="str">
            <v>HARTMANN_ ORDERBEVESTIGING0021752292.pdf</v>
          </cell>
          <cell r="R355" t="str">
            <v>Paul Hartmann B.V.</v>
          </cell>
        </row>
        <row r="356">
          <cell r="A356" t="str">
            <v>HARTMANN_ ORDERBEVESTIGING0021752292.pdf</v>
          </cell>
          <cell r="R356" t="str">
            <v>Paul Hartmann B.V.</v>
          </cell>
        </row>
        <row r="357">
          <cell r="A357" t="str">
            <v>HARTMANN_ ORDERBEVESTIGING0021752292.pdf</v>
          </cell>
          <cell r="R357" t="str">
            <v>Paul Hartmann B.V.</v>
          </cell>
        </row>
        <row r="358">
          <cell r="A358" t="str">
            <v>HARTMANN_ ORDERBEVESTIGING0021752292.pdf</v>
          </cell>
          <cell r="R358" t="str">
            <v>Paul Hartmann B.V.</v>
          </cell>
        </row>
        <row r="359">
          <cell r="A359" t="str">
            <v>HARTMANN_ ORDERBEVESTIGING0021752292.pdf</v>
          </cell>
          <cell r="R359" t="str">
            <v>Paul Hartmann B.V.</v>
          </cell>
        </row>
        <row r="360">
          <cell r="A360" t="str">
            <v>HARTMANN_ ORDERBEVESTIGING0021752292.pdf</v>
          </cell>
          <cell r="R360" t="str">
            <v>Paul Hartmann B.V.</v>
          </cell>
        </row>
        <row r="361">
          <cell r="A361" t="str">
            <v>HARTMANN_ ORDERBEVESTIGING0021752292.pdf</v>
          </cell>
          <cell r="R361" t="str">
            <v>Paul Hartmann B.V.</v>
          </cell>
        </row>
        <row r="362">
          <cell r="A362" t="str">
            <v>HARTMANN_ ORDERBEVESTIGING0021752292.pdf</v>
          </cell>
          <cell r="R362" t="str">
            <v>Paul Hartmann B.V.</v>
          </cell>
        </row>
        <row r="363">
          <cell r="A363" t="str">
            <v>HARTMANN_ ORDERBEVESTIGING0021752292.pdf</v>
          </cell>
          <cell r="R363" t="str">
            <v>Paul Hartmann B.V.</v>
          </cell>
        </row>
        <row r="364">
          <cell r="A364" t="str">
            <v>HARTMANN_ ORDERBEVESTIGING0021752292.pdf</v>
          </cell>
          <cell r="R364" t="str">
            <v>Paul Hartmann B.V.</v>
          </cell>
        </row>
        <row r="365">
          <cell r="A365" t="str">
            <v>HARTMANN_ ORDERBEVESTIGING0021752292.pdf</v>
          </cell>
          <cell r="R365" t="str">
            <v>Paul Hartmann B.V.</v>
          </cell>
        </row>
        <row r="366">
          <cell r="A366" t="str">
            <v>HARTMANN_ ORDERBEVESTIGING0021752292.pdf</v>
          </cell>
          <cell r="R366" t="str">
            <v>Paul Hartmann B.V.</v>
          </cell>
        </row>
        <row r="367">
          <cell r="A367" t="str">
            <v>HARTMANN_ ORDERBEVESTIGING0021752292.pdf</v>
          </cell>
          <cell r="R367" t="str">
            <v>Paul Hartmann B.V.</v>
          </cell>
        </row>
        <row r="368">
          <cell r="A368" t="str">
            <v>HARTMANN_ ORDERBEVESTIGING0021752292.pdf</v>
          </cell>
          <cell r="R368" t="str">
            <v>Paul Hartmann B.V.</v>
          </cell>
        </row>
        <row r="369">
          <cell r="A369" t="str">
            <v>HARTMANN_ ORDERBEVESTIGING0021752292.pdf</v>
          </cell>
          <cell r="R369" t="str">
            <v>Paul Hartmann B.V.</v>
          </cell>
        </row>
        <row r="370">
          <cell r="A370" t="str">
            <v>HARTMANN_ ORDERBEVESTIGING0021752292.pdf</v>
          </cell>
          <cell r="R370" t="str">
            <v>Paul Hartmann B.V.</v>
          </cell>
        </row>
        <row r="371">
          <cell r="A371" t="str">
            <v>HARTMANN_ ORDERBEVESTIGING0021752292.pdf</v>
          </cell>
          <cell r="R371" t="str">
            <v>Paul Hartmann B.V.</v>
          </cell>
        </row>
        <row r="372">
          <cell r="A372" t="str">
            <v>HARTMANN_ ORDERBEVESTIGING0021752292.pdf</v>
          </cell>
          <cell r="R372" t="str">
            <v>Paul Hartmann B.V.</v>
          </cell>
        </row>
        <row r="373">
          <cell r="A373" t="str">
            <v>HARTMANN_ ORDERBEVESTIGING0021752292.pdf</v>
          </cell>
          <cell r="R373" t="str">
            <v>Paul Hartmann B.V.</v>
          </cell>
        </row>
        <row r="374">
          <cell r="A374" t="str">
            <v>HARTMANN_ ORDERBEVESTIGING0021752292.pdf</v>
          </cell>
          <cell r="R374" t="str">
            <v>Paul Hartmann B.V.</v>
          </cell>
        </row>
        <row r="375">
          <cell r="A375" t="str">
            <v>HARTMANN_ ORDERBEVESTIGING0021752292.pdf</v>
          </cell>
          <cell r="R375" t="str">
            <v>Paul Hartmann B.V.</v>
          </cell>
        </row>
        <row r="376">
          <cell r="A376" t="str">
            <v>HARTMANN_ ORDERBEVESTIGING0021752292.pdf</v>
          </cell>
          <cell r="R376" t="str">
            <v>Paul Hartmann B.V.</v>
          </cell>
        </row>
        <row r="377">
          <cell r="A377" t="str">
            <v>HARTMANN_ ORDERBEVESTIGING0021752292.pdf</v>
          </cell>
          <cell r="R377" t="str">
            <v>Paul Hartmann B.V.</v>
          </cell>
        </row>
        <row r="378">
          <cell r="A378" t="str">
            <v>HARTMANN_ ORDERBEVESTIGING0021752292.pdf</v>
          </cell>
          <cell r="R378" t="str">
            <v>Paul Hartmann B.V.</v>
          </cell>
        </row>
        <row r="379">
          <cell r="A379" t="str">
            <v>HARTMANN_ ORDERBEVESTIGING0021752292.pdf</v>
          </cell>
          <cell r="R379" t="str">
            <v>Paul Hartmann B.V.</v>
          </cell>
        </row>
        <row r="380">
          <cell r="A380" t="str">
            <v>HARTMANN_ ORDERBEVESTIGING0021752292.pdf</v>
          </cell>
          <cell r="R380" t="str">
            <v>Paul Hartmann B.V.</v>
          </cell>
        </row>
        <row r="381">
          <cell r="A381" t="str">
            <v>HARTMANN_ ORDERBEVESTIGING0021752292.pdf</v>
          </cell>
          <cell r="R381" t="str">
            <v>Paul Hartmann B.V.</v>
          </cell>
        </row>
        <row r="382">
          <cell r="A382" t="str">
            <v>HARTMANN_ ORDERBEVESTIGING0021752293.pdf</v>
          </cell>
          <cell r="R382" t="str">
            <v>Paul Hartmann B.V.</v>
          </cell>
        </row>
        <row r="383">
          <cell r="A383" t="str">
            <v>HARTMANN_ ORDERBEVESTIGING0021752293.pdf</v>
          </cell>
          <cell r="R383" t="str">
            <v>Paul Hartmann B.V.</v>
          </cell>
        </row>
        <row r="384">
          <cell r="A384" t="str">
            <v>HARTMANN_ ORDERBEVESTIGING0021752293.pdf</v>
          </cell>
          <cell r="R384" t="str">
            <v>Paul Hartmann B.V.</v>
          </cell>
        </row>
        <row r="385">
          <cell r="A385" t="str">
            <v>HARTMANN_ ORDERBEVESTIGING0021752293.pdf</v>
          </cell>
          <cell r="R385" t="str">
            <v>Paul Hartmann B.V.</v>
          </cell>
        </row>
        <row r="386">
          <cell r="A386" t="str">
            <v>HARTMANN_ ORDERBEVESTIGING0021752293.pdf</v>
          </cell>
          <cell r="R386" t="str">
            <v>Paul Hartmann B.V.</v>
          </cell>
        </row>
        <row r="387">
          <cell r="A387" t="str">
            <v>HARTMANN_ ORDERBEVESTIGING0021752293.pdf</v>
          </cell>
          <cell r="R387" t="str">
            <v>Paul Hartmann B.V.</v>
          </cell>
        </row>
        <row r="388">
          <cell r="A388" t="str">
            <v>HARTMANN_ ORDERBEVESTIGING0021752293.pdf</v>
          </cell>
          <cell r="R388" t="str">
            <v>Paul Hartmann B.V.</v>
          </cell>
        </row>
        <row r="389">
          <cell r="A389" t="str">
            <v>HARTMANN_ ORDERBEVESTIGING0021752293.pdf</v>
          </cell>
          <cell r="R389" t="str">
            <v>Paul Hartmann B.V.</v>
          </cell>
        </row>
        <row r="390">
          <cell r="A390" t="str">
            <v>HARTMANN_ ORDERBEVESTIGING0021752293.pdf</v>
          </cell>
          <cell r="R390" t="str">
            <v>Paul Hartmann B.V.</v>
          </cell>
        </row>
        <row r="391">
          <cell r="A391" t="str">
            <v>HARTMANN_ ORDERBEVESTIGING0021752293.pdf</v>
          </cell>
          <cell r="R391" t="str">
            <v>Paul Hartmann B.V.</v>
          </cell>
        </row>
        <row r="392">
          <cell r="A392" t="str">
            <v>HARTMANN_ ORDERBEVESTIGING0021752293.pdf</v>
          </cell>
          <cell r="R392" t="str">
            <v>Paul Hartmann B.V.</v>
          </cell>
        </row>
        <row r="393">
          <cell r="A393" t="str">
            <v>HARTMANN_ ORDERBEVESTIGING0021752293.pdf</v>
          </cell>
          <cell r="R393" t="str">
            <v>Paul Hartmann B.V.</v>
          </cell>
        </row>
        <row r="394">
          <cell r="A394" t="str">
            <v>HARTMANN_ ORDERBEVESTIGING0021752293.pdf</v>
          </cell>
          <cell r="R394" t="str">
            <v>Paul Hartmann B.V.</v>
          </cell>
        </row>
        <row r="395">
          <cell r="A395" t="str">
            <v>Mediq orderbevestiging_ 3507009731.pdf</v>
          </cell>
          <cell r="R395" t="str">
            <v>Mediq Nederland B.V.</v>
          </cell>
        </row>
        <row r="396">
          <cell r="A396" t="str">
            <v>Mediq orderbevestiging_ 3507009731.pdf</v>
          </cell>
          <cell r="R396" t="str">
            <v>Mediq Nederland B.V.</v>
          </cell>
        </row>
        <row r="397">
          <cell r="A397" t="str">
            <v>Orderbevestiging C007-S2607622-1.pdf</v>
          </cell>
          <cell r="R397" t="str">
            <v>Duomed Belgium NV/SA</v>
          </cell>
        </row>
        <row r="398">
          <cell r="A398" t="str">
            <v>Orderbevestiging C007-S2607622-1.pdf</v>
          </cell>
          <cell r="R398" t="str">
            <v>Duomed Belgium NV/SA</v>
          </cell>
        </row>
        <row r="399">
          <cell r="A399" t="str">
            <v>RE_ Verwachte LT.pdf</v>
          </cell>
        </row>
        <row r="400">
          <cell r="A400" t="str">
            <v>Orderbevestiging C007-S2607619-1.pdf</v>
          </cell>
          <cell r="R400" t="str">
            <v>Duomed Belgium NV/SA</v>
          </cell>
        </row>
        <row r="401">
          <cell r="A401" t="str">
            <v>Orderbevestiging C007-S2607619-1.pdf</v>
          </cell>
          <cell r="R401" t="str">
            <v>Duomed Belgium NV/SA</v>
          </cell>
        </row>
        <row r="402">
          <cell r="A402" t="str">
            <v>FW_ ORDERBEVESTIGING NL327171, Deb.nr. 110890HE,  Uw order_ 3507009725.pdf</v>
          </cell>
          <cell r="R402" t="str">
            <v>Medline International Netherlands B.V.</v>
          </cell>
        </row>
        <row r="403">
          <cell r="A403" t="str">
            <v>FW_ ORDERBEVESTIGING NL327171, Deb.nr. 110890HE,  Uw order_ 3507009725.pdf</v>
          </cell>
          <cell r="R403" t="str">
            <v>Medline International Netherlands B.V.</v>
          </cell>
        </row>
        <row r="404">
          <cell r="A404" t="str">
            <v>FW_ ORDERBEVESTIGING NL327171, Deb.nr. 110890HE,  Uw order_ 3507009725.pdf</v>
          </cell>
          <cell r="R404" t="str">
            <v>Medline International Netherlands B.V.</v>
          </cell>
        </row>
        <row r="405">
          <cell r="A405" t="str">
            <v>FW_ ORDERBEVESTIGING NL327171, Deb.nr. 110890HE,  Uw order_ 3507009725.pdf</v>
          </cell>
          <cell r="R405" t="str">
            <v>Medline International Netherlands B.V.</v>
          </cell>
        </row>
        <row r="406">
          <cell r="A406" t="str">
            <v>FW_ ORDERBEVESTIGING NL327171, Deb.nr. 110890HE,  Uw order_ 3507009725.pdf</v>
          </cell>
          <cell r="R406" t="str">
            <v>Medline International Netherlands B.V.</v>
          </cell>
        </row>
        <row r="407">
          <cell r="A407" t="str">
            <v>FW_ ORDERBEVESTIGING NL327171, Deb.nr. 110890HE,  Uw order_ 3507009725.pdf</v>
          </cell>
          <cell r="R407" t="str">
            <v>Medline International Netherlands B.V.</v>
          </cell>
        </row>
        <row r="408">
          <cell r="A408" t="str">
            <v>FW_ ORDERBEVESTIGING NL327171, Deb.nr. 110890HE,  Uw order_ 3507009725.pdf</v>
          </cell>
          <cell r="R408" t="str">
            <v>Medline International Netherlands B.V.</v>
          </cell>
        </row>
        <row r="409">
          <cell r="A409" t="str">
            <v>FW_ ORDERBEVESTIGING NL327171, Deb.nr. 110890HE,  Uw order_ 3507009725.pdf</v>
          </cell>
          <cell r="R409" t="str">
            <v>Medline International Netherlands B.V.</v>
          </cell>
        </row>
        <row r="410">
          <cell r="A410" t="str">
            <v>FW_ ORDERBEVESTIGING NL327171, Deb.nr. 110890HE,  Uw order_ 3507009725.pdf</v>
          </cell>
          <cell r="R410" t="str">
            <v>Medline International Netherlands B.V.</v>
          </cell>
        </row>
        <row r="411">
          <cell r="A411" t="str">
            <v>FW_ ORDERBEVESTIGING NL327171, Deb.nr. 110890HE,  Uw order_ 3507009725.pdf</v>
          </cell>
          <cell r="R411" t="str">
            <v>Medline International Netherlands B.V.</v>
          </cell>
        </row>
        <row r="412">
          <cell r="A412" t="str">
            <v>FW_ ORDERBEVESTIGING NL327171, Deb.nr. 110890HE,  Uw order_ 3507009725.pdf</v>
          </cell>
          <cell r="R412" t="str">
            <v>Medline International Netherlands B.V.</v>
          </cell>
        </row>
        <row r="413">
          <cell r="A413" t="str">
            <v>FW_ ORDERBEVESTIGING NL327171, Deb.nr. 110890HE,  Uw order_ 3507009725.pdf</v>
          </cell>
          <cell r="R413" t="str">
            <v>Medline International Netherlands B.V.</v>
          </cell>
        </row>
        <row r="414">
          <cell r="A414" t="str">
            <v>FW_ ORDERBEVESTIGING NL327171, Deb.nr. 110890HE,  Uw order_ 3507009725.pdf</v>
          </cell>
          <cell r="R414" t="str">
            <v>Medline International Netherlands B.V.</v>
          </cell>
        </row>
        <row r="415">
          <cell r="A415" t="str">
            <v>FW_ ORDERBEVESTIGING NL327171, Deb.nr. 110890HE,  Uw order_ 3507009725.pdf</v>
          </cell>
          <cell r="R415" t="str">
            <v>Medline International Netherlands B.V.</v>
          </cell>
        </row>
        <row r="416">
          <cell r="A416" t="str">
            <v>FW_ ORDERBEVESTIGING NL327171, Deb.nr. 110890HE,  Uw order_ 3507009725.pdf</v>
          </cell>
          <cell r="R416" t="str">
            <v>Medline International Netherlands B.V.</v>
          </cell>
        </row>
        <row r="417">
          <cell r="A417" t="str">
            <v>FW_ ORDERBEVESTIGING NL327171, Deb.nr. 110890HE,  Uw order_ 3507009725.pdf</v>
          </cell>
          <cell r="R417" t="str">
            <v>Medline International Netherlands B.V.</v>
          </cell>
        </row>
        <row r="418">
          <cell r="A418" t="str">
            <v>FW_ ORDERBEVESTIGING NL327171, Deb.nr. 110890HE,  Uw order_ 3507009725.pdf</v>
          </cell>
          <cell r="R418" t="str">
            <v>Medline International Netherlands B.V.</v>
          </cell>
        </row>
        <row r="419">
          <cell r="A419" t="str">
            <v>FW_ ORDERBEVESTIGING NL327171, Deb.nr. 110890HE,  Uw order_ 3507009725.pdf</v>
          </cell>
          <cell r="R419" t="str">
            <v>Medline International Netherlands B.V.</v>
          </cell>
        </row>
        <row r="420">
          <cell r="A420" t="str">
            <v>FW_ ORDERBEVESTIGING NL327171, Deb.nr. 110890HE,  Uw order_ 3507009725.pdf</v>
          </cell>
          <cell r="R420" t="str">
            <v>Medline International Netherlands B.V.</v>
          </cell>
        </row>
        <row r="421">
          <cell r="A421" t="str">
            <v>FW_ ORDERBEVESTIGING NL327171, Deb.nr. 110890HE,  Uw order_ 3507009725.pdf</v>
          </cell>
          <cell r="R421" t="str">
            <v>Medline International Netherlands B.V.</v>
          </cell>
        </row>
        <row r="422">
          <cell r="A422" t="str">
            <v>FW_ ORDERBEVESTIGING NL327171, Deb.nr. 110890HE,  Uw order_ 3507009725.pdf</v>
          </cell>
          <cell r="R422" t="str">
            <v>Medline International Netherlands B.V.</v>
          </cell>
        </row>
        <row r="423">
          <cell r="A423" t="str">
            <v>FW_ ORDERBEVESTIGING NL327171, Deb.nr. 110890HE,  Uw order_ 3507009725.pdf</v>
          </cell>
          <cell r="R423" t="str">
            <v>Medline International Netherlands B.V.</v>
          </cell>
        </row>
        <row r="424">
          <cell r="A424" t="str">
            <v>FW_ ORDERBEVESTIGING NL327171, Deb.nr. 110890HE,  Uw order_ 3507009725.pdf</v>
          </cell>
          <cell r="R424" t="str">
            <v>Medline International Netherlands B.V.</v>
          </cell>
        </row>
        <row r="425">
          <cell r="A425" t="str">
            <v>FW_ ORDERBEVESTIGING NL327171, Deb.nr. 110890HE,  Uw order_ 3507009725.pdf</v>
          </cell>
          <cell r="R425" t="str">
            <v>Medline International Netherlands B.V.</v>
          </cell>
        </row>
        <row r="426">
          <cell r="A426" t="str">
            <v>FW_ ORDERBEVESTIGING NL327171, Deb.nr. 110890HE,  Uw order_ 3507009725.pdf</v>
          </cell>
          <cell r="R426" t="str">
            <v>Medline International Netherlands B.V.</v>
          </cell>
        </row>
        <row r="427">
          <cell r="A427" t="str">
            <v>FW_ ORDERBEVESTIGING NL327171, Deb.nr. 110890HE,  Uw order_ 3507009725.pdf</v>
          </cell>
          <cell r="R427" t="str">
            <v>Medline International Netherlands B.V.</v>
          </cell>
        </row>
        <row r="428">
          <cell r="A428" t="str">
            <v>FW_ ORDERBEVESTIGING NL327171, Deb.nr. 110890HE,  Uw order_ 3507009725.pdf</v>
          </cell>
          <cell r="R428" t="str">
            <v>Medline International Netherlands B.V.</v>
          </cell>
        </row>
        <row r="429">
          <cell r="A429" t="str">
            <v>FW_ ORDERBEVESTIGING NL327171, Deb.nr. 110890HE,  Uw order_ 3507009725.pdf</v>
          </cell>
          <cell r="R429" t="str">
            <v>Medline International Netherlands B.V.</v>
          </cell>
        </row>
        <row r="430">
          <cell r="A430" t="str">
            <v>FW_ ORDERBEVESTIGING NL327171, Deb.nr. 110890HE,  Uw order_ 3507009725.pdf</v>
          </cell>
          <cell r="R430" t="str">
            <v>Medline International Netherlands B.V.</v>
          </cell>
        </row>
        <row r="431">
          <cell r="A431" t="str">
            <v>FW_ ORDERBEVESTIGING NL327171, Deb.nr. 110890HE,  Uw order_ 3507009725.pdf</v>
          </cell>
          <cell r="R431" t="str">
            <v>Medline International Netherlands B.V.</v>
          </cell>
        </row>
        <row r="432">
          <cell r="A432" t="str">
            <v>ORDERBEVESTIGING 2364067490.pdf</v>
          </cell>
          <cell r="R432" t="str">
            <v>Fresenius Kabi Nederland B.V.</v>
          </cell>
        </row>
        <row r="433">
          <cell r="A433" t="str">
            <v>ORDERBEVESTIGING 2364067490.pdf</v>
          </cell>
          <cell r="R433" t="str">
            <v>Fresenius Kabi Nederland B.V.</v>
          </cell>
        </row>
        <row r="434">
          <cell r="A434" t="str">
            <v>Orderbevestiging C007-S2607623-1.pdf</v>
          </cell>
          <cell r="R434" t="str">
            <v>Duomed Belgium NV/SA</v>
          </cell>
        </row>
        <row r="435">
          <cell r="A435" t="str">
            <v>Orderbevestiging C007-S2607623-1.pdf</v>
          </cell>
          <cell r="R435" t="str">
            <v>Duomed Belgium NV/SA</v>
          </cell>
        </row>
        <row r="436">
          <cell r="A436" t="str">
            <v>Orderbevestiging C007-S2607623-1.pdf</v>
          </cell>
          <cell r="R436" t="str">
            <v>Duomed Belgium NV/SA</v>
          </cell>
        </row>
        <row r="437">
          <cell r="A437" t="str">
            <v>Orderbevestiging C007-S2607623-1.pdf</v>
          </cell>
          <cell r="R437" t="str">
            <v>Duomed Belgium NV/SA</v>
          </cell>
        </row>
        <row r="438">
          <cell r="A438" t="str">
            <v>Orderbevestiging C007-S2607623-1.pdf</v>
          </cell>
          <cell r="R438" t="str">
            <v>Duomed Belgium NV/SA</v>
          </cell>
        </row>
        <row r="439">
          <cell r="A439" t="str">
            <v>Orderbevestiging C007-S2607623-1.pdf</v>
          </cell>
          <cell r="R439" t="str">
            <v>Duomed Belgium NV/SA</v>
          </cell>
        </row>
        <row r="440">
          <cell r="A440" t="str">
            <v>Orderbevestiging C007-S2607623-1.pdf</v>
          </cell>
          <cell r="R440" t="str">
            <v>Duomed Belgium NV/SA</v>
          </cell>
        </row>
        <row r="441">
          <cell r="A441" t="str">
            <v>Orderbevestiging C007-S2607623-1.pdf</v>
          </cell>
          <cell r="R441" t="str">
            <v>Duomed Belgium NV/SA</v>
          </cell>
        </row>
        <row r="442">
          <cell r="A442" t="str">
            <v>Orderbevestiging C007-S2607623-1.pdf</v>
          </cell>
          <cell r="R442" t="str">
            <v>Duomed Belgium NV/SA</v>
          </cell>
        </row>
        <row r="443">
          <cell r="A443" t="str">
            <v>Orderbevestiging C007-S2607623-1.pdf</v>
          </cell>
          <cell r="R443" t="str">
            <v>Duomed Belgium NV/SA</v>
          </cell>
        </row>
        <row r="444">
          <cell r="A444" t="str">
            <v>Orderbevestiging C007-S2607623-1.pdf</v>
          </cell>
          <cell r="R444" t="str">
            <v>Duomed Belgium NV/SA</v>
          </cell>
        </row>
        <row r="445">
          <cell r="A445" t="str">
            <v>Orderbevestiging C007-S2607623-1.pdf</v>
          </cell>
          <cell r="R445" t="str">
            <v>Duomed Belgium NV/SA</v>
          </cell>
        </row>
        <row r="446">
          <cell r="A446" t="str">
            <v>Orderbevestiging C007-S2607623-1.pdf</v>
          </cell>
          <cell r="R446" t="str">
            <v>Duomed Belgium NV/SA</v>
          </cell>
        </row>
        <row r="447">
          <cell r="A447" t="str">
            <v>RE_ Verwachte LT.pdf</v>
          </cell>
        </row>
        <row r="448">
          <cell r="A448" t="str">
            <v>Lyreco orderbevestiging 167924591-16022026-0006.pdf</v>
          </cell>
          <cell r="R448" t="str">
            <v>Lyreco Belgium SA/NV</v>
          </cell>
        </row>
        <row r="449">
          <cell r="A449" t="str">
            <v>RE_ Opvolging openstaande orders.pdf</v>
          </cell>
        </row>
        <row r="450">
          <cell r="A450" t="str">
            <v>6507004833 ESSITY Order Ontvangstbevestiging.pdf</v>
          </cell>
          <cell r="R450" t="str">
            <v>Essity Netherlands B.V.</v>
          </cell>
        </row>
        <row r="451">
          <cell r="A451" t="str">
            <v>Van Hoeckel order ontvangstbevestiging.pdf</v>
          </cell>
          <cell r="R451" t="str">
            <v>Van Hoeckel</v>
          </cell>
        </row>
        <row r="452">
          <cell r="A452" t="str">
            <v>2508010179 ESSITY Orderbevestiging.pdf</v>
          </cell>
          <cell r="R452" t="str">
            <v>Essity Belgium NV</v>
          </cell>
        </row>
        <row r="453">
          <cell r="A453" t="str">
            <v>2508010179 ESSITY Orderbevestiging.pdf</v>
          </cell>
          <cell r="R453" t="str">
            <v>Essity Belgium NV</v>
          </cell>
        </row>
        <row r="454">
          <cell r="A454" t="str">
            <v>2508010179 ESSITY Orderbevestiging.pdf</v>
          </cell>
          <cell r="R454" t="str">
            <v>Essity Belgium NV</v>
          </cell>
        </row>
        <row r="455">
          <cell r="A455" t="str">
            <v>Bevestiging bestelling  S09313926-1.pdf</v>
          </cell>
          <cell r="R455" t="str">
            <v>King Belgium SA/NV</v>
          </cell>
        </row>
        <row r="456">
          <cell r="A456" t="str">
            <v>Hartmann _ Order bevestiging.pdf</v>
          </cell>
          <cell r="R456" t="str">
            <v>N.V. PAUL HARTMANN S.A.</v>
          </cell>
        </row>
        <row r="457">
          <cell r="A457" t="str">
            <v>Hartmann _ Order bevestiging.pdf</v>
          </cell>
          <cell r="R457" t="str">
            <v>N.V. PAUL HARTMANN S.A.</v>
          </cell>
        </row>
        <row r="458">
          <cell r="A458" t="str">
            <v>Hartmann _ Order bevestiging.pdf</v>
          </cell>
          <cell r="R458" t="str">
            <v>N.V. PAUL HARTMANN S.A.</v>
          </cell>
        </row>
        <row r="459">
          <cell r="A459" t="str">
            <v>Hartmann _ Order bevestiging.pdf</v>
          </cell>
          <cell r="R459" t="str">
            <v>N.V. PAUL HARTMANN S.A.</v>
          </cell>
        </row>
        <row r="460">
          <cell r="A460" t="str">
            <v>Hartmann _ Order bevestiging.pdf</v>
          </cell>
          <cell r="R460" t="str">
            <v>N.V. PAUL HARTMANN S.A.</v>
          </cell>
        </row>
        <row r="461">
          <cell r="A461" t="str">
            <v>Hartmann _ Order bevestiging.pdf</v>
          </cell>
          <cell r="R461" t="str">
            <v>N.V. PAUL HARTMANN S.A.</v>
          </cell>
        </row>
        <row r="462">
          <cell r="A462" t="str">
            <v>Hartmann _ Order bevestiging.pdf</v>
          </cell>
          <cell r="R462" t="str">
            <v>N.V. PAUL HARTMANN S.A.</v>
          </cell>
        </row>
        <row r="463">
          <cell r="A463" t="str">
            <v>Hartmann _ Order bevestiging.pdf</v>
          </cell>
          <cell r="R463" t="str">
            <v>N.V. PAUL HARTMANN S.A.</v>
          </cell>
        </row>
        <row r="464">
          <cell r="A464" t="str">
            <v>Hartmann _ Order bevestiging.pdf</v>
          </cell>
          <cell r="R464" t="str">
            <v>N.V. PAUL HARTMANN S.A.</v>
          </cell>
        </row>
        <row r="465">
          <cell r="A465" t="str">
            <v>Hartmann _ Order bevestiging.pdf</v>
          </cell>
          <cell r="R465" t="str">
            <v>N.V. PAUL HARTMANN S.A.</v>
          </cell>
        </row>
        <row r="466">
          <cell r="A466" t="str">
            <v>Hartmann _ Order bevestiging.pdf</v>
          </cell>
          <cell r="R466" t="str">
            <v>N.V. PAUL HARTMANN S.A.</v>
          </cell>
        </row>
        <row r="467">
          <cell r="A467" t="str">
            <v>Van Hoeckel orderinformatie.pdf</v>
          </cell>
          <cell r="R467" t="str">
            <v>Van Hoeckel</v>
          </cell>
        </row>
        <row r="468">
          <cell r="A468" t="str">
            <v>Teleflex Verzendnotificatie 8015532636.pdf</v>
          </cell>
        </row>
        <row r="469">
          <cell r="A469" t="str">
            <v>Teleflex Verzendnotificatie 8015531328.pdf</v>
          </cell>
        </row>
        <row r="470">
          <cell r="A470" t="str">
            <v>2508010179 ESSITY Orderbevestiging.pdf</v>
          </cell>
          <cell r="R470" t="str">
            <v>Essity Belgium NV Health &amp; Medical</v>
          </cell>
        </row>
        <row r="471">
          <cell r="A471" t="str">
            <v>2508010179 ESSITY Orderbevestiging.pdf</v>
          </cell>
          <cell r="R471" t="str">
            <v>Essity Belgium NV Health &amp; Medical</v>
          </cell>
        </row>
        <row r="472">
          <cell r="A472" t="str">
            <v>2508010179 ESSITY Orderbevestiging.pdf</v>
          </cell>
          <cell r="R472" t="str">
            <v>Essity Belgium NV Health &amp; Medical</v>
          </cell>
        </row>
        <row r="473">
          <cell r="A473" t="str">
            <v>_ Orderbevestiging 1505040022.pdf</v>
          </cell>
          <cell r="R473" t="str">
            <v>Mölnlycke Health Care B.V.</v>
          </cell>
        </row>
        <row r="474">
          <cell r="A474" t="str">
            <v>_ Orderbevestiging 1505040022.pdf</v>
          </cell>
          <cell r="R474" t="str">
            <v>Mölnlycke Health Care B.V.</v>
          </cell>
        </row>
        <row r="475">
          <cell r="A475" t="str">
            <v>BE356233 Order Hospital Logistics  1501037350.pdf</v>
          </cell>
          <cell r="R475" t="str">
            <v>Medline Int'l Belgium BV</v>
          </cell>
        </row>
        <row r="476">
          <cell r="A476" t="str">
            <v>Orderbevestiging C007-S2607720-1.pdf</v>
          </cell>
          <cell r="R476" t="str">
            <v>Duomed Belgium NV/SA</v>
          </cell>
        </row>
        <row r="477">
          <cell r="A477" t="str">
            <v>Hartmann _ Order bevestiging.pdf</v>
          </cell>
          <cell r="R477" t="str">
            <v>N.V. PAUL HARTMANN S.A.</v>
          </cell>
        </row>
        <row r="478">
          <cell r="A478" t="str">
            <v>Hartmann _ Order bevestiging.pdf</v>
          </cell>
          <cell r="R478" t="str">
            <v>N.V. PAUL HARTMANN S.A.</v>
          </cell>
        </row>
        <row r="479">
          <cell r="A479" t="str">
            <v>Hartmann _ Order bevestiging.pdf</v>
          </cell>
          <cell r="R479" t="str">
            <v>N.V. PAUL HARTMANN S.A.</v>
          </cell>
        </row>
        <row r="480">
          <cell r="A480" t="str">
            <v>Hartmann _ Order bevestiging.pdf</v>
          </cell>
          <cell r="R480" t="str">
            <v>N.V. PAUL HARTMANN S.A.</v>
          </cell>
        </row>
        <row r="481">
          <cell r="A481" t="str">
            <v>Hartmann _ Order bevestiging.pdf</v>
          </cell>
          <cell r="R481" t="str">
            <v>N.V. PAUL HARTMANN S.A.</v>
          </cell>
        </row>
        <row r="482">
          <cell r="A482" t="str">
            <v>Hartmann _ Order bevestiging.pdf</v>
          </cell>
          <cell r="R482" t="str">
            <v>N.V. PAUL HARTMANN S.A.</v>
          </cell>
        </row>
        <row r="483">
          <cell r="A483" t="str">
            <v>Hartmann _ Order bevestiging.pdf</v>
          </cell>
          <cell r="R483" t="str">
            <v>N.V. PAUL HARTMANN S.A.</v>
          </cell>
        </row>
        <row r="484">
          <cell r="A484" t="str">
            <v>Hartmann _ Order bevestiging.pdf</v>
          </cell>
          <cell r="R484" t="str">
            <v>N.V. PAUL HARTMANN S.A.</v>
          </cell>
        </row>
        <row r="485">
          <cell r="A485" t="str">
            <v>Hartmann _ Order bevestiging.pdf</v>
          </cell>
          <cell r="R485" t="str">
            <v>N.V. PAUL HARTMANN S.A.</v>
          </cell>
        </row>
        <row r="486">
          <cell r="A486" t="str">
            <v>Hartmann _ Order bevestiging.pdf</v>
          </cell>
          <cell r="R486" t="str">
            <v>N.V. PAUL HARTMANN S.A.</v>
          </cell>
        </row>
        <row r="487">
          <cell r="A487" t="str">
            <v>Hartmann _ Order bevestiging.pdf</v>
          </cell>
          <cell r="R487" t="str">
            <v>N.V. PAUL HARTMANN S.A.</v>
          </cell>
        </row>
        <row r="488">
          <cell r="A488" t="str">
            <v>Hartmann _ Order bevestiging.pdf</v>
          </cell>
          <cell r="R488" t="str">
            <v>N.V. PAUL HARTMANN S.A.</v>
          </cell>
        </row>
        <row r="489">
          <cell r="A489" t="str">
            <v>Hartmann _ Order bevestiging.pdf</v>
          </cell>
          <cell r="R489" t="str">
            <v>N.V. PAUL HARTMANN S.A.</v>
          </cell>
        </row>
        <row r="490">
          <cell r="A490" t="str">
            <v>Hartmann _ Order bevestiging.pdf</v>
          </cell>
          <cell r="R490" t="str">
            <v>N.V. PAUL HARTMANN S.A.</v>
          </cell>
        </row>
        <row r="491">
          <cell r="A491" t="str">
            <v>Hartmann _ Order bevestiging.pdf</v>
          </cell>
          <cell r="R491" t="str">
            <v>N.V. PAUL HARTMANN S.A.</v>
          </cell>
        </row>
        <row r="492">
          <cell r="A492" t="str">
            <v>Hartmann _ Order bevestiging.pdf</v>
          </cell>
        </row>
        <row r="493">
          <cell r="A493" t="str">
            <v>Order bevestiging 26-02889.pdf</v>
          </cell>
          <cell r="R493" t="str">
            <v>Medtronic Trading NL BV</v>
          </cell>
        </row>
        <row r="494">
          <cell r="A494" t="str">
            <v>Orderbevestiging C007-S2607726-1.pdf</v>
          </cell>
        </row>
        <row r="495">
          <cell r="A495" t="str">
            <v>Re_ [EXTERNAL EMAIL] Order Hospital Logistics  1508015191.pdf</v>
          </cell>
        </row>
      </sheetData>
      <sheetData sheetId="5"/>
      <sheetData sheetId="6">
        <row r="1">
          <cell r="A1" t="str">
            <v>File Name</v>
          </cell>
          <cell r="Q1" t="str">
            <v>% of Purchase Order Number</v>
          </cell>
          <cell r="R1" t="str">
            <v>% of Supplier Order Number</v>
          </cell>
          <cell r="S1" t="str">
            <v>% of Order Date</v>
          </cell>
          <cell r="T1" t="str">
            <v>% of Supplier Name</v>
          </cell>
          <cell r="U1" t="str">
            <v>% of Customer Name</v>
          </cell>
          <cell r="V1" t="str">
            <v>% of Currency</v>
          </cell>
          <cell r="W1" t="str">
            <v>% of Article Number</v>
          </cell>
          <cell r="X1" t="str">
            <v>% of Item Description</v>
          </cell>
          <cell r="Y1" t="str">
            <v>% of Quantity</v>
          </cell>
          <cell r="Z1" t="str">
            <v>% of Unit of Measure</v>
          </cell>
          <cell r="AA1" t="str">
            <v>% of Unit Price</v>
          </cell>
          <cell r="AB1" t="str">
            <v>% of Item Planned Delivery Date</v>
          </cell>
        </row>
        <row r="2">
          <cell r="A2" t="str">
            <v>_ Orderbevestiging 1501037327.pdf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</row>
        <row r="3">
          <cell r="A3" t="str">
            <v>_ Orderbevestiging 1504026582.pdf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</row>
        <row r="4">
          <cell r="A4" t="str">
            <v>_ Orderbevestiging 1505040022.pdf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</row>
        <row r="5">
          <cell r="A5" t="str">
            <v>_ Orderbevestiging 3504015911.pdf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1</v>
          </cell>
        </row>
        <row r="6">
          <cell r="A6" t="str">
            <v>_ Orderbevestiging 3505026677.pdf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</row>
        <row r="7">
          <cell r="A7" t="str">
            <v>100142673 HL WZC Herinnering Sligro [#KM-6720322] [#RL-144746].pdf</v>
          </cell>
          <cell r="Q7" t="e">
            <v>#DIV/0!</v>
          </cell>
          <cell r="R7" t="e">
            <v>#DIV/0!</v>
          </cell>
          <cell r="S7" t="e">
            <v>#DIV/0!</v>
          </cell>
          <cell r="T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</row>
        <row r="8">
          <cell r="A8" t="str">
            <v>2501209992 ESSITY Orderbevestiging.pdf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0.5</v>
          </cell>
          <cell r="AB8">
            <v>1</v>
          </cell>
        </row>
        <row r="9">
          <cell r="A9" t="str">
            <v>2505040799 ESSITY Order Ontvangstbevestiging.pdf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0</v>
          </cell>
        </row>
        <row r="10">
          <cell r="A10" t="str">
            <v>2507017044 ESSITY Order Ontvangstbevestiging.pdf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0</v>
          </cell>
        </row>
        <row r="11">
          <cell r="A11" t="str">
            <v>2508010179 ESSITY Orderbevestiging.pdf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0.5</v>
          </cell>
          <cell r="AB11">
            <v>0.66666666666666663</v>
          </cell>
        </row>
        <row r="12">
          <cell r="A12" t="str">
            <v>3505026639 ESSITY Orderbevestiging.pdf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0.95454545454545459</v>
          </cell>
        </row>
        <row r="13">
          <cell r="A13" t="str">
            <v>3505026670 ESSITY Orderbevestiging.pdf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</row>
        <row r="14">
          <cell r="A14" t="str">
            <v>3505026678 ESSITY Orderbevestiging.pdf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</row>
        <row r="15">
          <cell r="A15" t="str">
            <v>6507004827 ESSITY Order Ontvangstbevestiging.pdf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0</v>
          </cell>
        </row>
        <row r="16">
          <cell r="A16" t="str">
            <v>6507004831 ESSITY Order Ontvangstbevestiging.pdf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B16">
            <v>0</v>
          </cell>
        </row>
        <row r="17">
          <cell r="A17" t="str">
            <v>6507004833 ESSITY Order Ontvangstbevestiging.pdf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0</v>
          </cell>
        </row>
        <row r="18">
          <cell r="A18" t="str">
            <v>BD Order Acknowledgement for your purchase order with reference 1505040027.pdf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</row>
        <row r="19">
          <cell r="A19" t="str">
            <v>BD Order Acknowledgement for your purchase order with reference 3504015923.pdf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0</v>
          </cell>
          <cell r="AA19">
            <v>1</v>
          </cell>
          <cell r="AB19">
            <v>1</v>
          </cell>
        </row>
        <row r="20">
          <cell r="A20" t="str">
            <v>BD Order Acknowledgement for your purchase order with reference 3507009726.pdf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1</v>
          </cell>
          <cell r="AB20">
            <v>1</v>
          </cell>
        </row>
        <row r="21">
          <cell r="A21" t="str">
            <v>BE356233 Order Hospital Logistics  1501037350.pdf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0</v>
          </cell>
          <cell r="Y21">
            <v>1</v>
          </cell>
          <cell r="Z21">
            <v>0</v>
          </cell>
          <cell r="AA21">
            <v>1</v>
          </cell>
          <cell r="AB21">
            <v>1</v>
          </cell>
        </row>
        <row r="22">
          <cell r="A22" t="str">
            <v>Betreft_ Overzicht van nog te leveren Vygon producten.pdf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1</v>
          </cell>
          <cell r="Y22">
            <v>1</v>
          </cell>
          <cell r="Z22">
            <v>0</v>
          </cell>
          <cell r="AA22">
            <v>0</v>
          </cell>
          <cell r="AB22">
            <v>1</v>
          </cell>
        </row>
        <row r="23">
          <cell r="A23" t="str">
            <v>Betreft_ Overzicht van nog te leveren Vygon producten.pdf</v>
          </cell>
          <cell r="Q23" t="e">
            <v>#DIV/0!</v>
          </cell>
          <cell r="R23" t="e">
            <v>#DIV/0!</v>
          </cell>
          <cell r="S23" t="e">
            <v>#DIV/0!</v>
          </cell>
          <cell r="T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</row>
        <row r="24">
          <cell r="A24" t="str">
            <v>Betreft_ Overzicht van nog te leveren Vygon producten.pdf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 t="e">
            <v>#DIV/0!</v>
          </cell>
          <cell r="Z24" t="e">
            <v>#DIV/0!</v>
          </cell>
          <cell r="AA24" t="e">
            <v>#DIV/0!</v>
          </cell>
          <cell r="AB24" t="e">
            <v>#DIV/0!</v>
          </cell>
        </row>
        <row r="25">
          <cell r="A25" t="str">
            <v>Bevestiging bestelling  S09313425-1.pdf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</row>
        <row r="26">
          <cell r="A26" t="str">
            <v>Bevestiging bestelling  S09313437-1.pdf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</row>
        <row r="27">
          <cell r="A27" t="str">
            <v>Bevestiging bestelling  S09313444-1.pdf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</row>
        <row r="28">
          <cell r="A28" t="str">
            <v>Bevestiging bestelling  S09313481-1.pdf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</row>
        <row r="29">
          <cell r="A29" t="str">
            <v>Bevestiging bestelling  S09313926-1.pdf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</row>
        <row r="30">
          <cell r="A30" t="str">
            <v>Bevestiging bestelling  S09313928-1.pdf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</row>
        <row r="31">
          <cell r="A31" t="str">
            <v>Confirmation C007-S2607613-1.pdf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</row>
        <row r="32">
          <cell r="A32" t="str">
            <v>Confirmation Commande S09313483-1.pdf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</row>
        <row r="33">
          <cell r="A33" t="str">
            <v>Embal.bon_100726_Sligro_5061_klant_000142470.pdf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</row>
        <row r="34">
          <cell r="A34" t="str">
            <v>FW_ ORDERBEVESTIGING NL327171, Deb.nr. 110890HE,  Uw order_ 3507009725.pdf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</row>
        <row r="35">
          <cell r="A35" t="str">
            <v>Hartmann _ Order bevestiging.pdf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</row>
        <row r="36">
          <cell r="A36" t="str">
            <v>HARTMANN_ ORDERBEVESTIGING0021752283.pdf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</row>
        <row r="37">
          <cell r="A37" t="str">
            <v>HARTMANN_ ORDERBEVESTIGING0021752292.pdf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</row>
        <row r="38">
          <cell r="A38" t="str">
            <v>HARTMANN_ ORDERBEVESTIGING0021752293.pdf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</row>
        <row r="39">
          <cell r="A39" t="str">
            <v>Informatie betreffende een JAVA levering.pdf</v>
          </cell>
          <cell r="Q39" t="e">
            <v>#DIV/0!</v>
          </cell>
          <cell r="R39" t="e">
            <v>#DIV/0!</v>
          </cell>
          <cell r="S39" t="e">
            <v>#DIV/0!</v>
          </cell>
          <cell r="T39" t="e">
            <v>#DIV/0!</v>
          </cell>
          <cell r="U39" t="e">
            <v>#DIV/0!</v>
          </cell>
          <cell r="V39" t="e">
            <v>#DIV/0!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</row>
        <row r="40">
          <cell r="A40" t="str">
            <v>Informatie betreffende een JAVA levering.pdf</v>
          </cell>
          <cell r="Q40" t="e">
            <v>#DIV/0!</v>
          </cell>
          <cell r="R40" t="e">
            <v>#DIV/0!</v>
          </cell>
          <cell r="S40" t="e">
            <v>#DIV/0!</v>
          </cell>
          <cell r="T40" t="e">
            <v>#DIV/0!</v>
          </cell>
          <cell r="U40" t="e">
            <v>#DIV/0!</v>
          </cell>
          <cell r="V40" t="e">
            <v>#DIV/0!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</row>
        <row r="41">
          <cell r="A41" t="str">
            <v>JAVA leveringsinformatie.pdf</v>
          </cell>
          <cell r="Q41" t="e">
            <v>#DIV/0!</v>
          </cell>
          <cell r="R41" t="e">
            <v>#DIV/0!</v>
          </cell>
          <cell r="S41" t="e">
            <v>#DIV/0!</v>
          </cell>
          <cell r="T41" t="e">
            <v>#DIV/0!</v>
          </cell>
          <cell r="U41" t="e">
            <v>#DIV/0!</v>
          </cell>
          <cell r="V41" t="e">
            <v>#DIV/0!</v>
          </cell>
          <cell r="W41" t="e">
            <v>#DIV/0!</v>
          </cell>
          <cell r="X41" t="e">
            <v>#DIV/0!</v>
          </cell>
          <cell r="Y41" t="e">
            <v>#DIV/0!</v>
          </cell>
          <cell r="Z41" t="e">
            <v>#DIV/0!</v>
          </cell>
          <cell r="AA41" t="e">
            <v>#DIV/0!</v>
          </cell>
          <cell r="AB41" t="e">
            <v>#DIV/0!</v>
          </cell>
        </row>
        <row r="42">
          <cell r="A42" t="str">
            <v>JAVA leveringsinformatie.pdf</v>
          </cell>
          <cell r="Q42" t="e">
            <v>#DIV/0!</v>
          </cell>
          <cell r="R42" t="e">
            <v>#DIV/0!</v>
          </cell>
          <cell r="S42" t="e">
            <v>#DIV/0!</v>
          </cell>
          <cell r="T42" t="e">
            <v>#DIV/0!</v>
          </cell>
          <cell r="U42" t="e">
            <v>#DIV/0!</v>
          </cell>
          <cell r="V42" t="e">
            <v>#DIV/0!</v>
          </cell>
          <cell r="W42" t="e">
            <v>#DIV/0!</v>
          </cell>
          <cell r="X42" t="e">
            <v>#DIV/0!</v>
          </cell>
          <cell r="Y42" t="e">
            <v>#DIV/0!</v>
          </cell>
          <cell r="Z42" t="e">
            <v>#DIV/0!</v>
          </cell>
          <cell r="AA42" t="e">
            <v>#DIV/0!</v>
          </cell>
          <cell r="AB42" t="e">
            <v>#DIV/0!</v>
          </cell>
        </row>
        <row r="43">
          <cell r="A43" t="str">
            <v>Jouw Lyreco bestelling 1178683275 - 2505040761 is onderweg!.pdf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  <cell r="U43" t="e">
            <v>#DIV/0!</v>
          </cell>
          <cell r="V43" t="e">
            <v>#DIV/0!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</row>
        <row r="44">
          <cell r="A44" t="str">
            <v>Lyreco orderbevestiging 167912161-16022026-0006.pdf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0</v>
          </cell>
          <cell r="AA44">
            <v>1</v>
          </cell>
          <cell r="AB44">
            <v>0</v>
          </cell>
        </row>
        <row r="45">
          <cell r="A45" t="str">
            <v>Lyreco orderbevestiging 167913009-16022026-0006.pdf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0</v>
          </cell>
          <cell r="AA45">
            <v>1</v>
          </cell>
          <cell r="AB45">
            <v>0</v>
          </cell>
        </row>
        <row r="46">
          <cell r="A46" t="str">
            <v>Lyreco orderbevestiging 167924591-16022026-0006.pdf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0</v>
          </cell>
          <cell r="AA46">
            <v>1</v>
          </cell>
          <cell r="AB46">
            <v>0</v>
          </cell>
        </row>
        <row r="47">
          <cell r="A47" t="str">
            <v>Mediq orderbevestiging_ 1507018696.pdf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</row>
        <row r="48">
          <cell r="A48" t="str">
            <v>Mediq orderbevestiging_ 3507009731.pdf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</row>
        <row r="49">
          <cell r="A49" t="str">
            <v>Medtronic - backorder report - Hospital Logistics.pdf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</row>
        <row r="50">
          <cell r="A50" t="str">
            <v>Order bevestiging 26-02818.pdf</v>
          </cell>
          <cell r="Q50">
            <v>0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</row>
        <row r="51">
          <cell r="A51" t="str">
            <v>Order bevestiging 26-02855.pdf</v>
          </cell>
          <cell r="Q51">
            <v>0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0.83333333333333337</v>
          </cell>
        </row>
        <row r="52">
          <cell r="A52" t="str">
            <v>Order bevestiging 26-02889.pdf</v>
          </cell>
          <cell r="Q52">
            <v>0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</row>
        <row r="53">
          <cell r="A53" t="str">
            <v>ORDERBEVESTIGING 2364064918.pdf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</row>
        <row r="54">
          <cell r="A54" t="str">
            <v>ORDERBEVESTIGING 2364067490.pdf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</row>
        <row r="55">
          <cell r="A55" t="str">
            <v>Orderbevestiging C007-S2607585-1.pdf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</row>
        <row r="56">
          <cell r="A56" t="str">
            <v>Orderbevestiging C007-S2607598-1.pdf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</row>
        <row r="57">
          <cell r="A57" t="str">
            <v>Orderbevestiging C007-S2607619-1.pdf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</row>
        <row r="58">
          <cell r="A58" t="str">
            <v>Orderbevestiging C007-S2607622-1.pdf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</row>
        <row r="59">
          <cell r="A59" t="str">
            <v>Orderbevestiging C007-S2607623-1.pdf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</row>
        <row r="60">
          <cell r="A60" t="str">
            <v>Orderbevestiging C007-S2607720-1.pdf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</row>
        <row r="61">
          <cell r="A61" t="str">
            <v>Orderbevestiging C007-S2607726-1.pdf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 t="e">
            <v>#DIV/0!</v>
          </cell>
          <cell r="Z61" t="e">
            <v>#DIV/0!</v>
          </cell>
          <cell r="AA61" t="e">
            <v>#DIV/0!</v>
          </cell>
          <cell r="AB61" t="e">
            <v>#DIV/0!</v>
          </cell>
        </row>
        <row r="62">
          <cell r="A62" t="str">
            <v>Orderbevestiging_Orderacknowledgement_ 3505026688.pdf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</row>
        <row r="63">
          <cell r="A63" t="str">
            <v>Re_ [EXTERNAL EMAIL] Order Hospital Logistics  1507018691.pdf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0.83333333333333337</v>
          </cell>
          <cell r="AB63">
            <v>0.33333333333333331</v>
          </cell>
        </row>
        <row r="64">
          <cell r="A64" t="str">
            <v>Re_ [EXTERNAL EMAIL] Order Hospital Logistics  1508015191.pdf</v>
          </cell>
          <cell r="Q64" t="e">
            <v>#DIV/0!</v>
          </cell>
          <cell r="R64" t="e">
            <v>#DIV/0!</v>
          </cell>
          <cell r="S64" t="e">
            <v>#DIV/0!</v>
          </cell>
          <cell r="T64" t="e">
            <v>#DIV/0!</v>
          </cell>
          <cell r="U64" t="e">
            <v>#DIV/0!</v>
          </cell>
          <cell r="V64" t="e">
            <v>#DIV/0!</v>
          </cell>
          <cell r="W64" t="e">
            <v>#DIV/0!</v>
          </cell>
          <cell r="X64" t="e">
            <v>#DIV/0!</v>
          </cell>
          <cell r="Y64" t="e">
            <v>#DIV/0!</v>
          </cell>
          <cell r="Z64" t="e">
            <v>#DIV/0!</v>
          </cell>
          <cell r="AA64" t="e">
            <v>#DIV/0!</v>
          </cell>
          <cell r="AB64" t="e">
            <v>#DIV/0!</v>
          </cell>
        </row>
        <row r="65">
          <cell r="A65" t="str">
            <v>Re_ [EXTERNAL EMAIL] Order Hospital Logistics  3504015924.pdf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B65">
            <v>0</v>
          </cell>
        </row>
        <row r="66">
          <cell r="A66" t="str">
            <v>Re_ [EXTERNAL EMAIL] Order Hospital Logistics  3505026679.pdf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0.53846153846153844</v>
          </cell>
          <cell r="AB66">
            <v>0</v>
          </cell>
        </row>
        <row r="67">
          <cell r="A67" t="str">
            <v>RE_ FW_ Opvolging openstaande orders.pdf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  <cell r="U67" t="e">
            <v>#DIV/0!</v>
          </cell>
          <cell r="V67" t="e">
            <v>#DIV/0!</v>
          </cell>
          <cell r="W67" t="e">
            <v>#DIV/0!</v>
          </cell>
          <cell r="X67" t="e">
            <v>#DIV/0!</v>
          </cell>
          <cell r="Y67" t="e">
            <v>#DIV/0!</v>
          </cell>
          <cell r="Z67" t="e">
            <v>#DIV/0!</v>
          </cell>
          <cell r="AA67" t="e">
            <v>#DIV/0!</v>
          </cell>
          <cell r="AB67" t="e">
            <v>#DIV/0!</v>
          </cell>
        </row>
        <row r="68">
          <cell r="A68" t="str">
            <v>RE_ Opvolging openstaande orders.pdf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</row>
        <row r="69">
          <cell r="A69" t="str">
            <v>RE_ order 1501037263.pdf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</row>
        <row r="70">
          <cell r="A70" t="str">
            <v>RE_ RE_ Teleflex Orderbevestiging 1504025864 and 13995843.pdf</v>
          </cell>
          <cell r="Q70" t="e">
            <v>#DIV/0!</v>
          </cell>
          <cell r="R70" t="e">
            <v>#DIV/0!</v>
          </cell>
          <cell r="S70" t="e">
            <v>#DIV/0!</v>
          </cell>
          <cell r="T70" t="e">
            <v>#DIV/0!</v>
          </cell>
          <cell r="U70" t="e">
            <v>#DIV/0!</v>
          </cell>
          <cell r="V70" t="e">
            <v>#DIV/0!</v>
          </cell>
          <cell r="W70" t="e">
            <v>#DIV/0!</v>
          </cell>
          <cell r="X70" t="e">
            <v>#DIV/0!</v>
          </cell>
          <cell r="Y70" t="e">
            <v>#DIV/0!</v>
          </cell>
          <cell r="Z70" t="e">
            <v>#DIV/0!</v>
          </cell>
          <cell r="AA70" t="e">
            <v>#DIV/0!</v>
          </cell>
          <cell r="AB70" t="e">
            <v>#DIV/0!</v>
          </cell>
        </row>
        <row r="71">
          <cell r="A71" t="str">
            <v>RE_ Verwachte leverdatum.pdf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 t="e">
            <v>#DIV/0!</v>
          </cell>
          <cell r="X71" t="e">
            <v>#DIV/0!</v>
          </cell>
          <cell r="Y71" t="e">
            <v>#DIV/0!</v>
          </cell>
          <cell r="Z71" t="e">
            <v>#DIV/0!</v>
          </cell>
          <cell r="AA71" t="e">
            <v>#DIV/0!</v>
          </cell>
          <cell r="AB71" t="e">
            <v>#DIV/0!</v>
          </cell>
        </row>
        <row r="72">
          <cell r="A72" t="str">
            <v>RE_ Verwachte LT.pdf</v>
          </cell>
          <cell r="Q72" t="e">
            <v>#DIV/0!</v>
          </cell>
          <cell r="R72" t="e">
            <v>#DIV/0!</v>
          </cell>
          <cell r="S72" t="e">
            <v>#DIV/0!</v>
          </cell>
          <cell r="T72" t="e">
            <v>#DIV/0!</v>
          </cell>
          <cell r="U72" t="e">
            <v>#DIV/0!</v>
          </cell>
          <cell r="V72" t="e">
            <v>#DIV/0!</v>
          </cell>
          <cell r="W72" t="e">
            <v>#DIV/0!</v>
          </cell>
          <cell r="X72" t="e">
            <v>#DIV/0!</v>
          </cell>
          <cell r="Y72" t="e">
            <v>#DIV/0!</v>
          </cell>
          <cell r="Z72" t="e">
            <v>#DIV/0!</v>
          </cell>
          <cell r="AA72" t="e">
            <v>#DIV/0!</v>
          </cell>
          <cell r="AB72" t="e">
            <v>#DIV/0!</v>
          </cell>
        </row>
        <row r="73">
          <cell r="A73" t="str">
            <v>Teleflex Verzendnotificatie 8015531328.pdf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  <cell r="U73" t="e">
            <v>#DIV/0!</v>
          </cell>
          <cell r="V73" t="e">
            <v>#DIV/0!</v>
          </cell>
          <cell r="W73" t="e">
            <v>#DIV/0!</v>
          </cell>
          <cell r="X73" t="e">
            <v>#DIV/0!</v>
          </cell>
          <cell r="Y73" t="e">
            <v>#DIV/0!</v>
          </cell>
          <cell r="Z73" t="e">
            <v>#DIV/0!</v>
          </cell>
          <cell r="AA73" t="e">
            <v>#DIV/0!</v>
          </cell>
          <cell r="AB73" t="e">
            <v>#DIV/0!</v>
          </cell>
        </row>
        <row r="74">
          <cell r="A74" t="str">
            <v>Teleflex Verzendnotificatie 8015532636.pdf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  <cell r="U74" t="e">
            <v>#DIV/0!</v>
          </cell>
          <cell r="V74" t="e">
            <v>#DIV/0!</v>
          </cell>
          <cell r="W74" t="e">
            <v>#DIV/0!</v>
          </cell>
          <cell r="X74" t="e">
            <v>#DIV/0!</v>
          </cell>
          <cell r="Y74" t="e">
            <v>#DIV/0!</v>
          </cell>
          <cell r="Z74" t="e">
            <v>#DIV/0!</v>
          </cell>
          <cell r="AA74" t="e">
            <v>#DIV/0!</v>
          </cell>
          <cell r="AB74" t="e">
            <v>#DIV/0!</v>
          </cell>
        </row>
        <row r="75">
          <cell r="A75" t="str">
            <v>Uw orderbevestiging 60392040.pdf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</row>
        <row r="76">
          <cell r="A76" t="str">
            <v>Uw orderinformatie (uw referentie_ 1504026606, Brocacef Ordernr_ TPV72539).pdf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0</v>
          </cell>
          <cell r="AB76">
            <v>0.25</v>
          </cell>
        </row>
        <row r="77">
          <cell r="A77" t="str">
            <v>Uw orderinformatie (uw referentie_ 2505040801, Brocacef Ordernr_ TPV72495).pdf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0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0</v>
          </cell>
          <cell r="AB77">
            <v>1</v>
          </cell>
        </row>
        <row r="78">
          <cell r="A78" t="str">
            <v>Van Hoeckel leveringsinformatie.pdf</v>
          </cell>
          <cell r="Q78">
            <v>0</v>
          </cell>
          <cell r="R78">
            <v>0</v>
          </cell>
          <cell r="S78">
            <v>1</v>
          </cell>
          <cell r="T78">
            <v>1</v>
          </cell>
          <cell r="U78">
            <v>1</v>
          </cell>
          <cell r="V78">
            <v>0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0</v>
          </cell>
          <cell r="AB78">
            <v>1</v>
          </cell>
        </row>
        <row r="79">
          <cell r="A79" t="str">
            <v>Van Hoeckel order ontvangstbevestiging.pdf</v>
          </cell>
          <cell r="Q79">
            <v>1</v>
          </cell>
          <cell r="R79">
            <v>0</v>
          </cell>
          <cell r="S79">
            <v>1</v>
          </cell>
          <cell r="T79">
            <v>1</v>
          </cell>
          <cell r="U79">
            <v>1</v>
          </cell>
          <cell r="V79">
            <v>0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0</v>
          </cell>
          <cell r="AB79">
            <v>1</v>
          </cell>
        </row>
        <row r="80">
          <cell r="A80" t="str">
            <v>Van Hoeckel orderinformatie.pdf</v>
          </cell>
          <cell r="Q80">
            <v>1</v>
          </cell>
          <cell r="R80">
            <v>0</v>
          </cell>
          <cell r="S80">
            <v>1</v>
          </cell>
          <cell r="T80">
            <v>1</v>
          </cell>
          <cell r="U80">
            <v>1</v>
          </cell>
          <cell r="V80">
            <v>0</v>
          </cell>
          <cell r="W80">
            <v>1</v>
          </cell>
          <cell r="X80">
            <v>1</v>
          </cell>
          <cell r="Y80">
            <v>1</v>
          </cell>
          <cell r="Z80">
            <v>0</v>
          </cell>
          <cell r="AA80">
            <v>0</v>
          </cell>
          <cell r="AB80">
            <v>1</v>
          </cell>
        </row>
        <row r="81">
          <cell r="A81" t="str">
            <v>Verkooporder SO00454616 _ 3505026682.pdf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</row>
        <row r="82">
          <cell r="A82" t="str">
            <v>Verkooporder SO00454632 _ 3505026682.pdf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</row>
        <row r="83">
          <cell r="A83" t="str">
            <v>Verkooporder SO00454638 _ 3505026682.pdf</v>
          </cell>
          <cell r="Q83" t="e">
            <v>#DIV/0!</v>
          </cell>
          <cell r="R83" t="e">
            <v>#DIV/0!</v>
          </cell>
          <cell r="S83" t="e">
            <v>#DIV/0!</v>
          </cell>
          <cell r="T83" t="e">
            <v>#DIV/0!</v>
          </cell>
          <cell r="U83" t="e">
            <v>#DIV/0!</v>
          </cell>
          <cell r="V83" t="e">
            <v>#DIV/0!</v>
          </cell>
          <cell r="W83" t="e">
            <v>#DIV/0!</v>
          </cell>
          <cell r="X83" t="e">
            <v>#DIV/0!</v>
          </cell>
          <cell r="Y83" t="e">
            <v>#DIV/0!</v>
          </cell>
          <cell r="Z83" t="e">
            <v>#DIV/0!</v>
          </cell>
          <cell r="AA83" t="e">
            <v>#DIV/0!</v>
          </cell>
          <cell r="AB83" t="e">
            <v>#DIV/0!</v>
          </cell>
        </row>
        <row r="84">
          <cell r="A84" t="str">
            <v>Verkooporder SO00454639 _ 3505026682.pdf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</row>
        <row r="85">
          <cell r="A85" t="str">
            <v>Verkooporder SO00454641 _ 3505026682.pdf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</row>
        <row r="86">
          <cell r="A86" t="str">
            <v>Verkooporder SO00454642 _ 3505026682.pdf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  <cell r="U86" t="e">
            <v>#DIV/0!</v>
          </cell>
          <cell r="V86" t="e">
            <v>#DIV/0!</v>
          </cell>
          <cell r="W86" t="e">
            <v>#DIV/0!</v>
          </cell>
          <cell r="X86" t="e">
            <v>#DIV/0!</v>
          </cell>
          <cell r="Y86" t="e">
            <v>#DIV/0!</v>
          </cell>
          <cell r="Z86" t="e">
            <v>#DIV/0!</v>
          </cell>
          <cell r="AA86" t="e">
            <v>#DIV/0!</v>
          </cell>
          <cell r="AB86" t="e">
            <v>#DIV/0!</v>
          </cell>
        </row>
        <row r="87">
          <cell r="A87" t="str">
            <v>Verkooporder SO00454644 _ 3507009728.pdf</v>
          </cell>
          <cell r="Q87" t="e">
            <v>#DIV/0!</v>
          </cell>
          <cell r="R87" t="e">
            <v>#DIV/0!</v>
          </cell>
          <cell r="S87" t="e">
            <v>#DIV/0!</v>
          </cell>
          <cell r="T87" t="e">
            <v>#DIV/0!</v>
          </cell>
          <cell r="U87" t="e">
            <v>#DIV/0!</v>
          </cell>
          <cell r="V87" t="e">
            <v>#DIV/0!</v>
          </cell>
          <cell r="W87" t="e">
            <v>#DIV/0!</v>
          </cell>
          <cell r="X87" t="e">
            <v>#DIV/0!</v>
          </cell>
          <cell r="Y87" t="e">
            <v>#DIV/0!</v>
          </cell>
          <cell r="Z87" t="e">
            <v>#DIV/0!</v>
          </cell>
          <cell r="AA87" t="e">
            <v>#DIV/0!</v>
          </cell>
          <cell r="AB87" t="e">
            <v>#DIV/0!</v>
          </cell>
        </row>
        <row r="88">
          <cell r="A88" t="str">
            <v>Verkooporder SO00454649 _ 3507009728.pdf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</row>
        <row r="89">
          <cell r="A89" t="str">
            <v>Verkooporder SO00454662 _ 3504015927.pdf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</row>
        <row r="90">
          <cell r="A90" t="str">
            <v>Verkooporder SO00454663 _ 3504015927.pdf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6D901-7D0E-44DB-B267-DF73EAD6C661}" name="Table325" displayName="Table325" ref="D6:Z105" totalsRowShown="0" headerRowDxfId="43">
  <autoFilter ref="D6:Z105" xr:uid="{BFD1EE5E-3D3A-4CC9-9D31-FE37D28EE3E6}"/>
  <tableColumns count="23">
    <tableColumn id="1" xr3:uid="{D24394C5-5D33-4A0B-8670-F87E71B8B047}" name="Customer" dataDxfId="42" dataCellStyle="Normal 2">
      <calculatedColumnFormula>_xlfn.XLOOKUP(Table325[[#This Row],[File Name]],'[1]Analyse 2 Detail 02-03'!A:A,'[1]Analyse 2 Detail 02-03'!R:R,"Not Found",0,1)</calculatedColumnFormula>
    </tableColumn>
    <tableColumn id="2" xr3:uid="{67016337-D4BB-4964-87A4-F99CACDA673C}" name="File Name" dataCellStyle="Normal 2"/>
    <tableColumn id="4" xr3:uid="{684AE21B-29BA-4FFD-B479-38FDEE9E03BC}" name="Recognised doc type" dataCellStyle="Normal 2"/>
    <tableColumn id="5" xr3:uid="{0DFBED56-89CA-489B-AFBB-F18FE349BBD4}" name="# Missing fields" dataDxfId="41" dataCellStyle="Normal 2"/>
    <tableColumn id="6" xr3:uid="{D789B25A-70CA-4881-B0A0-0AEC8EFBD6F4}" name="PO nr" dataDxfId="40">
      <calculatedColumnFormula>IF($F7="unclassified","N/A",(_xlfn.XLOOKUP($E7,[1]Sheet2!$A:$A,[1]Sheet2!Q:Q,"N/A",0,1)))</calculatedColumnFormula>
    </tableColumn>
    <tableColumn id="7" xr3:uid="{BC11D1EE-E790-4BF9-B5FB-500424A922F3}" name="Supplier Order Nr" dataDxfId="39">
      <calculatedColumnFormula>IF($F7="unclassified","N/A",(_xlfn.XLOOKUP($E7,[1]Sheet2!$A:$A,[1]Sheet2!R:R,"N/A",0,1)))</calculatedColumnFormula>
    </tableColumn>
    <tableColumn id="8" xr3:uid="{1C35E66B-FBDB-430B-9D32-1A18FB7204DB}" name="Order Date" dataDxfId="38">
      <calculatedColumnFormula>IF($F7="unclassified","N/A",(_xlfn.XLOOKUP($E7,[1]Sheet2!$A:$A,[1]Sheet2!S:S,"N/A",0,1)))</calculatedColumnFormula>
    </tableColumn>
    <tableColumn id="9" xr3:uid="{63263447-03A9-45BF-B107-E8B86622B1B0}" name="Supplier Name" dataDxfId="37">
      <calculatedColumnFormula>IF($F7="unclassified","N/A",(_xlfn.XLOOKUP($E7,[1]Sheet2!$A:$A,[1]Sheet2!T:T,"N/A",0,1)))</calculatedColumnFormula>
    </tableColumn>
    <tableColumn id="10" xr3:uid="{2066E0D0-6409-4DC9-AABE-0799628A68E9}" name="Customer name" dataDxfId="36">
      <calculatedColumnFormula>IF($F7="unclassified","N/A",(_xlfn.XLOOKUP($E7,[1]Sheet2!$A:$A,[1]Sheet2!U:U,"N/A",0,1)))</calculatedColumnFormula>
    </tableColumn>
    <tableColumn id="25" xr3:uid="{6701687C-8F6D-411E-96D1-8C0051DE3920}" name="Currency" dataDxfId="35">
      <calculatedColumnFormula>IF($F7="unclassified","N/A",(_xlfn.XLOOKUP($E7,[1]Sheet2!$A:$A,[1]Sheet2!V:V,"N/A",0,1)))</calculatedColumnFormula>
    </tableColumn>
    <tableColumn id="12" xr3:uid="{98E06871-873D-48D8-AD1D-C28136B49DC8}" name="Line nr" dataDxfId="34"/>
    <tableColumn id="13" xr3:uid="{FE30F2AB-A724-462A-B3F2-3B7DEDFCD7E7}" name="Article Number" dataDxfId="33">
      <calculatedColumnFormula>IF($F7="unclassified","N/A",(_xlfn.XLOOKUP($E7,[1]Sheet2!$A:$A,[1]Sheet2!W:W,"N/A",0,1)))</calculatedColumnFormula>
    </tableColumn>
    <tableColumn id="14" xr3:uid="{438C5E74-B29C-4514-A39B-F8340C3EE191}" name="Description" dataDxfId="32">
      <calculatedColumnFormula>IF($F7="unclassified","N/A",(_xlfn.XLOOKUP($E7,[1]Sheet2!$A:$A,[1]Sheet2!X:X,"N/A",0,1)))</calculatedColumnFormula>
    </tableColumn>
    <tableColumn id="15" xr3:uid="{D1BD5450-82FA-4AE8-9FB2-BCC003DA291C}" name="Quantity" dataDxfId="31">
      <calculatedColumnFormula>IF($F7="unclassified","N/A",(_xlfn.XLOOKUP($E7,[1]Sheet2!$A:$A,[1]Sheet2!Y:Y,"N/A",0,1)))</calculatedColumnFormula>
    </tableColumn>
    <tableColumn id="16" xr3:uid="{7580C0DC-0668-4190-8ED1-564A4E31E210}" name="UoM" dataDxfId="30">
      <calculatedColumnFormula>IF($F7="unclassified","N/A",(_xlfn.XLOOKUP($E7,[1]Sheet2!$A:$A,[1]Sheet2!Z:Z,"N/A",0,1)))</calculatedColumnFormula>
    </tableColumn>
    <tableColumn id="17" xr3:uid="{CC1C521B-8911-4285-B33B-5CC6570E7520}" name="Unit Price" dataDxfId="29">
      <calculatedColumnFormula>IF($F7="unclassified","N/A",(_xlfn.XLOOKUP($E7,[1]Sheet2!$A:$A,[1]Sheet2!AA:AA,"N/A",0,1)))</calculatedColumnFormula>
    </tableColumn>
    <tableColumn id="18" xr3:uid="{50D99E0C-CCE4-4310-B359-CA23634100A6}" name="Delivery Date" dataDxfId="28">
      <calculatedColumnFormula>IF($F7="unclassified","N/A",(_xlfn.XLOOKUP($E7,[1]Sheet2!$A:$A,[1]Sheet2!AB:AB,"N/A",0,1)))</calculatedColumnFormula>
    </tableColumn>
    <tableColumn id="19" xr3:uid="{D6ACB69A-DCD9-4DF3-9C43-906CFEF663AC}" name="Avg" dataDxfId="27">
      <calculatedColumnFormula>IF($F7="unclassified","N/A",(AVERAGE(Table325[[#This Row],[PO nr]:[Delivery Date]])))</calculatedColumnFormula>
    </tableColumn>
    <tableColumn id="20" xr3:uid="{A4A6116F-F8DF-4CD2-A02C-2B5FABE68977}" name="Comments" dataDxfId="26"/>
    <tableColumn id="11" xr3:uid="{1D4BA7E6-7DA8-4689-909B-C59CC38C20FE}" name="Vraag HL" dataDxfId="25"/>
    <tableColumn id="22" xr3:uid="{5707142B-8212-4C7D-9A6C-49D11ED014A8}" name="Acties" dataDxfId="24"/>
    <tableColumn id="3" xr3:uid="{CBF259BC-A989-4D44-8B95-3C3C5151F9E6}" name="Beslissing" dataDxfId="23"/>
    <tableColumn id="21" xr3:uid="{A3B21E29-3648-44FC-BD38-07615B0964ED}" name="Flexso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1D4E1-0526-4AAE-B6D5-35F314C8A34D}" name="Table3253" displayName="Table3253" ref="D114:Z213" totalsRowShown="0" headerRowDxfId="21">
  <autoFilter ref="D114:Z213" xr:uid="{F8115CD2-FD57-4C98-97AC-222C81F697C1}"/>
  <tableColumns count="23">
    <tableColumn id="1" xr3:uid="{B0708DEC-4F27-4C19-AEA6-369B174AA4D0}" name="Customer" dataDxfId="20" dataCellStyle="Normal 2">
      <calculatedColumnFormula>_xlfn.XLOOKUP(Table3253[[#This Row],[File Name]],'[1]Analyse 2 Detail 02-03'!A:A,'[1]Analyse 2 Detail 02-03'!R:R,"Not Found",0,1)</calculatedColumnFormula>
    </tableColumn>
    <tableColumn id="2" xr3:uid="{F6BE7441-18ED-4F02-A852-59D76AD754CC}" name="File Name" dataCellStyle="Normal 2"/>
    <tableColumn id="4" xr3:uid="{D4F9D102-6B9C-4A47-8CCB-6EA05B75FCAE}" name="Recognised doc type" dataCellStyle="Normal 2"/>
    <tableColumn id="5" xr3:uid="{65149ABA-C5F1-45E1-AC03-8DAB1A9C9668}" name="# Missing fields" dataDxfId="19" dataCellStyle="Normal 2"/>
    <tableColumn id="6" xr3:uid="{E32C63C4-0849-4F6E-9BBF-ED2B72BB596B}" name="PO nr" dataDxfId="18">
      <calculatedColumnFormula>IF($F115="unclassified","N/A",(_xlfn.XLOOKUP($E115,[1]Sheet2!$A:$A,[1]Sheet2!Q:Q,"N/A",0,1)))</calculatedColumnFormula>
    </tableColumn>
    <tableColumn id="7" xr3:uid="{680EA0A7-D1EE-433E-898B-1FE775EBF069}" name="Supplier Order Nr" dataDxfId="17">
      <calculatedColumnFormula>IF($F115="unclassified","N/A",(_xlfn.XLOOKUP($E115,[1]Sheet2!$A:$A,[1]Sheet2!R:R,"N/A",0,1)))</calculatedColumnFormula>
    </tableColumn>
    <tableColumn id="8" xr3:uid="{BF7E7DBB-BDED-4D45-BF39-F431963C3B92}" name="Order Date" dataDxfId="16">
      <calculatedColumnFormula>IF($F115="unclassified","N/A",(_xlfn.XLOOKUP($E115,[1]Sheet2!$A:$A,[1]Sheet2!S:S,"N/A",0,1)))</calculatedColumnFormula>
    </tableColumn>
    <tableColumn id="9" xr3:uid="{22B96540-F744-428E-B8FE-D163F297D492}" name="Supplier Name" dataDxfId="15">
      <calculatedColumnFormula>IF($F115="unclassified","N/A",(_xlfn.XLOOKUP($E115,[1]Sheet2!$A:$A,[1]Sheet2!T:T,"N/A",0,1)))</calculatedColumnFormula>
    </tableColumn>
    <tableColumn id="10" xr3:uid="{F23F9679-8F7D-48E5-B485-F5BC6249748F}" name="Customer name" dataDxfId="14">
      <calculatedColumnFormula>IF($F115="unclassified","N/A",(_xlfn.XLOOKUP($E115,[1]Sheet2!$A:$A,[1]Sheet2!U:U,"N/A",0,1)))</calculatedColumnFormula>
    </tableColumn>
    <tableColumn id="25" xr3:uid="{A27B19F1-222B-435D-A226-220B5569D5C8}" name="Currency" dataDxfId="13">
      <calculatedColumnFormula>IF($F115="unclassified","N/A",(_xlfn.XLOOKUP($E115,[1]Sheet2!$A:$A,[1]Sheet2!V:V,"N/A",0,1)))</calculatedColumnFormula>
    </tableColumn>
    <tableColumn id="12" xr3:uid="{ADD265FC-FB27-4B35-89E8-C34DD12DBAA7}" name="Line nr" dataDxfId="12"/>
    <tableColumn id="13" xr3:uid="{9A8DC97C-734B-4C92-9CF2-D5E12CAFB72D}" name="Article Number" dataDxfId="11">
      <calculatedColumnFormula>IF($F115="unclassified","N/A",(_xlfn.XLOOKUP($E115,[1]Sheet2!$A:$A,[1]Sheet2!W:W,"N/A",0,1)))</calculatedColumnFormula>
    </tableColumn>
    <tableColumn id="14" xr3:uid="{A0E0987A-3C2E-43C1-8488-6CD5A5289D70}" name="Description" dataDxfId="10">
      <calculatedColumnFormula>IF($F115="unclassified","N/A",(_xlfn.XLOOKUP($E115,[1]Sheet2!$A:$A,[1]Sheet2!X:X,"N/A",0,1)))</calculatedColumnFormula>
    </tableColumn>
    <tableColumn id="15" xr3:uid="{52EC70CB-5EE9-4B51-92A4-4B5D75A0B77D}" name="Quantity" dataDxfId="9">
      <calculatedColumnFormula>IF($F115="unclassified","N/A",(_xlfn.XLOOKUP($E115,[1]Sheet2!$A:$A,[1]Sheet2!Y:Y,"N/A",0,1)))</calculatedColumnFormula>
    </tableColumn>
    <tableColumn id="16" xr3:uid="{745672D3-865B-4BD8-AAA9-04264D7F27F3}" name="UoM" dataDxfId="8">
      <calculatedColumnFormula>IF($F115="unclassified","N/A",(_xlfn.XLOOKUP($E115,[1]Sheet2!$A:$A,[1]Sheet2!Z:Z,"N/A",0,1)))</calculatedColumnFormula>
    </tableColumn>
    <tableColumn id="17" xr3:uid="{2F3656A5-8B82-4979-A568-F4392F285CAF}" name="Unit Price" dataDxfId="7">
      <calculatedColumnFormula>IF($F115="unclassified","N/A",(_xlfn.XLOOKUP($E115,[1]Sheet2!$A:$A,[1]Sheet2!AA:AA,"N/A",0,1)))</calculatedColumnFormula>
    </tableColumn>
    <tableColumn id="18" xr3:uid="{CCCEB0A2-8C01-454D-9ADF-2869AAE945D4}" name="Delivery Date" dataDxfId="6">
      <calculatedColumnFormula>IF($F115="unclassified","N/A",(_xlfn.XLOOKUP($E115,[1]Sheet2!$A:$A,[1]Sheet2!AB:AB,"N/A",0,1)))</calculatedColumnFormula>
    </tableColumn>
    <tableColumn id="19" xr3:uid="{557AEF48-EDA6-4E0A-AB90-F2A6436E7935}" name="Avg" dataDxfId="5">
      <calculatedColumnFormula>IF($F115="unclassified","N/A",(AVERAGE(Table3253[[#This Row],[PO nr]:[Delivery Date]])))</calculatedColumnFormula>
    </tableColumn>
    <tableColumn id="20" xr3:uid="{926A62D1-63CC-4263-A352-5835E8B8EDDF}" name="Comments" dataDxfId="4"/>
    <tableColumn id="11" xr3:uid="{D8B2E790-6D61-459A-8BDC-0DA783FE9EB3}" name="Vraag HL" dataDxfId="3"/>
    <tableColumn id="22" xr3:uid="{6AA13EC8-93A0-45D3-B62A-BF89C88333C6}" name="Acties" dataDxfId="2"/>
    <tableColumn id="3" xr3:uid="{A9D936DB-C40D-4911-9989-B4C5C6CE5472}" name="Beslissing" dataDxfId="1"/>
    <tableColumn id="21" xr3:uid="{D29FB5FA-7965-4A6E-B755-E2D8D313AD33}" name="Flexs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BB52-661E-448E-8D6A-E074CC96D1E0}">
  <dimension ref="C1:Z213"/>
  <sheetViews>
    <sheetView tabSelected="1" topLeftCell="A3" zoomScale="55" zoomScaleNormal="55" workbookViewId="0">
      <selection activeCell="E3" sqref="E3"/>
    </sheetView>
  </sheetViews>
  <sheetFormatPr defaultRowHeight="15" customHeight="1" x14ac:dyDescent="0.3"/>
  <cols>
    <col min="1" max="1" width="1.88671875" customWidth="1"/>
    <col min="2" max="3" width="1.6640625" customWidth="1"/>
    <col min="4" max="4" width="21.33203125" bestFit="1" customWidth="1"/>
    <col min="5" max="5" width="39.88671875" customWidth="1"/>
    <col min="6" max="6" width="22" bestFit="1" customWidth="1"/>
    <col min="7" max="7" width="8.88671875" style="2" customWidth="1"/>
    <col min="8" max="13" width="9.6640625" style="2" customWidth="1"/>
    <col min="14" max="14" width="10.88671875" style="3" customWidth="1"/>
    <col min="15" max="17" width="9.6640625" style="2" customWidth="1"/>
    <col min="18" max="18" width="10.33203125" style="2" customWidth="1"/>
    <col min="19" max="20" width="9.6640625" style="2" customWidth="1"/>
    <col min="21" max="21" width="11.6640625" customWidth="1"/>
    <col min="22" max="23" width="57.44140625" customWidth="1"/>
    <col min="24" max="24" width="49.6640625" customWidth="1"/>
    <col min="25" max="25" width="55.109375" customWidth="1"/>
    <col min="26" max="26" width="41.6640625" bestFit="1" customWidth="1"/>
  </cols>
  <sheetData>
    <row r="1" spans="3:26" ht="14.4" hidden="1" x14ac:dyDescent="0.3">
      <c r="E1" s="1" t="s">
        <v>0</v>
      </c>
      <c r="F1" s="1" t="s">
        <v>1</v>
      </c>
    </row>
    <row r="2" spans="3:26" ht="14.4" hidden="1" x14ac:dyDescent="0.3">
      <c r="E2" s="1" t="s">
        <v>2</v>
      </c>
      <c r="F2" s="1" t="s">
        <v>3</v>
      </c>
      <c r="G2" s="4" t="s">
        <v>4</v>
      </c>
    </row>
    <row r="3" spans="3:26" ht="33.6" x14ac:dyDescent="0.65">
      <c r="D3" s="5" t="s">
        <v>5</v>
      </c>
      <c r="R3" s="4"/>
    </row>
    <row r="4" spans="3:26" thickBot="1" x14ac:dyDescent="0.35">
      <c r="E4" s="6">
        <f>COUNTA(Table325[File Name])</f>
        <v>99</v>
      </c>
      <c r="F4">
        <f>COUNTIF(Table325[Recognised doc type],"extracted")</f>
        <v>76</v>
      </c>
      <c r="G4" s="2">
        <f>SUM(Table325['# Missing fields])</f>
        <v>69</v>
      </c>
      <c r="H4" s="7">
        <f>AVERAGE(Table325[PO nr])</f>
        <v>0.93421052631578949</v>
      </c>
      <c r="I4" s="7">
        <f>AVERAGE(Table325[Supplier Order Nr])</f>
        <v>0.96052631578947367</v>
      </c>
      <c r="J4" s="7">
        <f>AVERAGE(Table325[Order Date])</f>
        <v>1</v>
      </c>
      <c r="K4" s="7">
        <f>AVERAGE(Table325[Supplier Name])</f>
        <v>1</v>
      </c>
      <c r="L4" s="7">
        <f>AVERAGE(Table325[Customer name])</f>
        <v>1</v>
      </c>
      <c r="M4" s="7">
        <f>AVERAGE(Table325[Currency])</f>
        <v>0.92105263157894735</v>
      </c>
      <c r="N4" s="8"/>
      <c r="O4" s="7">
        <f>AVERAGE(Table325[Article Number])</f>
        <v>1</v>
      </c>
      <c r="P4" s="7">
        <f>AVERAGE(Table325[Description])</f>
        <v>0.98684210526315785</v>
      </c>
      <c r="Q4" s="7">
        <f>AVERAGE(Table325[Quantity])</f>
        <v>1</v>
      </c>
      <c r="R4" s="7">
        <f>AVERAGE(Table325[UoM])</f>
        <v>0.89473684210526316</v>
      </c>
      <c r="S4" s="7">
        <f>AVERAGE(Table325[Unit Price])</f>
        <v>0.88647098515519573</v>
      </c>
      <c r="T4" s="7">
        <f>AVERAGE(Table325[Delivery Date])</f>
        <v>0.83821770334928236</v>
      </c>
      <c r="U4" s="9">
        <f>AVERAGE(H4:T4)</f>
        <v>0.95183809246309259</v>
      </c>
    </row>
    <row r="5" spans="3:26" thickBot="1" x14ac:dyDescent="0.35">
      <c r="D5" s="10"/>
      <c r="E5" s="11"/>
      <c r="F5" s="11"/>
      <c r="G5" s="12"/>
      <c r="H5" s="13" t="s">
        <v>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11"/>
      <c r="V5" s="16"/>
      <c r="W5" s="16"/>
      <c r="X5" s="17"/>
      <c r="Y5" s="17"/>
      <c r="Z5" s="17"/>
    </row>
    <row r="6" spans="3:26" ht="29.4" thickBot="1" x14ac:dyDescent="0.35">
      <c r="D6" s="18" t="s">
        <v>7</v>
      </c>
      <c r="E6" s="19" t="s">
        <v>8</v>
      </c>
      <c r="F6" s="20" t="s">
        <v>9</v>
      </c>
      <c r="G6" s="21" t="s">
        <v>10</v>
      </c>
      <c r="H6" s="22" t="s">
        <v>11</v>
      </c>
      <c r="I6" s="23" t="s">
        <v>12</v>
      </c>
      <c r="J6" s="22" t="s">
        <v>13</v>
      </c>
      <c r="K6" s="22" t="s">
        <v>14</v>
      </c>
      <c r="L6" s="22" t="s">
        <v>15</v>
      </c>
      <c r="M6" s="22" t="s">
        <v>16</v>
      </c>
      <c r="N6" s="24" t="s">
        <v>17</v>
      </c>
      <c r="O6" s="22" t="s">
        <v>18</v>
      </c>
      <c r="P6" s="22" t="s">
        <v>19</v>
      </c>
      <c r="Q6" s="22" t="s">
        <v>20</v>
      </c>
      <c r="R6" s="22" t="s">
        <v>21</v>
      </c>
      <c r="S6" s="22" t="s">
        <v>22</v>
      </c>
      <c r="T6" s="25" t="s">
        <v>23</v>
      </c>
      <c r="U6" s="26" t="s">
        <v>24</v>
      </c>
      <c r="V6" s="27" t="s">
        <v>25</v>
      </c>
      <c r="W6" s="27" t="s">
        <v>26</v>
      </c>
      <c r="X6" s="27" t="s">
        <v>27</v>
      </c>
      <c r="Y6" s="28" t="s">
        <v>28</v>
      </c>
      <c r="Z6" s="29" t="s">
        <v>29</v>
      </c>
    </row>
    <row r="7" spans="3:26" ht="14.4" x14ac:dyDescent="0.3">
      <c r="C7" t="str">
        <f>_xlfn.XLOOKUP(Table325[[#This Row],[Customer]],'[1]Top 300'!C:C,'[1]Top 300'!A:A,"0",2,1)</f>
        <v>0</v>
      </c>
      <c r="D7" s="30" t="str">
        <f>_xlfn.XLOOKUP(Table325[[#This Row],[File Name]],'[1]Analyse 2 Detail 02-03'!A:A,'[1]Analyse 2 Detail 02-03'!R:R,"Not Found",0,1)</f>
        <v>Mölnlycke Health Care NV</v>
      </c>
      <c r="E7" s="31" t="s">
        <v>30</v>
      </c>
      <c r="F7" s="32" t="s">
        <v>31</v>
      </c>
      <c r="G7" s="33">
        <v>0</v>
      </c>
      <c r="H7" s="34">
        <f>IF($F7="unclassified","N/A",(_xlfn.XLOOKUP($E7,[1]Sheet2!$A:$A,[1]Sheet2!Q:Q,"N/A",0,1)))</f>
        <v>1</v>
      </c>
      <c r="I7" s="34">
        <f>IF($F7="unclassified","N/A",(_xlfn.XLOOKUP($E7,[1]Sheet2!$A:$A,[1]Sheet2!R:R,"N/A",0,1)))</f>
        <v>1</v>
      </c>
      <c r="J7" s="34">
        <f>IF($F7="unclassified","N/A",(_xlfn.XLOOKUP($E7,[1]Sheet2!$A:$A,[1]Sheet2!S:S,"N/A",0,1)))</f>
        <v>1</v>
      </c>
      <c r="K7" s="34">
        <f>IF($F7="unclassified","N/A",(_xlfn.XLOOKUP($E7,[1]Sheet2!$A:$A,[1]Sheet2!T:T,"N/A",0,1)))</f>
        <v>1</v>
      </c>
      <c r="L7" s="34">
        <f>IF($F7="unclassified","N/A",(_xlfn.XLOOKUP($E7,[1]Sheet2!$A:$A,[1]Sheet2!U:U,"N/A",0,1)))</f>
        <v>1</v>
      </c>
      <c r="M7" s="7">
        <f>IF($F7="unclassified","N/A",(_xlfn.XLOOKUP($E7,[1]Sheet2!$A:$A,[1]Sheet2!V:V,"N/A",0,1)))</f>
        <v>1</v>
      </c>
      <c r="N7" s="7"/>
      <c r="O7" s="34">
        <f>IF($F7="unclassified","N/A",(_xlfn.XLOOKUP($E7,[1]Sheet2!$A:$A,[1]Sheet2!W:W,"N/A",0,1)))</f>
        <v>1</v>
      </c>
      <c r="P7" s="34">
        <f>IF($F7="unclassified","N/A",(_xlfn.XLOOKUP($E7,[1]Sheet2!$A:$A,[1]Sheet2!X:X,"N/A",0,1)))</f>
        <v>1</v>
      </c>
      <c r="Q7" s="34">
        <f>IF($F7="unclassified","N/A",(_xlfn.XLOOKUP($E7,[1]Sheet2!$A:$A,[1]Sheet2!Y:Y,"N/A",0,1)))</f>
        <v>1</v>
      </c>
      <c r="R7" s="34">
        <f>IF($F7="unclassified","N/A",(_xlfn.XLOOKUP($E7,[1]Sheet2!$A:$A,[1]Sheet2!Z:Z,"N/A",0,1)))</f>
        <v>1</v>
      </c>
      <c r="S7" s="34">
        <f>IF($F7="unclassified","N/A",(_xlfn.XLOOKUP($E7,[1]Sheet2!$A:$A,[1]Sheet2!AA:AA,"N/A",0,1)))</f>
        <v>1</v>
      </c>
      <c r="T7" s="34">
        <f>IF($F7="unclassified","N/A",(_xlfn.XLOOKUP($E7,[1]Sheet2!$A:$A,[1]Sheet2!AB:AB,"N/A",0,1)))</f>
        <v>1</v>
      </c>
      <c r="U7" s="35">
        <f>IF($F7="unclassified","N/A",(AVERAGE(Table325[[#This Row],[PO nr]:[Delivery Date]])))</f>
        <v>1</v>
      </c>
      <c r="V7" s="36"/>
      <c r="W7" s="37"/>
      <c r="X7" s="37"/>
      <c r="Y7" s="36"/>
      <c r="Z7" s="38"/>
    </row>
    <row r="8" spans="3:26" ht="14.4" x14ac:dyDescent="0.3">
      <c r="C8" t="str">
        <f>_xlfn.XLOOKUP(Table325[[#This Row],[Customer]],'[1]Top 300'!C:C,'[1]Top 300'!A:A,"0",2,1)</f>
        <v>0</v>
      </c>
      <c r="D8" s="39" t="str">
        <f>_xlfn.XLOOKUP(Table325[[#This Row],[File Name]],'[1]Analyse 2 Detail 02-03'!A:A,'[1]Analyse 2 Detail 02-03'!R:R,"Not Found",0,1)</f>
        <v>Mölnlycke Health Care B.V.</v>
      </c>
      <c r="E8" s="31" t="s">
        <v>32</v>
      </c>
      <c r="F8" s="40" t="s">
        <v>31</v>
      </c>
      <c r="G8" s="41">
        <v>0</v>
      </c>
      <c r="H8" s="34">
        <f>IF($F8="unclassified","N/A",(_xlfn.XLOOKUP($E8,[1]Sheet2!$A:$A,[1]Sheet2!Q:Q,"N/A",0,1)))</f>
        <v>1</v>
      </c>
      <c r="I8" s="34">
        <f>IF($F8="unclassified","N/A",(_xlfn.XLOOKUP($E8,[1]Sheet2!$A:$A,[1]Sheet2!R:R,"N/A",0,1)))</f>
        <v>1</v>
      </c>
      <c r="J8" s="34">
        <f>IF($F8="unclassified","N/A",(_xlfn.XLOOKUP($E8,[1]Sheet2!$A:$A,[1]Sheet2!S:S,"N/A",0,1)))</f>
        <v>1</v>
      </c>
      <c r="K8" s="34">
        <f>IF($F8="unclassified","N/A",(_xlfn.XLOOKUP($E8,[1]Sheet2!$A:$A,[1]Sheet2!T:T,"N/A",0,1)))</f>
        <v>1</v>
      </c>
      <c r="L8" s="34">
        <f>IF($F8="unclassified","N/A",(_xlfn.XLOOKUP($E8,[1]Sheet2!$A:$A,[1]Sheet2!U:U,"N/A",0,1)))</f>
        <v>1</v>
      </c>
      <c r="M8" s="34">
        <f>IF($F8="unclassified","N/A",(_xlfn.XLOOKUP($E8,[1]Sheet2!$A:$A,[1]Sheet2!V:V,"N/A",0,1)))</f>
        <v>1</v>
      </c>
      <c r="N8" s="7"/>
      <c r="O8" s="34">
        <f>IF($F8="unclassified","N/A",(_xlfn.XLOOKUP($E8,[1]Sheet2!$A:$A,[1]Sheet2!W:W,"N/A",0,1)))</f>
        <v>1</v>
      </c>
      <c r="P8" s="34">
        <f>IF($F8="unclassified","N/A",(_xlfn.XLOOKUP($E8,[1]Sheet2!$A:$A,[1]Sheet2!X:X,"N/A",0,1)))</f>
        <v>1</v>
      </c>
      <c r="Q8" s="34">
        <f>IF($F8="unclassified","N/A",(_xlfn.XLOOKUP($E8,[1]Sheet2!$A:$A,[1]Sheet2!Y:Y,"N/A",0,1)))</f>
        <v>1</v>
      </c>
      <c r="R8" s="34">
        <f>IF($F8="unclassified","N/A",(_xlfn.XLOOKUP($E8,[1]Sheet2!$A:$A,[1]Sheet2!Z:Z,"N/A",0,1)))</f>
        <v>1</v>
      </c>
      <c r="S8" s="34">
        <f>IF($F8="unclassified","N/A",(_xlfn.XLOOKUP($E8,[1]Sheet2!$A:$A,[1]Sheet2!AA:AA,"N/A",0,1)))</f>
        <v>1</v>
      </c>
      <c r="T8" s="34">
        <f>IF($F8="unclassified","N/A",(_xlfn.XLOOKUP($E8,[1]Sheet2!$A:$A,[1]Sheet2!AB:AB,"N/A",0,1)))</f>
        <v>1</v>
      </c>
      <c r="U8" s="35">
        <f>IF($F8="unclassified","N/A",(AVERAGE(Table325[[#This Row],[PO nr]:[Delivery Date]])))</f>
        <v>1</v>
      </c>
      <c r="V8" s="38"/>
      <c r="X8" s="42"/>
      <c r="Y8" s="43"/>
      <c r="Z8" s="43"/>
    </row>
    <row r="9" spans="3:26" ht="14.4" x14ac:dyDescent="0.3">
      <c r="C9" t="str">
        <f>_xlfn.XLOOKUP(Table325[[#This Row],[Customer]],'[1]Top 300'!C:C,'[1]Top 300'!A:A,"0",2,1)</f>
        <v>0</v>
      </c>
      <c r="D9" s="39" t="str">
        <f>_xlfn.XLOOKUP(Table325[[#This Row],[File Name]],'[1]Analyse 2 Detail 02-03'!A:A,'[1]Analyse 2 Detail 02-03'!R:R,"Not Found",0,1)</f>
        <v>Mölnlycke Health Care B.V.</v>
      </c>
      <c r="E9" s="31" t="s">
        <v>33</v>
      </c>
      <c r="F9" s="40" t="s">
        <v>31</v>
      </c>
      <c r="G9" s="41">
        <v>0</v>
      </c>
      <c r="H9" s="34">
        <f>IF($F9="unclassified","N/A",(_xlfn.XLOOKUP($E9,[1]Sheet2!$A:$A,[1]Sheet2!Q:Q,"N/A",0,1)))</f>
        <v>1</v>
      </c>
      <c r="I9" s="34">
        <f>IF($F9="unclassified","N/A",(_xlfn.XLOOKUP($E9,[1]Sheet2!$A:$A,[1]Sheet2!R:R,"N/A",0,1)))</f>
        <v>1</v>
      </c>
      <c r="J9" s="34">
        <f>IF($F9="unclassified","N/A",(_xlfn.XLOOKUP($E9,[1]Sheet2!$A:$A,[1]Sheet2!S:S,"N/A",0,1)))</f>
        <v>1</v>
      </c>
      <c r="K9" s="34">
        <f>IF($F9="unclassified","N/A",(_xlfn.XLOOKUP($E9,[1]Sheet2!$A:$A,[1]Sheet2!T:T,"N/A",0,1)))</f>
        <v>1</v>
      </c>
      <c r="L9" s="34">
        <f>IF($F9="unclassified","N/A",(_xlfn.XLOOKUP($E9,[1]Sheet2!$A:$A,[1]Sheet2!U:U,"N/A",0,1)))</f>
        <v>1</v>
      </c>
      <c r="M9" s="34">
        <f>IF($F9="unclassified","N/A",(_xlfn.XLOOKUP($E9,[1]Sheet2!$A:$A,[1]Sheet2!V:V,"N/A",0,1)))</f>
        <v>1</v>
      </c>
      <c r="N9" s="7"/>
      <c r="O9" s="34">
        <f>IF($F9="unclassified","N/A",(_xlfn.XLOOKUP($E9,[1]Sheet2!$A:$A,[1]Sheet2!W:W,"N/A",0,1)))</f>
        <v>1</v>
      </c>
      <c r="P9" s="34">
        <f>IF($F9="unclassified","N/A",(_xlfn.XLOOKUP($E9,[1]Sheet2!$A:$A,[1]Sheet2!X:X,"N/A",0,1)))</f>
        <v>1</v>
      </c>
      <c r="Q9" s="34">
        <f>IF($F9="unclassified","N/A",(_xlfn.XLOOKUP($E9,[1]Sheet2!$A:$A,[1]Sheet2!Y:Y,"N/A",0,1)))</f>
        <v>1</v>
      </c>
      <c r="R9" s="34">
        <f>IF($F9="unclassified","N/A",(_xlfn.XLOOKUP($E9,[1]Sheet2!$A:$A,[1]Sheet2!Z:Z,"N/A",0,1)))</f>
        <v>1</v>
      </c>
      <c r="S9" s="34">
        <f>IF($F9="unclassified","N/A",(_xlfn.XLOOKUP($E9,[1]Sheet2!$A:$A,[1]Sheet2!AA:AA,"N/A",0,1)))</f>
        <v>1</v>
      </c>
      <c r="T9" s="34">
        <f>IF($F9="unclassified","N/A",(_xlfn.XLOOKUP($E9,[1]Sheet2!$A:$A,[1]Sheet2!AB:AB,"N/A",0,1)))</f>
        <v>1</v>
      </c>
      <c r="U9" s="35">
        <f>IF($F9="unclassified","N/A",(AVERAGE(Table325[[#This Row],[PO nr]:[Delivery Date]])))</f>
        <v>1</v>
      </c>
      <c r="V9" s="38"/>
      <c r="W9" s="37"/>
      <c r="X9" s="37"/>
      <c r="Y9" s="38"/>
      <c r="Z9" s="38"/>
    </row>
    <row r="10" spans="3:26" ht="14.4" x14ac:dyDescent="0.3">
      <c r="C10" t="str">
        <f>_xlfn.XLOOKUP(Table325[[#This Row],[Customer]],'[1]Top 300'!C:C,'[1]Top 300'!A:A,"0",2,1)</f>
        <v>0</v>
      </c>
      <c r="D10" s="39" t="str">
        <f>_xlfn.XLOOKUP(Table325[[#This Row],[File Name]],'[1]Analyse 2 Detail 02-03'!A:A,'[1]Analyse 2 Detail 02-03'!R:R,"Not Found",0,1)</f>
        <v>Mölnlycke Health Care B.V.</v>
      </c>
      <c r="E10" s="31" t="s">
        <v>34</v>
      </c>
      <c r="F10" s="40" t="s">
        <v>31</v>
      </c>
      <c r="G10" s="41">
        <v>0</v>
      </c>
      <c r="H10" s="34">
        <f>IF($F10="unclassified","N/A",(_xlfn.XLOOKUP($E10,[1]Sheet2!$A:$A,[1]Sheet2!Q:Q,"N/A",0,1)))</f>
        <v>1</v>
      </c>
      <c r="I10" s="34">
        <f>IF($F10="unclassified","N/A",(_xlfn.XLOOKUP($E10,[1]Sheet2!$A:$A,[1]Sheet2!R:R,"N/A",0,1)))</f>
        <v>1</v>
      </c>
      <c r="J10" s="34">
        <f>IF($F10="unclassified","N/A",(_xlfn.XLOOKUP($E10,[1]Sheet2!$A:$A,[1]Sheet2!S:S,"N/A",0,1)))</f>
        <v>1</v>
      </c>
      <c r="K10" s="34">
        <f>IF($F10="unclassified","N/A",(_xlfn.XLOOKUP($E10,[1]Sheet2!$A:$A,[1]Sheet2!T:T,"N/A",0,1)))</f>
        <v>1</v>
      </c>
      <c r="L10" s="34">
        <f>IF($F10="unclassified","N/A",(_xlfn.XLOOKUP($E10,[1]Sheet2!$A:$A,[1]Sheet2!U:U,"N/A",0,1)))</f>
        <v>1</v>
      </c>
      <c r="M10" s="34">
        <f>IF($F10="unclassified","N/A",(_xlfn.XLOOKUP($E10,[1]Sheet2!$A:$A,[1]Sheet2!V:V,"N/A",0,1)))</f>
        <v>1</v>
      </c>
      <c r="N10" s="7"/>
      <c r="O10" s="34">
        <f>IF($F10="unclassified","N/A",(_xlfn.XLOOKUP($E10,[1]Sheet2!$A:$A,[1]Sheet2!W:W,"N/A",0,1)))</f>
        <v>1</v>
      </c>
      <c r="P10" s="34">
        <f>IF($F10="unclassified","N/A",(_xlfn.XLOOKUP($E10,[1]Sheet2!$A:$A,[1]Sheet2!X:X,"N/A",0,1)))</f>
        <v>1</v>
      </c>
      <c r="Q10" s="34">
        <f>IF($F10="unclassified","N/A",(_xlfn.XLOOKUP($E10,[1]Sheet2!$A:$A,[1]Sheet2!Y:Y,"N/A",0,1)))</f>
        <v>1</v>
      </c>
      <c r="R10" s="34">
        <f>IF($F10="unclassified","N/A",(_xlfn.XLOOKUP($E10,[1]Sheet2!$A:$A,[1]Sheet2!Z:Z,"N/A",0,1)))</f>
        <v>1</v>
      </c>
      <c r="S10" s="34">
        <f>IF($F10="unclassified","N/A",(_xlfn.XLOOKUP($E10,[1]Sheet2!$A:$A,[1]Sheet2!AA:AA,"N/A",0,1)))</f>
        <v>1</v>
      </c>
      <c r="T10" s="34">
        <f>IF($F10="unclassified","N/A",(_xlfn.XLOOKUP($E10,[1]Sheet2!$A:$A,[1]Sheet2!AB:AB,"N/A",0,1)))</f>
        <v>1</v>
      </c>
      <c r="U10" s="35">
        <f>IF($F10="unclassified","N/A",(AVERAGE(Table325[[#This Row],[PO nr]:[Delivery Date]])))</f>
        <v>1</v>
      </c>
      <c r="V10" s="38"/>
      <c r="W10" s="37"/>
      <c r="X10" s="44"/>
      <c r="Y10" s="45"/>
      <c r="Z10" s="45"/>
    </row>
    <row r="11" spans="3:26" ht="14.4" x14ac:dyDescent="0.3">
      <c r="C11" t="str">
        <f>_xlfn.XLOOKUP(Table325[[#This Row],[Customer]],'[1]Top 300'!C:C,'[1]Top 300'!A:A,"0",2,1)</f>
        <v>0</v>
      </c>
      <c r="D11" s="39" t="str">
        <f>_xlfn.XLOOKUP(Table325[[#This Row],[File Name]],'[1]Analyse 2 Detail 02-03'!A:A,'[1]Analyse 2 Detail 02-03'!R:R,"Not Found",0,1)</f>
        <v>Mölnlycke Health Care B.V.</v>
      </c>
      <c r="E11" s="31" t="s">
        <v>35</v>
      </c>
      <c r="F11" s="40" t="s">
        <v>31</v>
      </c>
      <c r="G11" s="41">
        <v>0</v>
      </c>
      <c r="H11" s="34">
        <f>IF($F11="unclassified","N/A",(_xlfn.XLOOKUP($E11,[1]Sheet2!$A:$A,[1]Sheet2!Q:Q,"N/A",0,1)))</f>
        <v>1</v>
      </c>
      <c r="I11" s="34">
        <f>IF($F11="unclassified","N/A",(_xlfn.XLOOKUP($E11,[1]Sheet2!$A:$A,[1]Sheet2!R:R,"N/A",0,1)))</f>
        <v>1</v>
      </c>
      <c r="J11" s="34">
        <f>IF($F11="unclassified","N/A",(_xlfn.XLOOKUP($E11,[1]Sheet2!$A:$A,[1]Sheet2!S:S,"N/A",0,1)))</f>
        <v>1</v>
      </c>
      <c r="K11" s="34">
        <f>IF($F11="unclassified","N/A",(_xlfn.XLOOKUP($E11,[1]Sheet2!$A:$A,[1]Sheet2!T:T,"N/A",0,1)))</f>
        <v>1</v>
      </c>
      <c r="L11" s="34">
        <f>IF($F11="unclassified","N/A",(_xlfn.XLOOKUP($E11,[1]Sheet2!$A:$A,[1]Sheet2!U:U,"N/A",0,1)))</f>
        <v>1</v>
      </c>
      <c r="M11" s="34">
        <f>IF($F11="unclassified","N/A",(_xlfn.XLOOKUP($E11,[1]Sheet2!$A:$A,[1]Sheet2!V:V,"N/A",0,1)))</f>
        <v>1</v>
      </c>
      <c r="N11" s="7"/>
      <c r="O11" s="34">
        <f>IF($F11="unclassified","N/A",(_xlfn.XLOOKUP($E11,[1]Sheet2!$A:$A,[1]Sheet2!W:W,"N/A",0,1)))</f>
        <v>1</v>
      </c>
      <c r="P11" s="34">
        <f>IF($F11="unclassified","N/A",(_xlfn.XLOOKUP($E11,[1]Sheet2!$A:$A,[1]Sheet2!X:X,"N/A",0,1)))</f>
        <v>1</v>
      </c>
      <c r="Q11" s="34">
        <f>IF($F11="unclassified","N/A",(_xlfn.XLOOKUP($E11,[1]Sheet2!$A:$A,[1]Sheet2!Y:Y,"N/A",0,1)))</f>
        <v>1</v>
      </c>
      <c r="R11" s="34">
        <f>IF($F11="unclassified","N/A",(_xlfn.XLOOKUP($E11,[1]Sheet2!$A:$A,[1]Sheet2!Z:Z,"N/A",0,1)))</f>
        <v>1</v>
      </c>
      <c r="S11" s="34">
        <f>IF($F11="unclassified","N/A",(_xlfn.XLOOKUP($E11,[1]Sheet2!$A:$A,[1]Sheet2!AA:AA,"N/A",0,1)))</f>
        <v>1</v>
      </c>
      <c r="T11" s="34">
        <f>IF($F11="unclassified","N/A",(_xlfn.XLOOKUP($E11,[1]Sheet2!$A:$A,[1]Sheet2!AB:AB,"N/A",0,1)))</f>
        <v>1</v>
      </c>
      <c r="U11" s="35">
        <f>IF($F11="unclassified","N/A",(AVERAGE(Table325[[#This Row],[PO nr]:[Delivery Date]])))</f>
        <v>1</v>
      </c>
      <c r="V11" s="38"/>
      <c r="X11" s="42"/>
      <c r="Y11" s="43"/>
      <c r="Z11" s="43"/>
    </row>
    <row r="12" spans="3:26" s="50" customFormat="1" ht="30" customHeight="1" x14ac:dyDescent="0.3">
      <c r="C12" t="str">
        <f>_xlfn.XLOOKUP(Table325[[#This Row],[Customer]],'[1]Top 300'!C:C,'[1]Top 300'!A:A,"0",2,1)</f>
        <v>0</v>
      </c>
      <c r="D12" s="46">
        <f>_xlfn.XLOOKUP(Table325[[#This Row],[File Name]],'[1]Analyse 2 Detail 02-03'!A:A,'[1]Analyse 2 Detail 02-03'!R:R,"Not Found",0,1)</f>
        <v>0</v>
      </c>
      <c r="E12" s="31" t="s">
        <v>36</v>
      </c>
      <c r="F12" s="40" t="s">
        <v>37</v>
      </c>
      <c r="G12" s="41">
        <v>0</v>
      </c>
      <c r="H12" s="7" t="str">
        <f>IF($F12="unclassified","N/A",(_xlfn.XLOOKUP($E12,[1]Sheet2!$A:$A,[1]Sheet2!Q:Q,"N/A",0,1)))</f>
        <v>N/A</v>
      </c>
      <c r="I12" s="7" t="str">
        <f>IF($F12="unclassified","N/A",(_xlfn.XLOOKUP($E12,[1]Sheet2!$A:$A,[1]Sheet2!R:R,"N/A",0,1)))</f>
        <v>N/A</v>
      </c>
      <c r="J12" s="7" t="str">
        <f>IF($F12="unclassified","N/A",(_xlfn.XLOOKUP($E12,[1]Sheet2!$A:$A,[1]Sheet2!S:S,"N/A",0,1)))</f>
        <v>N/A</v>
      </c>
      <c r="K12" s="7" t="str">
        <f>IF($F12="unclassified","N/A",(_xlfn.XLOOKUP($E12,[1]Sheet2!$A:$A,[1]Sheet2!T:T,"N/A",0,1)))</f>
        <v>N/A</v>
      </c>
      <c r="L12" s="7" t="str">
        <f>IF($F12="unclassified","N/A",(_xlfn.XLOOKUP($E12,[1]Sheet2!$A:$A,[1]Sheet2!U:U,"N/A",0,1)))</f>
        <v>N/A</v>
      </c>
      <c r="M12" s="7" t="str">
        <f>IF($F12="unclassified","N/A",(_xlfn.XLOOKUP($E12,[1]Sheet2!$A:$A,[1]Sheet2!V:V,"N/A",0,1)))</f>
        <v>N/A</v>
      </c>
      <c r="N12" s="7"/>
      <c r="O12" s="7" t="str">
        <f>IF($F12="unclassified","N/A",(_xlfn.XLOOKUP($E12,[1]Sheet2!$A:$A,[1]Sheet2!W:W,"N/A",0,1)))</f>
        <v>N/A</v>
      </c>
      <c r="P12" s="7" t="str">
        <f>IF($F12="unclassified","N/A",(_xlfn.XLOOKUP($E12,[1]Sheet2!$A:$A,[1]Sheet2!X:X,"N/A",0,1)))</f>
        <v>N/A</v>
      </c>
      <c r="Q12" s="7" t="str">
        <f>IF($F12="unclassified","N/A",(_xlfn.XLOOKUP($E12,[1]Sheet2!$A:$A,[1]Sheet2!Y:Y,"N/A",0,1)))</f>
        <v>N/A</v>
      </c>
      <c r="R12" s="7" t="str">
        <f>IF($F12="unclassified","N/A",(_xlfn.XLOOKUP($E12,[1]Sheet2!$A:$A,[1]Sheet2!Z:Z,"N/A",0,1)))</f>
        <v>N/A</v>
      </c>
      <c r="S12" s="7" t="str">
        <f>IF($F12="unclassified","N/A",(_xlfn.XLOOKUP($E12,[1]Sheet2!$A:$A,[1]Sheet2!AA:AA,"N/A",0,1)))</f>
        <v>N/A</v>
      </c>
      <c r="T12" s="7" t="str">
        <f>IF($F12="unclassified","N/A",(_xlfn.XLOOKUP($E12,[1]Sheet2!$A:$A,[1]Sheet2!AB:AB,"N/A",0,1)))</f>
        <v>N/A</v>
      </c>
      <c r="U12" s="35" t="str">
        <f>IF($F12="unclassified","N/A",(AVERAGE(Table325[[#This Row],[PO nr]:[Delivery Date]])))</f>
        <v>N/A</v>
      </c>
      <c r="V12" s="47" t="s">
        <v>38</v>
      </c>
      <c r="W12" s="38" t="s">
        <v>39</v>
      </c>
      <c r="X12" s="48"/>
      <c r="Y12" s="49"/>
      <c r="Z12" s="49"/>
    </row>
    <row r="13" spans="3:26" s="50" customFormat="1" ht="28.5" customHeight="1" x14ac:dyDescent="0.3">
      <c r="C13" t="str">
        <f>_xlfn.XLOOKUP(Table325[[#This Row],[Customer]],'[1]Top 300'!C:C,'[1]Top 300'!A:A,"0",2,1)</f>
        <v>X</v>
      </c>
      <c r="D13" s="46" t="str">
        <f>_xlfn.XLOOKUP(Table325[[#This Row],[File Name]],'[1]Analyse 2 Detail 02-03'!A:A,'[1]Analyse 2 Detail 02-03'!R:R,"Not Found",0,1)</f>
        <v>Essity Belgium NV</v>
      </c>
      <c r="E13" s="31" t="s">
        <v>40</v>
      </c>
      <c r="F13" s="40" t="s">
        <v>31</v>
      </c>
      <c r="G13" s="41">
        <v>0</v>
      </c>
      <c r="H13" s="7">
        <f>IF($F13="unclassified","N/A",(_xlfn.XLOOKUP($E13,[1]Sheet2!$A:$A,[1]Sheet2!Q:Q,"N/A",0,1)))</f>
        <v>1</v>
      </c>
      <c r="I13" s="7">
        <f>IF($F13="unclassified","N/A",(_xlfn.XLOOKUP($E13,[1]Sheet2!$A:$A,[1]Sheet2!R:R,"N/A",0,1)))</f>
        <v>1</v>
      </c>
      <c r="J13" s="7">
        <f>IF($F13="unclassified","N/A",(_xlfn.XLOOKUP($E13,[1]Sheet2!$A:$A,[1]Sheet2!S:S,"N/A",0,1)))</f>
        <v>1</v>
      </c>
      <c r="K13" s="7">
        <f>IF($F13="unclassified","N/A",(_xlfn.XLOOKUP($E13,[1]Sheet2!$A:$A,[1]Sheet2!T:T,"N/A",0,1)))</f>
        <v>1</v>
      </c>
      <c r="L13" s="7">
        <f>IF($F13="unclassified","N/A",(_xlfn.XLOOKUP($E13,[1]Sheet2!$A:$A,[1]Sheet2!U:U,"N/A",0,1)))</f>
        <v>1</v>
      </c>
      <c r="M13" s="7">
        <f>IF($F13="unclassified","N/A",(_xlfn.XLOOKUP($E13,[1]Sheet2!$A:$A,[1]Sheet2!V:V,"N/A",0,1)))</f>
        <v>1</v>
      </c>
      <c r="N13" s="7"/>
      <c r="O13" s="7">
        <f>IF($F13="unclassified","N/A",(_xlfn.XLOOKUP($E13,[1]Sheet2!$A:$A,[1]Sheet2!W:W,"N/A",0,1)))</f>
        <v>1</v>
      </c>
      <c r="P13" s="7">
        <f>IF($F13="unclassified","N/A",(_xlfn.XLOOKUP($E13,[1]Sheet2!$A:$A,[1]Sheet2!X:X,"N/A",0,1)))</f>
        <v>1</v>
      </c>
      <c r="Q13" s="7">
        <f>IF($F13="unclassified","N/A",(_xlfn.XLOOKUP($E13,[1]Sheet2!$A:$A,[1]Sheet2!Y:Y,"N/A",0,1)))</f>
        <v>1</v>
      </c>
      <c r="R13" s="7">
        <f>IF($F13="unclassified","N/A",(_xlfn.XLOOKUP($E13,[1]Sheet2!$A:$A,[1]Sheet2!Z:Z,"N/A",0,1)))</f>
        <v>1</v>
      </c>
      <c r="S13" s="7">
        <f>IF($F13="unclassified","N/A",(_xlfn.XLOOKUP($E13,[1]Sheet2!$A:$A,[1]Sheet2!AA:AA,"N/A",0,1)))</f>
        <v>0.5</v>
      </c>
      <c r="T13" s="7">
        <f>IF($F13="unclassified","N/A",(_xlfn.XLOOKUP($E13,[1]Sheet2!$A:$A,[1]Sheet2!AB:AB,"N/A",0,1)))</f>
        <v>1</v>
      </c>
      <c r="U13" s="35">
        <f>IF($F13="unclassified","N/A",(AVERAGE(Table325[[#This Row],[PO nr]:[Delivery Date]])))</f>
        <v>0.95833333333333337</v>
      </c>
      <c r="V13" s="47"/>
      <c r="W13" s="51"/>
      <c r="X13" s="48"/>
      <c r="Y13" s="49"/>
      <c r="Z13" s="49"/>
    </row>
    <row r="14" spans="3:26" ht="14.4" x14ac:dyDescent="0.3">
      <c r="C14" t="str">
        <f>_xlfn.XLOOKUP(Table325[[#This Row],[Customer]],'[1]Top 300'!C:C,'[1]Top 300'!A:A,"0",2,1)</f>
        <v>X</v>
      </c>
      <c r="D14" s="39" t="str">
        <f>_xlfn.XLOOKUP(Table325[[#This Row],[File Name]],'[1]Analyse 2 Detail 02-03'!A:A,'[1]Analyse 2 Detail 02-03'!R:R,"Not Found",0,1)</f>
        <v>Essity Belgium NV</v>
      </c>
      <c r="E14" s="31" t="s">
        <v>40</v>
      </c>
      <c r="F14" s="40" t="s">
        <v>31</v>
      </c>
      <c r="G14" s="41">
        <v>0</v>
      </c>
      <c r="H14" s="34">
        <f>IF($F14="unclassified","N/A",(_xlfn.XLOOKUP($E14,[1]Sheet2!$A:$A,[1]Sheet2!Q:Q,"N/A",0,1)))</f>
        <v>1</v>
      </c>
      <c r="I14" s="34">
        <f>IF($F14="unclassified","N/A",(_xlfn.XLOOKUP($E14,[1]Sheet2!$A:$A,[1]Sheet2!R:R,"N/A",0,1)))</f>
        <v>1</v>
      </c>
      <c r="J14" s="34">
        <f>IF($F14="unclassified","N/A",(_xlfn.XLOOKUP($E14,[1]Sheet2!$A:$A,[1]Sheet2!S:S,"N/A",0,1)))</f>
        <v>1</v>
      </c>
      <c r="K14" s="34">
        <f>IF($F14="unclassified","N/A",(_xlfn.XLOOKUP($E14,[1]Sheet2!$A:$A,[1]Sheet2!T:T,"N/A",0,1)))</f>
        <v>1</v>
      </c>
      <c r="L14" s="34">
        <f>IF($F14="unclassified","N/A",(_xlfn.XLOOKUP($E14,[1]Sheet2!$A:$A,[1]Sheet2!U:U,"N/A",0,1)))</f>
        <v>1</v>
      </c>
      <c r="M14" s="34">
        <f>IF($F14="unclassified","N/A",(_xlfn.XLOOKUP($E14,[1]Sheet2!$A:$A,[1]Sheet2!V:V,"N/A",0,1)))</f>
        <v>1</v>
      </c>
      <c r="N14" s="7"/>
      <c r="O14" s="34">
        <f>IF($F14="unclassified","N/A",(_xlfn.XLOOKUP($E14,[1]Sheet2!$A:$A,[1]Sheet2!W:W,"N/A",0,1)))</f>
        <v>1</v>
      </c>
      <c r="P14" s="34">
        <f>IF($F14="unclassified","N/A",(_xlfn.XLOOKUP($E14,[1]Sheet2!$A:$A,[1]Sheet2!X:X,"N/A",0,1)))</f>
        <v>1</v>
      </c>
      <c r="Q14" s="34">
        <f>IF($F14="unclassified","N/A",(_xlfn.XLOOKUP($E14,[1]Sheet2!$A:$A,[1]Sheet2!Y:Y,"N/A",0,1)))</f>
        <v>1</v>
      </c>
      <c r="R14" s="34">
        <f>IF($F14="unclassified","N/A",(_xlfn.XLOOKUP($E14,[1]Sheet2!$A:$A,[1]Sheet2!Z:Z,"N/A",0,1)))</f>
        <v>1</v>
      </c>
      <c r="S14" s="34">
        <f>IF($F14="unclassified","N/A",(_xlfn.XLOOKUP($E14,[1]Sheet2!$A:$A,[1]Sheet2!AA:AA,"N/A",0,1)))</f>
        <v>0.5</v>
      </c>
      <c r="T14" s="34">
        <f>IF($F14="unclassified","N/A",(_xlfn.XLOOKUP($E14,[1]Sheet2!$A:$A,[1]Sheet2!AB:AB,"N/A",0,1)))</f>
        <v>1</v>
      </c>
      <c r="U14" s="35">
        <f>IF($F14="unclassified","N/A",(AVERAGE(Table325[[#This Row],[PO nr]:[Delivery Date]])))</f>
        <v>0.95833333333333337</v>
      </c>
      <c r="V14" s="38" t="s">
        <v>41</v>
      </c>
      <c r="X14" s="42"/>
      <c r="Y14" s="43"/>
      <c r="Z14" s="43"/>
    </row>
    <row r="15" spans="3:26" ht="14.4" x14ac:dyDescent="0.3">
      <c r="C15" t="str">
        <f>_xlfn.XLOOKUP(Table325[[#This Row],[Customer]],'[1]Top 300'!C:C,'[1]Top 300'!A:A,"0",2,1)</f>
        <v>0</v>
      </c>
      <c r="D15" s="39" t="str">
        <f>_xlfn.XLOOKUP(Table325[[#This Row],[File Name]],'[1]Analyse 2 Detail 02-03'!A:A,'[1]Analyse 2 Detail 02-03'!R:R,"Not Found",0,1)</f>
        <v>Essity Netherlands B.V.</v>
      </c>
      <c r="E15" s="31" t="s">
        <v>42</v>
      </c>
      <c r="F15" s="40" t="s">
        <v>31</v>
      </c>
      <c r="G15" s="41">
        <v>1</v>
      </c>
      <c r="H15" s="34">
        <f>IF($F15="unclassified","N/A",(_xlfn.XLOOKUP($E15,[1]Sheet2!$A:$A,[1]Sheet2!Q:Q,"N/A",0,1)))</f>
        <v>1</v>
      </c>
      <c r="I15" s="34">
        <f>IF($F15="unclassified","N/A",(_xlfn.XLOOKUP($E15,[1]Sheet2!$A:$A,[1]Sheet2!R:R,"N/A",0,1)))</f>
        <v>1</v>
      </c>
      <c r="J15" s="34">
        <f>IF($F15="unclassified","N/A",(_xlfn.XLOOKUP($E15,[1]Sheet2!$A:$A,[1]Sheet2!S:S,"N/A",0,1)))</f>
        <v>1</v>
      </c>
      <c r="K15" s="34">
        <f>IF($F15="unclassified","N/A",(_xlfn.XLOOKUP($E15,[1]Sheet2!$A:$A,[1]Sheet2!T:T,"N/A",0,1)))</f>
        <v>1</v>
      </c>
      <c r="L15" s="34">
        <f>IF($F15="unclassified","N/A",(_xlfn.XLOOKUP($E15,[1]Sheet2!$A:$A,[1]Sheet2!U:U,"N/A",0,1)))</f>
        <v>1</v>
      </c>
      <c r="M15" s="34">
        <f>IF($F15="unclassified","N/A",(_xlfn.XLOOKUP($E15,[1]Sheet2!$A:$A,[1]Sheet2!V:V,"N/A",0,1)))</f>
        <v>1</v>
      </c>
      <c r="N15" s="7"/>
      <c r="O15" s="34">
        <f>IF($F15="unclassified","N/A",(_xlfn.XLOOKUP($E15,[1]Sheet2!$A:$A,[1]Sheet2!W:W,"N/A",0,1)))</f>
        <v>1</v>
      </c>
      <c r="P15" s="34">
        <f>IF($F15="unclassified","N/A",(_xlfn.XLOOKUP($E15,[1]Sheet2!$A:$A,[1]Sheet2!X:X,"N/A",0,1)))</f>
        <v>1</v>
      </c>
      <c r="Q15" s="34">
        <f>IF($F15="unclassified","N/A",(_xlfn.XLOOKUP($E15,[1]Sheet2!$A:$A,[1]Sheet2!Y:Y,"N/A",0,1)))</f>
        <v>1</v>
      </c>
      <c r="R15" s="34">
        <f>IF($F15="unclassified","N/A",(_xlfn.XLOOKUP($E15,[1]Sheet2!$A:$A,[1]Sheet2!Z:Z,"N/A",0,1)))</f>
        <v>1</v>
      </c>
      <c r="S15" s="34">
        <f>IF($F15="unclassified","N/A",(_xlfn.XLOOKUP($E15,[1]Sheet2!$A:$A,[1]Sheet2!AA:AA,"N/A",0,1)))</f>
        <v>1</v>
      </c>
      <c r="T15" s="7">
        <f>IF($F15="unclassified","N/A",(_xlfn.XLOOKUP($E15,[1]Sheet2!$A:$A,[1]Sheet2!AB:AB,"N/A",0,1)))</f>
        <v>0</v>
      </c>
      <c r="U15" s="35">
        <f>IF($F15="unclassified","N/A",(AVERAGE(Table325[[#This Row],[PO nr]:[Delivery Date]])))</f>
        <v>0.91666666666666663</v>
      </c>
      <c r="V15" s="52" t="s">
        <v>43</v>
      </c>
      <c r="W15" t="s">
        <v>44</v>
      </c>
      <c r="X15" s="42"/>
      <c r="Y15" s="45"/>
      <c r="Z15" s="45"/>
    </row>
    <row r="16" spans="3:26" ht="14.4" x14ac:dyDescent="0.3">
      <c r="C16" t="str">
        <f>_xlfn.XLOOKUP(Table325[[#This Row],[Customer]],'[1]Top 300'!C:C,'[1]Top 300'!A:A,"0",2,1)</f>
        <v>0</v>
      </c>
      <c r="D16" s="39" t="str">
        <f>_xlfn.XLOOKUP(Table325[[#This Row],[File Name]],'[1]Analyse 2 Detail 02-03'!A:A,'[1]Analyse 2 Detail 02-03'!R:R,"Not Found",0,1)</f>
        <v>Essity Netherlands B.V.</v>
      </c>
      <c r="E16" s="31" t="s">
        <v>45</v>
      </c>
      <c r="F16" s="40" t="s">
        <v>31</v>
      </c>
      <c r="G16" s="41">
        <v>2</v>
      </c>
      <c r="H16" s="34">
        <f>IF($F16="unclassified","N/A",(_xlfn.XLOOKUP($E16,[1]Sheet2!$A:$A,[1]Sheet2!Q:Q,"N/A",0,1)))</f>
        <v>1</v>
      </c>
      <c r="I16" s="34">
        <f>IF($F16="unclassified","N/A",(_xlfn.XLOOKUP($E16,[1]Sheet2!$A:$A,[1]Sheet2!R:R,"N/A",0,1)))</f>
        <v>1</v>
      </c>
      <c r="J16" s="34">
        <f>IF($F16="unclassified","N/A",(_xlfn.XLOOKUP($E16,[1]Sheet2!$A:$A,[1]Sheet2!S:S,"N/A",0,1)))</f>
        <v>1</v>
      </c>
      <c r="K16" s="34">
        <f>IF($F16="unclassified","N/A",(_xlfn.XLOOKUP($E16,[1]Sheet2!$A:$A,[1]Sheet2!T:T,"N/A",0,1)))</f>
        <v>1</v>
      </c>
      <c r="L16" s="34">
        <f>IF($F16="unclassified","N/A",(_xlfn.XLOOKUP($E16,[1]Sheet2!$A:$A,[1]Sheet2!U:U,"N/A",0,1)))</f>
        <v>1</v>
      </c>
      <c r="M16" s="34">
        <f>IF($F16="unclassified","N/A",(_xlfn.XLOOKUP($E16,[1]Sheet2!$A:$A,[1]Sheet2!V:V,"N/A",0,1)))</f>
        <v>1</v>
      </c>
      <c r="N16" s="7"/>
      <c r="O16" s="34">
        <f>IF($F16="unclassified","N/A",(_xlfn.XLOOKUP($E16,[1]Sheet2!$A:$A,[1]Sheet2!W:W,"N/A",0,1)))</f>
        <v>1</v>
      </c>
      <c r="P16" s="34">
        <f>IF($F16="unclassified","N/A",(_xlfn.XLOOKUP($E16,[1]Sheet2!$A:$A,[1]Sheet2!X:X,"N/A",0,1)))</f>
        <v>1</v>
      </c>
      <c r="Q16" s="34">
        <f>IF($F16="unclassified","N/A",(_xlfn.XLOOKUP($E16,[1]Sheet2!$A:$A,[1]Sheet2!Y:Y,"N/A",0,1)))</f>
        <v>1</v>
      </c>
      <c r="R16" s="34">
        <f>IF($F16="unclassified","N/A",(_xlfn.XLOOKUP($E16,[1]Sheet2!$A:$A,[1]Sheet2!Z:Z,"N/A",0,1)))</f>
        <v>1</v>
      </c>
      <c r="S16" s="34">
        <f>IF($F16="unclassified","N/A",(_xlfn.XLOOKUP($E16,[1]Sheet2!$A:$A,[1]Sheet2!AA:AA,"N/A",0,1)))</f>
        <v>1</v>
      </c>
      <c r="T16" s="34">
        <f>IF($F16="unclassified","N/A",(_xlfn.XLOOKUP($E16,[1]Sheet2!$A:$A,[1]Sheet2!AB:AB,"N/A",0,1)))</f>
        <v>0</v>
      </c>
      <c r="U16" s="35">
        <f>IF($F16="unclassified","N/A",(AVERAGE(Table325[[#This Row],[PO nr]:[Delivery Date]])))</f>
        <v>0.91666666666666663</v>
      </c>
      <c r="V16" s="52" t="s">
        <v>43</v>
      </c>
      <c r="W16" t="s">
        <v>44</v>
      </c>
      <c r="X16" s="53"/>
      <c r="Y16" s="43"/>
      <c r="Z16" s="43"/>
    </row>
    <row r="17" spans="3:26" ht="14.4" x14ac:dyDescent="0.3">
      <c r="C17" t="str">
        <f>_xlfn.XLOOKUP(Table325[[#This Row],[Customer]],'[1]Top 300'!C:C,'[1]Top 300'!A:A,"0",2,1)</f>
        <v>X</v>
      </c>
      <c r="D17" s="39" t="str">
        <f>_xlfn.XLOOKUP(Table325[[#This Row],[File Name]],'[1]Analyse 2 Detail 02-03'!A:A,'[1]Analyse 2 Detail 02-03'!R:R,"Not Found",0,1)</f>
        <v>Essity Belgium NV</v>
      </c>
      <c r="E17" s="31" t="s">
        <v>46</v>
      </c>
      <c r="F17" s="40" t="s">
        <v>31</v>
      </c>
      <c r="G17" s="41">
        <v>4</v>
      </c>
      <c r="H17" s="34">
        <f>IF($F17="unclassified","N/A",(_xlfn.XLOOKUP($E17,[1]Sheet2!$A:$A,[1]Sheet2!Q:Q,"N/A",0,1)))</f>
        <v>1</v>
      </c>
      <c r="I17" s="34">
        <f>IF($F17="unclassified","N/A",(_xlfn.XLOOKUP($E17,[1]Sheet2!$A:$A,[1]Sheet2!R:R,"N/A",0,1)))</f>
        <v>1</v>
      </c>
      <c r="J17" s="34">
        <f>IF($F17="unclassified","N/A",(_xlfn.XLOOKUP($E17,[1]Sheet2!$A:$A,[1]Sheet2!S:S,"N/A",0,1)))</f>
        <v>1</v>
      </c>
      <c r="K17" s="34">
        <f>IF($F17="unclassified","N/A",(_xlfn.XLOOKUP($E17,[1]Sheet2!$A:$A,[1]Sheet2!T:T,"N/A",0,1)))</f>
        <v>1</v>
      </c>
      <c r="L17" s="34">
        <f>IF($F17="unclassified","N/A",(_xlfn.XLOOKUP($E17,[1]Sheet2!$A:$A,[1]Sheet2!U:U,"N/A",0,1)))</f>
        <v>1</v>
      </c>
      <c r="M17" s="34">
        <f>IF($F17="unclassified","N/A",(_xlfn.XLOOKUP($E17,[1]Sheet2!$A:$A,[1]Sheet2!V:V,"N/A",0,1)))</f>
        <v>1</v>
      </c>
      <c r="N17" s="7"/>
      <c r="O17" s="34">
        <f>IF($F17="unclassified","N/A",(_xlfn.XLOOKUP($E17,[1]Sheet2!$A:$A,[1]Sheet2!W:W,"N/A",0,1)))</f>
        <v>1</v>
      </c>
      <c r="P17" s="34">
        <f>IF($F17="unclassified","N/A",(_xlfn.XLOOKUP($E17,[1]Sheet2!$A:$A,[1]Sheet2!X:X,"N/A",0,1)))</f>
        <v>1</v>
      </c>
      <c r="Q17" s="34">
        <f>IF($F17="unclassified","N/A",(_xlfn.XLOOKUP($E17,[1]Sheet2!$A:$A,[1]Sheet2!Y:Y,"N/A",0,1)))</f>
        <v>1</v>
      </c>
      <c r="R17" s="34">
        <f>IF($F17="unclassified","N/A",(_xlfn.XLOOKUP($E17,[1]Sheet2!$A:$A,[1]Sheet2!Z:Z,"N/A",0,1)))</f>
        <v>1</v>
      </c>
      <c r="S17" s="34">
        <f>IF($F17="unclassified","N/A",(_xlfn.XLOOKUP($E17,[1]Sheet2!$A:$A,[1]Sheet2!AA:AA,"N/A",0,1)))</f>
        <v>0.5</v>
      </c>
      <c r="T17" s="7">
        <f>IF($F17="unclassified","N/A",(_xlfn.XLOOKUP($E17,[1]Sheet2!$A:$A,[1]Sheet2!AB:AB,"N/A",0,1)))</f>
        <v>0.66666666666666663</v>
      </c>
      <c r="U17" s="35">
        <f>IF($F17="unclassified","N/A",(AVERAGE(Table325[[#This Row],[PO nr]:[Delivery Date]])))</f>
        <v>0.93055555555555547</v>
      </c>
      <c r="V17" s="38" t="s">
        <v>47</v>
      </c>
      <c r="W17" s="37" t="s">
        <v>48</v>
      </c>
      <c r="X17" s="37" t="s">
        <v>49</v>
      </c>
      <c r="Y17" s="38"/>
      <c r="Z17" s="38"/>
    </row>
    <row r="18" spans="3:26" ht="14.4" x14ac:dyDescent="0.3">
      <c r="C18" t="str">
        <f>_xlfn.XLOOKUP(Table325[[#This Row],[Customer]],'[1]Top 300'!C:C,'[1]Top 300'!A:A,"0",2,1)</f>
        <v>X</v>
      </c>
      <c r="D18" s="39" t="str">
        <f>_xlfn.XLOOKUP(Table325[[#This Row],[File Name]],'[1]Analyse 2 Detail 02-03'!A:A,'[1]Analyse 2 Detail 02-03'!R:R,"Not Found",0,1)</f>
        <v>Essity Belgium NV</v>
      </c>
      <c r="E18" s="31" t="s">
        <v>46</v>
      </c>
      <c r="F18" s="40" t="s">
        <v>31</v>
      </c>
      <c r="G18" s="41">
        <v>1</v>
      </c>
      <c r="H18" s="34">
        <f>IF($F18="unclassified","N/A",(_xlfn.XLOOKUP($E18,[1]Sheet2!$A:$A,[1]Sheet2!Q:Q,"N/A",0,1)))</f>
        <v>1</v>
      </c>
      <c r="I18" s="34">
        <f>IF($F18="unclassified","N/A",(_xlfn.XLOOKUP($E18,[1]Sheet2!$A:$A,[1]Sheet2!R:R,"N/A",0,1)))</f>
        <v>1</v>
      </c>
      <c r="J18" s="34">
        <f>IF($F18="unclassified","N/A",(_xlfn.XLOOKUP($E18,[1]Sheet2!$A:$A,[1]Sheet2!S:S,"N/A",0,1)))</f>
        <v>1</v>
      </c>
      <c r="K18" s="34">
        <f>IF($F18="unclassified","N/A",(_xlfn.XLOOKUP($E18,[1]Sheet2!$A:$A,[1]Sheet2!T:T,"N/A",0,1)))</f>
        <v>1</v>
      </c>
      <c r="L18" s="34">
        <f>IF($F18="unclassified","N/A",(_xlfn.XLOOKUP($E18,[1]Sheet2!$A:$A,[1]Sheet2!U:U,"N/A",0,1)))</f>
        <v>1</v>
      </c>
      <c r="M18" s="34">
        <f>IF($F18="unclassified","N/A",(_xlfn.XLOOKUP($E18,[1]Sheet2!$A:$A,[1]Sheet2!V:V,"N/A",0,1)))</f>
        <v>1</v>
      </c>
      <c r="N18" s="7"/>
      <c r="O18" s="34">
        <f>IF($F18="unclassified","N/A",(_xlfn.XLOOKUP($E18,[1]Sheet2!$A:$A,[1]Sheet2!W:W,"N/A",0,1)))</f>
        <v>1</v>
      </c>
      <c r="P18" s="34">
        <f>IF($F18="unclassified","N/A",(_xlfn.XLOOKUP($E18,[1]Sheet2!$A:$A,[1]Sheet2!X:X,"N/A",0,1)))</f>
        <v>1</v>
      </c>
      <c r="Q18" s="34">
        <f>IF($F18="unclassified","N/A",(_xlfn.XLOOKUP($E18,[1]Sheet2!$A:$A,[1]Sheet2!Y:Y,"N/A",0,1)))</f>
        <v>1</v>
      </c>
      <c r="R18" s="34">
        <f>IF($F18="unclassified","N/A",(_xlfn.XLOOKUP($E18,[1]Sheet2!$A:$A,[1]Sheet2!Z:Z,"N/A",0,1)))</f>
        <v>1</v>
      </c>
      <c r="S18" s="34">
        <f>IF($F18="unclassified","N/A",(_xlfn.XLOOKUP($E18,[1]Sheet2!$A:$A,[1]Sheet2!AA:AA,"N/A",0,1)))</f>
        <v>0.5</v>
      </c>
      <c r="T18" s="7">
        <f>IF($F18="unclassified","N/A",(_xlfn.XLOOKUP($E18,[1]Sheet2!$A:$A,[1]Sheet2!AB:AB,"N/A",0,1)))</f>
        <v>0.66666666666666663</v>
      </c>
      <c r="U18" s="35">
        <f>IF($F18="unclassified","N/A",(AVERAGE(Table325[[#This Row],[PO nr]:[Delivery Date]])))</f>
        <v>0.93055555555555547</v>
      </c>
      <c r="V18" s="38" t="s">
        <v>50</v>
      </c>
      <c r="W18" s="37" t="s">
        <v>48</v>
      </c>
      <c r="X18" s="37" t="s">
        <v>49</v>
      </c>
      <c r="Y18" s="43"/>
      <c r="Z18" s="43"/>
    </row>
    <row r="19" spans="3:26" ht="14.4" x14ac:dyDescent="0.3">
      <c r="C19" t="str">
        <f>_xlfn.XLOOKUP(Table325[[#This Row],[Customer]],'[1]Top 300'!C:C,'[1]Top 300'!A:A,"0",2,1)</f>
        <v>0</v>
      </c>
      <c r="D19" s="39" t="str">
        <f>_xlfn.XLOOKUP(Table325[[#This Row],[File Name]],'[1]Analyse 2 Detail 02-03'!A:A,'[1]Analyse 2 Detail 02-03'!R:R,"Not Found",0,1)</f>
        <v>Essity Netherlands B.V. Health &amp; Medical</v>
      </c>
      <c r="E19" s="31" t="s">
        <v>51</v>
      </c>
      <c r="F19" s="40" t="s">
        <v>31</v>
      </c>
      <c r="G19" s="41">
        <v>0</v>
      </c>
      <c r="H19" s="34">
        <f>IF($F19="unclassified","N/A",(_xlfn.XLOOKUP($E19,[1]Sheet2!$A:$A,[1]Sheet2!Q:Q,"N/A",0,1)))</f>
        <v>1</v>
      </c>
      <c r="I19" s="34">
        <f>IF($F19="unclassified","N/A",(_xlfn.XLOOKUP($E19,[1]Sheet2!$A:$A,[1]Sheet2!R:R,"N/A",0,1)))</f>
        <v>1</v>
      </c>
      <c r="J19" s="34">
        <f>IF($F19="unclassified","N/A",(_xlfn.XLOOKUP($E19,[1]Sheet2!$A:$A,[1]Sheet2!S:S,"N/A",0,1)))</f>
        <v>1</v>
      </c>
      <c r="K19" s="34">
        <f>IF($F19="unclassified","N/A",(_xlfn.XLOOKUP($E19,[1]Sheet2!$A:$A,[1]Sheet2!T:T,"N/A",0,1)))</f>
        <v>1</v>
      </c>
      <c r="L19" s="34">
        <f>IF($F19="unclassified","N/A",(_xlfn.XLOOKUP($E19,[1]Sheet2!$A:$A,[1]Sheet2!U:U,"N/A",0,1)))</f>
        <v>1</v>
      </c>
      <c r="M19" s="34">
        <f>IF($F19="unclassified","N/A",(_xlfn.XLOOKUP($E19,[1]Sheet2!$A:$A,[1]Sheet2!V:V,"N/A",0,1)))</f>
        <v>1</v>
      </c>
      <c r="N19" s="7"/>
      <c r="O19" s="34">
        <f>IF($F19="unclassified","N/A",(_xlfn.XLOOKUP($E19,[1]Sheet2!$A:$A,[1]Sheet2!W:W,"N/A",0,1)))</f>
        <v>1</v>
      </c>
      <c r="P19" s="34">
        <f>IF($F19="unclassified","N/A",(_xlfn.XLOOKUP($E19,[1]Sheet2!$A:$A,[1]Sheet2!X:X,"N/A",0,1)))</f>
        <v>1</v>
      </c>
      <c r="Q19" s="34">
        <f>IF($F19="unclassified","N/A",(_xlfn.XLOOKUP($E19,[1]Sheet2!$A:$A,[1]Sheet2!Y:Y,"N/A",0,1)))</f>
        <v>1</v>
      </c>
      <c r="R19" s="34">
        <f>IF($F19="unclassified","N/A",(_xlfn.XLOOKUP($E19,[1]Sheet2!$A:$A,[1]Sheet2!Z:Z,"N/A",0,1)))</f>
        <v>1</v>
      </c>
      <c r="S19" s="34">
        <f>IF($F19="unclassified","N/A",(_xlfn.XLOOKUP($E19,[1]Sheet2!$A:$A,[1]Sheet2!AA:AA,"N/A",0,1)))</f>
        <v>1</v>
      </c>
      <c r="T19" s="7">
        <f>IF($F19="unclassified","N/A",(_xlfn.XLOOKUP($E19,[1]Sheet2!$A:$A,[1]Sheet2!AB:AB,"N/A",0,1)))</f>
        <v>0.95454545454545459</v>
      </c>
      <c r="U19" s="35">
        <f>IF($F19="unclassified","N/A",(AVERAGE(Table325[[#This Row],[PO nr]:[Delivery Date]])))</f>
        <v>0.99621212121212122</v>
      </c>
      <c r="V19" s="38" t="s">
        <v>52</v>
      </c>
      <c r="W19" s="37"/>
      <c r="X19" s="37"/>
      <c r="Y19" s="38"/>
      <c r="Z19" s="38"/>
    </row>
    <row r="20" spans="3:26" ht="14.4" x14ac:dyDescent="0.3">
      <c r="C20" t="str">
        <f>_xlfn.XLOOKUP(Table325[[#This Row],[Customer]],'[1]Top 300'!C:C,'[1]Top 300'!A:A,"0",2,1)</f>
        <v>0</v>
      </c>
      <c r="D20" s="39" t="str">
        <f>_xlfn.XLOOKUP(Table325[[#This Row],[File Name]],'[1]Analyse 2 Detail 02-03'!A:A,'[1]Analyse 2 Detail 02-03'!R:R,"Not Found",0,1)</f>
        <v>Essity Netherlands B.V.</v>
      </c>
      <c r="E20" s="31" t="s">
        <v>53</v>
      </c>
      <c r="F20" s="40" t="s">
        <v>31</v>
      </c>
      <c r="G20" s="41">
        <v>0</v>
      </c>
      <c r="H20" s="34">
        <f>IF($F20="unclassified","N/A",(_xlfn.XLOOKUP($E20,[1]Sheet2!$A:$A,[1]Sheet2!Q:Q,"N/A",0,1)))</f>
        <v>1</v>
      </c>
      <c r="I20" s="34">
        <f>IF($F20="unclassified","N/A",(_xlfn.XLOOKUP($E20,[1]Sheet2!$A:$A,[1]Sheet2!R:R,"N/A",0,1)))</f>
        <v>1</v>
      </c>
      <c r="J20" s="34">
        <f>IF($F20="unclassified","N/A",(_xlfn.XLOOKUP($E20,[1]Sheet2!$A:$A,[1]Sheet2!S:S,"N/A",0,1)))</f>
        <v>1</v>
      </c>
      <c r="K20" s="34">
        <f>IF($F20="unclassified","N/A",(_xlfn.XLOOKUP($E20,[1]Sheet2!$A:$A,[1]Sheet2!T:T,"N/A",0,1)))</f>
        <v>1</v>
      </c>
      <c r="L20" s="34">
        <f>IF($F20="unclassified","N/A",(_xlfn.XLOOKUP($E20,[1]Sheet2!$A:$A,[1]Sheet2!U:U,"N/A",0,1)))</f>
        <v>1</v>
      </c>
      <c r="M20" s="34">
        <f>IF($F20="unclassified","N/A",(_xlfn.XLOOKUP($E20,[1]Sheet2!$A:$A,[1]Sheet2!V:V,"N/A",0,1)))</f>
        <v>1</v>
      </c>
      <c r="N20" s="7"/>
      <c r="O20" s="34">
        <f>IF($F20="unclassified","N/A",(_xlfn.XLOOKUP($E20,[1]Sheet2!$A:$A,[1]Sheet2!W:W,"N/A",0,1)))</f>
        <v>1</v>
      </c>
      <c r="P20" s="34">
        <f>IF($F20="unclassified","N/A",(_xlfn.XLOOKUP($E20,[1]Sheet2!$A:$A,[1]Sheet2!X:X,"N/A",0,1)))</f>
        <v>1</v>
      </c>
      <c r="Q20" s="34">
        <f>IF($F20="unclassified","N/A",(_xlfn.XLOOKUP($E20,[1]Sheet2!$A:$A,[1]Sheet2!Y:Y,"N/A",0,1)))</f>
        <v>1</v>
      </c>
      <c r="R20" s="34">
        <f>IF($F20="unclassified","N/A",(_xlfn.XLOOKUP($E20,[1]Sheet2!$A:$A,[1]Sheet2!Z:Z,"N/A",0,1)))</f>
        <v>1</v>
      </c>
      <c r="S20" s="34">
        <f>IF($F20="unclassified","N/A",(_xlfn.XLOOKUP($E20,[1]Sheet2!$A:$A,[1]Sheet2!AA:AA,"N/A",0,1)))</f>
        <v>1</v>
      </c>
      <c r="T20" s="7">
        <f>IF($F20="unclassified","N/A",(_xlfn.XLOOKUP($E20,[1]Sheet2!$A:$A,[1]Sheet2!AB:AB,"N/A",0,1)))</f>
        <v>1</v>
      </c>
      <c r="U20" s="35">
        <f>IF($F20="unclassified","N/A",(AVERAGE(Table325[[#This Row],[PO nr]:[Delivery Date]])))</f>
        <v>1</v>
      </c>
      <c r="V20" s="38"/>
      <c r="W20" s="37"/>
      <c r="X20" s="44"/>
      <c r="Y20" s="45"/>
      <c r="Z20" s="45"/>
    </row>
    <row r="21" spans="3:26" ht="14.4" x14ac:dyDescent="0.3">
      <c r="C21" t="str">
        <f>_xlfn.XLOOKUP(Table325[[#This Row],[Customer]],'[1]Top 300'!C:C,'[1]Top 300'!A:A,"0",2,1)</f>
        <v>0</v>
      </c>
      <c r="D21" s="39" t="str">
        <f>_xlfn.XLOOKUP(Table325[[#This Row],[File Name]],'[1]Analyse 2 Detail 02-03'!A:A,'[1]Analyse 2 Detail 02-03'!R:R,"Not Found",0,1)</f>
        <v>Essity Netherlands B.V.</v>
      </c>
      <c r="E21" s="31" t="s">
        <v>54</v>
      </c>
      <c r="F21" s="40" t="s">
        <v>31</v>
      </c>
      <c r="G21" s="41">
        <v>0</v>
      </c>
      <c r="H21" s="34">
        <f>IF($F21="unclassified","N/A",(_xlfn.XLOOKUP($E21,[1]Sheet2!$A:$A,[1]Sheet2!Q:Q,"N/A",0,1)))</f>
        <v>1</v>
      </c>
      <c r="I21" s="34">
        <f>IF($F21="unclassified","N/A",(_xlfn.XLOOKUP($E21,[1]Sheet2!$A:$A,[1]Sheet2!R:R,"N/A",0,1)))</f>
        <v>1</v>
      </c>
      <c r="J21" s="34">
        <f>IF($F21="unclassified","N/A",(_xlfn.XLOOKUP($E21,[1]Sheet2!$A:$A,[1]Sheet2!S:S,"N/A",0,1)))</f>
        <v>1</v>
      </c>
      <c r="K21" s="34">
        <f>IF($F21="unclassified","N/A",(_xlfn.XLOOKUP($E21,[1]Sheet2!$A:$A,[1]Sheet2!T:T,"N/A",0,1)))</f>
        <v>1</v>
      </c>
      <c r="L21" s="34">
        <f>IF($F21="unclassified","N/A",(_xlfn.XLOOKUP($E21,[1]Sheet2!$A:$A,[1]Sheet2!U:U,"N/A",0,1)))</f>
        <v>1</v>
      </c>
      <c r="M21" s="34">
        <f>IF($F21="unclassified","N/A",(_xlfn.XLOOKUP($E21,[1]Sheet2!$A:$A,[1]Sheet2!V:V,"N/A",0,1)))</f>
        <v>1</v>
      </c>
      <c r="N21" s="7"/>
      <c r="O21" s="7">
        <f>IF($F21="unclassified","N/A",(_xlfn.XLOOKUP($E21,[1]Sheet2!$A:$A,[1]Sheet2!W:W,"N/A",0,1)))</f>
        <v>1</v>
      </c>
      <c r="P21" s="34">
        <f>IF($F21="unclassified","N/A",(_xlfn.XLOOKUP($E21,[1]Sheet2!$A:$A,[1]Sheet2!X:X,"N/A",0,1)))</f>
        <v>1</v>
      </c>
      <c r="Q21" s="34">
        <f>IF($F21="unclassified","N/A",(_xlfn.XLOOKUP($E21,[1]Sheet2!$A:$A,[1]Sheet2!Y:Y,"N/A",0,1)))</f>
        <v>1</v>
      </c>
      <c r="R21" s="34">
        <f>IF($F21="unclassified","N/A",(_xlfn.XLOOKUP($E21,[1]Sheet2!$A:$A,[1]Sheet2!Z:Z,"N/A",0,1)))</f>
        <v>1</v>
      </c>
      <c r="S21" s="34">
        <f>IF($F21="unclassified","N/A",(_xlfn.XLOOKUP($E21,[1]Sheet2!$A:$A,[1]Sheet2!AA:AA,"N/A",0,1)))</f>
        <v>1</v>
      </c>
      <c r="T21" s="7">
        <f>IF($F21="unclassified","N/A",(_xlfn.XLOOKUP($E21,[1]Sheet2!$A:$A,[1]Sheet2!AB:AB,"N/A",0,1)))</f>
        <v>1</v>
      </c>
      <c r="U21" s="35">
        <f>IF($F21="unclassified","N/A",(AVERAGE(Table325[[#This Row],[PO nr]:[Delivery Date]])))</f>
        <v>1</v>
      </c>
      <c r="V21" s="38"/>
      <c r="W21" s="37"/>
      <c r="X21" s="37"/>
      <c r="Y21" s="38"/>
      <c r="Z21" s="38"/>
    </row>
    <row r="22" spans="3:26" s="50" customFormat="1" ht="28.2" customHeight="1" x14ac:dyDescent="0.3">
      <c r="C22" t="str">
        <f>_xlfn.XLOOKUP(Table325[[#This Row],[Customer]],'[1]Top 300'!C:C,'[1]Top 300'!A:A,"0",2,1)</f>
        <v>0</v>
      </c>
      <c r="D22" s="46" t="str">
        <f>_xlfn.XLOOKUP(Table325[[#This Row],[File Name]],'[1]Analyse 2 Detail 02-03'!A:A,'[1]Analyse 2 Detail 02-03'!R:R,"Not Found",0,1)</f>
        <v>Essity Netherlands B.V.</v>
      </c>
      <c r="E22" s="31" t="s">
        <v>55</v>
      </c>
      <c r="F22" s="40" t="s">
        <v>31</v>
      </c>
      <c r="G22" s="41">
        <v>1</v>
      </c>
      <c r="H22" s="7">
        <f>IF($F22="unclassified","N/A",(_xlfn.XLOOKUP($E22,[1]Sheet2!$A:$A,[1]Sheet2!Q:Q,"N/A",0,1)))</f>
        <v>1</v>
      </c>
      <c r="I22" s="7">
        <f>IF($F22="unclassified","N/A",(_xlfn.XLOOKUP($E22,[1]Sheet2!$A:$A,[1]Sheet2!R:R,"N/A",0,1)))</f>
        <v>1</v>
      </c>
      <c r="J22" s="7">
        <f>IF($F22="unclassified","N/A",(_xlfn.XLOOKUP($E22,[1]Sheet2!$A:$A,[1]Sheet2!S:S,"N/A",0,1)))</f>
        <v>1</v>
      </c>
      <c r="K22" s="7">
        <f>IF($F22="unclassified","N/A",(_xlfn.XLOOKUP($E22,[1]Sheet2!$A:$A,[1]Sheet2!T:T,"N/A",0,1)))</f>
        <v>1</v>
      </c>
      <c r="L22" s="7">
        <f>IF($F22="unclassified","N/A",(_xlfn.XLOOKUP($E22,[1]Sheet2!$A:$A,[1]Sheet2!U:U,"N/A",0,1)))</f>
        <v>1</v>
      </c>
      <c r="M22" s="7">
        <f>IF($F22="unclassified","N/A",(_xlfn.XLOOKUP($E22,[1]Sheet2!$A:$A,[1]Sheet2!V:V,"N/A",0,1)))</f>
        <v>1</v>
      </c>
      <c r="N22" s="7"/>
      <c r="O22" s="7">
        <f>IF($F22="unclassified","N/A",(_xlfn.XLOOKUP($E22,[1]Sheet2!$A:$A,[1]Sheet2!W:W,"N/A",0,1)))</f>
        <v>1</v>
      </c>
      <c r="P22" s="7">
        <f>IF($F22="unclassified","N/A",(_xlfn.XLOOKUP($E22,[1]Sheet2!$A:$A,[1]Sheet2!X:X,"N/A",0,1)))</f>
        <v>1</v>
      </c>
      <c r="Q22" s="7">
        <f>IF($F22="unclassified","N/A",(_xlfn.XLOOKUP($E22,[1]Sheet2!$A:$A,[1]Sheet2!Y:Y,"N/A",0,1)))</f>
        <v>1</v>
      </c>
      <c r="R22" s="7">
        <f>IF($F22="unclassified","N/A",(_xlfn.XLOOKUP($E22,[1]Sheet2!$A:$A,[1]Sheet2!Z:Z,"N/A",0,1)))</f>
        <v>1</v>
      </c>
      <c r="S22" s="7">
        <f>IF($F22="unclassified","N/A",(_xlfn.XLOOKUP($E22,[1]Sheet2!$A:$A,[1]Sheet2!AA:AA,"N/A",0,1)))</f>
        <v>1</v>
      </c>
      <c r="T22" s="7">
        <f>IF($F22="unclassified","N/A",(_xlfn.XLOOKUP($E22,[1]Sheet2!$A:$A,[1]Sheet2!AB:AB,"N/A",0,1)))</f>
        <v>0</v>
      </c>
      <c r="U22" s="35">
        <f>IF($F22="unclassified","N/A",(AVERAGE(Table325[[#This Row],[PO nr]:[Delivery Date]])))</f>
        <v>0.91666666666666663</v>
      </c>
      <c r="V22" s="52" t="s">
        <v>43</v>
      </c>
      <c r="W22" t="s">
        <v>44</v>
      </c>
      <c r="X22" s="48"/>
      <c r="Y22" s="54"/>
      <c r="Z22" s="54"/>
    </row>
    <row r="23" spans="3:26" ht="14.4" x14ac:dyDescent="0.3">
      <c r="C23" t="str">
        <f>_xlfn.XLOOKUP(Table325[[#This Row],[Customer]],'[1]Top 300'!C:C,'[1]Top 300'!A:A,"0",2,1)</f>
        <v>0</v>
      </c>
      <c r="D23" s="39" t="str">
        <f>_xlfn.XLOOKUP(Table325[[#This Row],[File Name]],'[1]Analyse 2 Detail 02-03'!A:A,'[1]Analyse 2 Detail 02-03'!R:R,"Not Found",0,1)</f>
        <v>Essity Netherlands B.V.</v>
      </c>
      <c r="E23" s="31" t="s">
        <v>56</v>
      </c>
      <c r="F23" s="40" t="s">
        <v>31</v>
      </c>
      <c r="G23" s="41">
        <v>1</v>
      </c>
      <c r="H23" s="7">
        <f>IF($F23="unclassified","N/A",(_xlfn.XLOOKUP($E23,[1]Sheet2!$A:$A,[1]Sheet2!Q:Q,"N/A",0,1)))</f>
        <v>1</v>
      </c>
      <c r="I23" s="7">
        <f>IF($F23="unclassified","N/A",(_xlfn.XLOOKUP($E23,[1]Sheet2!$A:$A,[1]Sheet2!R:R,"N/A",0,1)))</f>
        <v>1</v>
      </c>
      <c r="J23" s="7">
        <f>IF($F23="unclassified","N/A",(_xlfn.XLOOKUP($E23,[1]Sheet2!$A:$A,[1]Sheet2!S:S,"N/A",0,1)))</f>
        <v>1</v>
      </c>
      <c r="K23" s="7">
        <f>IF($F23="unclassified","N/A",(_xlfn.XLOOKUP($E23,[1]Sheet2!$A:$A,[1]Sheet2!T:T,"N/A",0,1)))</f>
        <v>1</v>
      </c>
      <c r="L23" s="7">
        <f>IF($F23="unclassified","N/A",(_xlfn.XLOOKUP($E23,[1]Sheet2!$A:$A,[1]Sheet2!U:U,"N/A",0,1)))</f>
        <v>1</v>
      </c>
      <c r="M23" s="7">
        <f>IF($F23="unclassified","N/A",(_xlfn.XLOOKUP($E23,[1]Sheet2!$A:$A,[1]Sheet2!V:V,"N/A",0,1)))</f>
        <v>1</v>
      </c>
      <c r="N23" s="7"/>
      <c r="O23" s="7">
        <f>IF($F23="unclassified","N/A",(_xlfn.XLOOKUP($E23,[1]Sheet2!$A:$A,[1]Sheet2!W:W,"N/A",0,1)))</f>
        <v>1</v>
      </c>
      <c r="P23" s="7">
        <f>IF($F23="unclassified","N/A",(_xlfn.XLOOKUP($E23,[1]Sheet2!$A:$A,[1]Sheet2!X:X,"N/A",0,1)))</f>
        <v>1</v>
      </c>
      <c r="Q23" s="7">
        <f>IF($F23="unclassified","N/A",(_xlfn.XLOOKUP($E23,[1]Sheet2!$A:$A,[1]Sheet2!Y:Y,"N/A",0,1)))</f>
        <v>1</v>
      </c>
      <c r="R23" s="7">
        <f>IF($F23="unclassified","N/A",(_xlfn.XLOOKUP($E23,[1]Sheet2!$A:$A,[1]Sheet2!Z:Z,"N/A",0,1)))</f>
        <v>1</v>
      </c>
      <c r="S23" s="7">
        <f>IF($F23="unclassified","N/A",(_xlfn.XLOOKUP($E23,[1]Sheet2!$A:$A,[1]Sheet2!AA:AA,"N/A",0,1)))</f>
        <v>1</v>
      </c>
      <c r="T23" s="7">
        <f>IF($F23="unclassified","N/A",(_xlfn.XLOOKUP($E23,[1]Sheet2!$A:$A,[1]Sheet2!AB:AB,"N/A",0,1)))</f>
        <v>0</v>
      </c>
      <c r="U23" s="35">
        <f>IF($F23="unclassified","N/A",(AVERAGE(Table325[[#This Row],[PO nr]:[Delivery Date]])))</f>
        <v>0.91666666666666663</v>
      </c>
      <c r="V23" s="52" t="s">
        <v>43</v>
      </c>
      <c r="W23" t="s">
        <v>44</v>
      </c>
      <c r="X23" s="53"/>
      <c r="Y23" s="43"/>
      <c r="Z23" s="43"/>
    </row>
    <row r="24" spans="3:26" ht="14.4" x14ac:dyDescent="0.3">
      <c r="C24" t="str">
        <f>_xlfn.XLOOKUP(Table325[[#This Row],[Customer]],'[1]Top 300'!C:C,'[1]Top 300'!A:A,"0",2,1)</f>
        <v>0</v>
      </c>
      <c r="D24" s="39" t="str">
        <f>_xlfn.XLOOKUP(Table325[[#This Row],[File Name]],'[1]Analyse 2 Detail 02-03'!A:A,'[1]Analyse 2 Detail 02-03'!R:R,"Not Found",0,1)</f>
        <v>Essity Netherlands B.V.</v>
      </c>
      <c r="E24" s="31" t="s">
        <v>57</v>
      </c>
      <c r="F24" s="40" t="s">
        <v>31</v>
      </c>
      <c r="G24" s="41">
        <v>1</v>
      </c>
      <c r="H24" s="34">
        <f>IF($F24="unclassified","N/A",(_xlfn.XLOOKUP($E24,[1]Sheet2!$A:$A,[1]Sheet2!Q:Q,"N/A",0,1)))</f>
        <v>1</v>
      </c>
      <c r="I24" s="34">
        <f>IF($F24="unclassified","N/A",(_xlfn.XLOOKUP($E24,[1]Sheet2!$A:$A,[1]Sheet2!R:R,"N/A",0,1)))</f>
        <v>1</v>
      </c>
      <c r="J24" s="34">
        <f>IF($F24="unclassified","N/A",(_xlfn.XLOOKUP($E24,[1]Sheet2!$A:$A,[1]Sheet2!S:S,"N/A",0,1)))</f>
        <v>1</v>
      </c>
      <c r="K24" s="34">
        <f>IF($F24="unclassified","N/A",(_xlfn.XLOOKUP($E24,[1]Sheet2!$A:$A,[1]Sheet2!T:T,"N/A",0,1)))</f>
        <v>1</v>
      </c>
      <c r="L24" s="34">
        <f>IF($F24="unclassified","N/A",(_xlfn.XLOOKUP($E24,[1]Sheet2!$A:$A,[1]Sheet2!U:U,"N/A",0,1)))</f>
        <v>1</v>
      </c>
      <c r="M24" s="34">
        <f>IF($F24="unclassified","N/A",(_xlfn.XLOOKUP($E24,[1]Sheet2!$A:$A,[1]Sheet2!V:V,"N/A",0,1)))</f>
        <v>1</v>
      </c>
      <c r="N24" s="7"/>
      <c r="O24" s="34">
        <f>IF($F24="unclassified","N/A",(_xlfn.XLOOKUP($E24,[1]Sheet2!$A:$A,[1]Sheet2!W:W,"N/A",0,1)))</f>
        <v>1</v>
      </c>
      <c r="P24" s="34">
        <f>IF($F24="unclassified","N/A",(_xlfn.XLOOKUP($E24,[1]Sheet2!$A:$A,[1]Sheet2!X:X,"N/A",0,1)))</f>
        <v>1</v>
      </c>
      <c r="Q24" s="34">
        <f>IF($F24="unclassified","N/A",(_xlfn.XLOOKUP($E24,[1]Sheet2!$A:$A,[1]Sheet2!Y:Y,"N/A",0,1)))</f>
        <v>1</v>
      </c>
      <c r="R24" s="34">
        <f>IF($F24="unclassified","N/A",(_xlfn.XLOOKUP($E24,[1]Sheet2!$A:$A,[1]Sheet2!Z:Z,"N/A",0,1)))</f>
        <v>1</v>
      </c>
      <c r="S24" s="34">
        <f>IF($F24="unclassified","N/A",(_xlfn.XLOOKUP($E24,[1]Sheet2!$A:$A,[1]Sheet2!AA:AA,"N/A",0,1)))</f>
        <v>1</v>
      </c>
      <c r="T24" s="34">
        <f>IF($F24="unclassified","N/A",(_xlfn.XLOOKUP($E24,[1]Sheet2!$A:$A,[1]Sheet2!AB:AB,"N/A",0,1)))</f>
        <v>0</v>
      </c>
      <c r="U24" s="35">
        <f>IF($F24="unclassified","N/A",(AVERAGE(Table325[[#This Row],[PO nr]:[Delivery Date]])))</f>
        <v>0.91666666666666663</v>
      </c>
      <c r="V24" s="52" t="s">
        <v>43</v>
      </c>
      <c r="W24" t="s">
        <v>44</v>
      </c>
      <c r="X24" s="37"/>
      <c r="Y24" s="38"/>
      <c r="Z24" s="38"/>
    </row>
    <row r="25" spans="3:26" ht="14.4" x14ac:dyDescent="0.3">
      <c r="C25" t="str">
        <f>_xlfn.XLOOKUP(Table325[[#This Row],[Customer]],'[1]Top 300'!C:C,'[1]Top 300'!A:A,"0",2,1)</f>
        <v>X</v>
      </c>
      <c r="D25" s="39" t="str">
        <f>_xlfn.XLOOKUP(Table325[[#This Row],[File Name]],'[1]Analyse 2 Detail 02-03'!A:A,'[1]Analyse 2 Detail 02-03'!R:R,"Not Found",0,1)</f>
        <v>Becton Dickinson BV</v>
      </c>
      <c r="E25" s="31" t="s">
        <v>58</v>
      </c>
      <c r="F25" s="40" t="s">
        <v>31</v>
      </c>
      <c r="G25" s="41">
        <v>0</v>
      </c>
      <c r="H25" s="34">
        <f>IF($F25="unclassified","N/A",(_xlfn.XLOOKUP($E25,[1]Sheet2!$A:$A,[1]Sheet2!Q:Q,"N/A",0,1)))</f>
        <v>1</v>
      </c>
      <c r="I25" s="34">
        <f>IF($F25="unclassified","N/A",(_xlfn.XLOOKUP($E25,[1]Sheet2!$A:$A,[1]Sheet2!R:R,"N/A",0,1)))</f>
        <v>1</v>
      </c>
      <c r="J25" s="34">
        <f>IF($F25="unclassified","N/A",(_xlfn.XLOOKUP($E25,[1]Sheet2!$A:$A,[1]Sheet2!S:S,"N/A",0,1)))</f>
        <v>1</v>
      </c>
      <c r="K25" s="34">
        <f>IF($F25="unclassified","N/A",(_xlfn.XLOOKUP($E25,[1]Sheet2!$A:$A,[1]Sheet2!T:T,"N/A",0,1)))</f>
        <v>1</v>
      </c>
      <c r="L25" s="34">
        <f>IF($F25="unclassified","N/A",(_xlfn.XLOOKUP($E25,[1]Sheet2!$A:$A,[1]Sheet2!U:U,"N/A",0,1)))</f>
        <v>1</v>
      </c>
      <c r="M25" s="34">
        <f>IF($F25="unclassified","N/A",(_xlfn.XLOOKUP($E25,[1]Sheet2!$A:$A,[1]Sheet2!V:V,"N/A",0,1)))</f>
        <v>1</v>
      </c>
      <c r="N25" s="7"/>
      <c r="O25" s="34">
        <f>IF($F25="unclassified","N/A",(_xlfn.XLOOKUP($E25,[1]Sheet2!$A:$A,[1]Sheet2!W:W,"N/A",0,1)))</f>
        <v>1</v>
      </c>
      <c r="P25" s="34">
        <f>IF($F25="unclassified","N/A",(_xlfn.XLOOKUP($E25,[1]Sheet2!$A:$A,[1]Sheet2!X:X,"N/A",0,1)))</f>
        <v>1</v>
      </c>
      <c r="Q25" s="34">
        <f>IF($F25="unclassified","N/A",(_xlfn.XLOOKUP($E25,[1]Sheet2!$A:$A,[1]Sheet2!Y:Y,"N/A",0,1)))</f>
        <v>1</v>
      </c>
      <c r="R25" s="34">
        <f>IF($F25="unclassified","N/A",(_xlfn.XLOOKUP($E25,[1]Sheet2!$A:$A,[1]Sheet2!Z:Z,"N/A",0,1)))</f>
        <v>1</v>
      </c>
      <c r="S25" s="34">
        <f>IF($F25="unclassified","N/A",(_xlfn.XLOOKUP($E25,[1]Sheet2!$A:$A,[1]Sheet2!AA:AA,"N/A",0,1)))</f>
        <v>1</v>
      </c>
      <c r="T25" s="34">
        <f>IF($F25="unclassified","N/A",(_xlfn.XLOOKUP($E25,[1]Sheet2!$A:$A,[1]Sheet2!AB:AB,"N/A",0,1)))</f>
        <v>1</v>
      </c>
      <c r="U25" s="35">
        <f>IF($F25="unclassified","N/A",(AVERAGE(Table325[[#This Row],[PO nr]:[Delivery Date]])))</f>
        <v>1</v>
      </c>
      <c r="V25" s="38"/>
      <c r="W25" s="37"/>
      <c r="X25" s="53"/>
      <c r="Y25" s="43"/>
      <c r="Z25" s="45"/>
    </row>
    <row r="26" spans="3:26" ht="14.4" x14ac:dyDescent="0.3">
      <c r="C26" t="str">
        <f>_xlfn.XLOOKUP(Table325[[#This Row],[Customer]],'[1]Top 300'!C:C,'[1]Top 300'!A:A,"0",2,1)</f>
        <v>X</v>
      </c>
      <c r="D26" s="39" t="str">
        <f>_xlfn.XLOOKUP(Table325[[#This Row],[File Name]],'[1]Analyse 2 Detail 02-03'!A:A,'[1]Analyse 2 Detail 02-03'!R:R,"Not Found",0,1)</f>
        <v>Becton Dickinson BV</v>
      </c>
      <c r="E26" s="31" t="s">
        <v>59</v>
      </c>
      <c r="F26" s="40" t="s">
        <v>31</v>
      </c>
      <c r="G26" s="41">
        <v>0</v>
      </c>
      <c r="H26" s="34">
        <f>IF($F26="unclassified","N/A",(_xlfn.XLOOKUP($E26,[1]Sheet2!$A:$A,[1]Sheet2!Q:Q,"N/A",0,1)))</f>
        <v>1</v>
      </c>
      <c r="I26" s="34">
        <f>IF($F26="unclassified","N/A",(_xlfn.XLOOKUP($E26,[1]Sheet2!$A:$A,[1]Sheet2!R:R,"N/A",0,1)))</f>
        <v>1</v>
      </c>
      <c r="J26" s="34">
        <f>IF($F26="unclassified","N/A",(_xlfn.XLOOKUP($E26,[1]Sheet2!$A:$A,[1]Sheet2!S:S,"N/A",0,1)))</f>
        <v>1</v>
      </c>
      <c r="K26" s="34">
        <f>IF($F26="unclassified","N/A",(_xlfn.XLOOKUP($E26,[1]Sheet2!$A:$A,[1]Sheet2!T:T,"N/A",0,1)))</f>
        <v>1</v>
      </c>
      <c r="L26" s="34">
        <f>IF($F26="unclassified","N/A",(_xlfn.XLOOKUP($E26,[1]Sheet2!$A:$A,[1]Sheet2!U:U,"N/A",0,1)))</f>
        <v>1</v>
      </c>
      <c r="M26" s="34">
        <f>IF($F26="unclassified","N/A",(_xlfn.XLOOKUP($E26,[1]Sheet2!$A:$A,[1]Sheet2!V:V,"N/A",0,1)))</f>
        <v>1</v>
      </c>
      <c r="N26" s="7"/>
      <c r="O26" s="34">
        <f>IF($F26="unclassified","N/A",(_xlfn.XLOOKUP($E26,[1]Sheet2!$A:$A,[1]Sheet2!W:W,"N/A",0,1)))</f>
        <v>1</v>
      </c>
      <c r="P26" s="34">
        <f>IF($F26="unclassified","N/A",(_xlfn.XLOOKUP($E26,[1]Sheet2!$A:$A,[1]Sheet2!X:X,"N/A",0,1)))</f>
        <v>1</v>
      </c>
      <c r="Q26" s="34">
        <f>IF($F26="unclassified","N/A",(_xlfn.XLOOKUP($E26,[1]Sheet2!$A:$A,[1]Sheet2!Y:Y,"N/A",0,1)))</f>
        <v>1</v>
      </c>
      <c r="R26" s="34">
        <f>IF($F26="unclassified","N/A",(_xlfn.XLOOKUP($E26,[1]Sheet2!$A:$A,[1]Sheet2!Z:Z,"N/A",0,1)))</f>
        <v>0</v>
      </c>
      <c r="S26" s="34">
        <f>IF($F26="unclassified","N/A",(_xlfn.XLOOKUP($E26,[1]Sheet2!$A:$A,[1]Sheet2!AA:AA,"N/A",0,1)))</f>
        <v>1</v>
      </c>
      <c r="T26" s="34">
        <f>IF($F26="unclassified","N/A",(_xlfn.XLOOKUP($E26,[1]Sheet2!$A:$A,[1]Sheet2!AB:AB,"N/A",0,1)))</f>
        <v>1</v>
      </c>
      <c r="U26" s="35">
        <f>IF($F26="unclassified","N/A",(AVERAGE(Table325[[#This Row],[PO nr]:[Delivery Date]])))</f>
        <v>0.91666666666666663</v>
      </c>
      <c r="V26" s="38" t="s">
        <v>60</v>
      </c>
      <c r="W26" s="37"/>
      <c r="X26" s="37"/>
      <c r="Y26" s="38"/>
      <c r="Z26" s="38"/>
    </row>
    <row r="27" spans="3:26" ht="14.4" x14ac:dyDescent="0.3">
      <c r="C27" t="str">
        <f>_xlfn.XLOOKUP(Table325[[#This Row],[Customer]],'[1]Top 300'!C:C,'[1]Top 300'!A:A,"0",2,1)</f>
        <v>X</v>
      </c>
      <c r="D27" s="39" t="str">
        <f>_xlfn.XLOOKUP(Table325[[#This Row],[File Name]],'[1]Analyse 2 Detail 02-03'!A:A,'[1]Analyse 2 Detail 02-03'!R:R,"Not Found",0,1)</f>
        <v>Becton Dickinson BV</v>
      </c>
      <c r="E27" s="31" t="s">
        <v>61</v>
      </c>
      <c r="F27" s="40" t="s">
        <v>31</v>
      </c>
      <c r="G27" s="41">
        <v>2</v>
      </c>
      <c r="H27" s="34">
        <f>IF($F27="unclassified","N/A",(_xlfn.XLOOKUP($E27,[1]Sheet2!$A:$A,[1]Sheet2!Q:Q,"N/A",0,1)))</f>
        <v>1</v>
      </c>
      <c r="I27" s="34">
        <f>IF($F27="unclassified","N/A",(_xlfn.XLOOKUP($E27,[1]Sheet2!$A:$A,[1]Sheet2!R:R,"N/A",0,1)))</f>
        <v>1</v>
      </c>
      <c r="J27" s="34">
        <f>IF($F27="unclassified","N/A",(_xlfn.XLOOKUP($E27,[1]Sheet2!$A:$A,[1]Sheet2!S:S,"N/A",0,1)))</f>
        <v>1</v>
      </c>
      <c r="K27" s="34">
        <f>IF($F27="unclassified","N/A",(_xlfn.XLOOKUP($E27,[1]Sheet2!$A:$A,[1]Sheet2!T:T,"N/A",0,1)))</f>
        <v>1</v>
      </c>
      <c r="L27" s="34">
        <f>IF($F27="unclassified","N/A",(_xlfn.XLOOKUP($E27,[1]Sheet2!$A:$A,[1]Sheet2!U:U,"N/A",0,1)))</f>
        <v>1</v>
      </c>
      <c r="M27" s="34">
        <f>IF($F27="unclassified","N/A",(_xlfn.XLOOKUP($E27,[1]Sheet2!$A:$A,[1]Sheet2!V:V,"N/A",0,1)))</f>
        <v>1</v>
      </c>
      <c r="N27" s="7"/>
      <c r="O27" s="34">
        <f>IF($F27="unclassified","N/A",(_xlfn.XLOOKUP($E27,[1]Sheet2!$A:$A,[1]Sheet2!W:W,"N/A",0,1)))</f>
        <v>1</v>
      </c>
      <c r="P27" s="34">
        <f>IF($F27="unclassified","N/A",(_xlfn.XLOOKUP($E27,[1]Sheet2!$A:$A,[1]Sheet2!X:X,"N/A",0,1)))</f>
        <v>1</v>
      </c>
      <c r="Q27" s="34">
        <f>IF($F27="unclassified","N/A",(_xlfn.XLOOKUP($E27,[1]Sheet2!$A:$A,[1]Sheet2!Y:Y,"N/A",0,1)))</f>
        <v>1</v>
      </c>
      <c r="R27" s="34">
        <f>IF($F27="unclassified","N/A",(_xlfn.XLOOKUP($E27,[1]Sheet2!$A:$A,[1]Sheet2!Z:Z,"N/A",0,1)))</f>
        <v>0</v>
      </c>
      <c r="S27" s="34">
        <f>IF($F27="unclassified","N/A",(_xlfn.XLOOKUP($E27,[1]Sheet2!$A:$A,[1]Sheet2!AA:AA,"N/A",0,1)))</f>
        <v>1</v>
      </c>
      <c r="T27" s="34">
        <f>IF($F27="unclassified","N/A",(_xlfn.XLOOKUP($E27,[1]Sheet2!$A:$A,[1]Sheet2!AB:AB,"N/A",0,1)))</f>
        <v>1</v>
      </c>
      <c r="U27" s="35">
        <f>IF($F27="unclassified","N/A",(AVERAGE(Table325[[#This Row],[PO nr]:[Delivery Date]])))</f>
        <v>0.91666666666666663</v>
      </c>
      <c r="V27" s="38" t="s">
        <v>60</v>
      </c>
      <c r="W27" s="37" t="s">
        <v>62</v>
      </c>
      <c r="X27" s="37" t="s">
        <v>63</v>
      </c>
      <c r="Y27" s="38"/>
      <c r="Z27" s="38"/>
    </row>
    <row r="28" spans="3:26" ht="57.6" x14ac:dyDescent="0.3">
      <c r="C28" t="str">
        <f>_xlfn.XLOOKUP(Table325[[#This Row],[Customer]],'[1]Top 300'!C:C,'[1]Top 300'!A:A,"0",2,1)</f>
        <v>0</v>
      </c>
      <c r="D28" s="39" t="str">
        <f>_xlfn.XLOOKUP(Table325[[#This Row],[File Name]],'[1]Analyse 2 Detail 02-03'!A:A,'[1]Analyse 2 Detail 02-03'!R:R,"Not Found",0,1)</f>
        <v>Medline Int'l Belgium BV</v>
      </c>
      <c r="E28" s="31" t="s">
        <v>64</v>
      </c>
      <c r="F28" s="40" t="s">
        <v>31</v>
      </c>
      <c r="G28" s="41">
        <v>2</v>
      </c>
      <c r="H28" s="7">
        <f>IF($F28="unclassified","N/A",(_xlfn.XLOOKUP($E28,[1]Sheet2!$A:$A,[1]Sheet2!Q:Q,"N/A",0,1)))</f>
        <v>1</v>
      </c>
      <c r="I28" s="7">
        <f>IF($F28="unclassified","N/A",(_xlfn.XLOOKUP($E28,[1]Sheet2!$A:$A,[1]Sheet2!R:R,"N/A",0,1)))</f>
        <v>1</v>
      </c>
      <c r="J28" s="7">
        <f>IF($F28="unclassified","N/A",(_xlfn.XLOOKUP($E28,[1]Sheet2!$A:$A,[1]Sheet2!S:S,"N/A",0,1)))</f>
        <v>1</v>
      </c>
      <c r="K28" s="7">
        <f>IF($F28="unclassified","N/A",(_xlfn.XLOOKUP($E28,[1]Sheet2!$A:$A,[1]Sheet2!T:T,"N/A",0,1)))</f>
        <v>1</v>
      </c>
      <c r="L28" s="7">
        <f>IF($F28="unclassified","N/A",(_xlfn.XLOOKUP($E28,[1]Sheet2!$A:$A,[1]Sheet2!U:U,"N/A",0,1)))</f>
        <v>1</v>
      </c>
      <c r="M28" s="34">
        <f>IF($F28="unclassified","N/A",(_xlfn.XLOOKUP($E28,[1]Sheet2!$A:$A,[1]Sheet2!V:V,"N/A",0,1)))</f>
        <v>1</v>
      </c>
      <c r="N28" s="7"/>
      <c r="O28" s="7">
        <f>IF($F28="unclassified","N/A",(_xlfn.XLOOKUP($E28,[1]Sheet2!$A:$A,[1]Sheet2!W:W,"N/A",0,1)))</f>
        <v>1</v>
      </c>
      <c r="P28" s="7">
        <f>IF($F28="unclassified","N/A",(_xlfn.XLOOKUP($E28,[1]Sheet2!$A:$A,[1]Sheet2!X:X,"N/A",0,1)))</f>
        <v>0</v>
      </c>
      <c r="Q28" s="7">
        <f>IF($F28="unclassified","N/A",(_xlfn.XLOOKUP($E28,[1]Sheet2!$A:$A,[1]Sheet2!Y:Y,"N/A",0,1)))</f>
        <v>1</v>
      </c>
      <c r="R28" s="7">
        <f>IF($F28="unclassified","N/A",(_xlfn.XLOOKUP($E28,[1]Sheet2!$A:$A,[1]Sheet2!Z:Z,"N/A",0,1)))</f>
        <v>0</v>
      </c>
      <c r="S28" s="7">
        <f>IF($F28="unclassified","N/A",(_xlfn.XLOOKUP($E28,[1]Sheet2!$A:$A,[1]Sheet2!AA:AA,"N/A",0,1)))</f>
        <v>1</v>
      </c>
      <c r="T28" s="7">
        <f>IF($F28="unclassified","N/A",(_xlfn.XLOOKUP($E28,[1]Sheet2!$A:$A,[1]Sheet2!AB:AB,"N/A",0,1)))</f>
        <v>1</v>
      </c>
      <c r="U28" s="35">
        <f>IF($F28="unclassified","N/A",(AVERAGE(Table325[[#This Row],[PO nr]:[Delivery Date]])))</f>
        <v>0.83333333333333337</v>
      </c>
      <c r="V28" s="38" t="s">
        <v>65</v>
      </c>
      <c r="W28" s="38" t="s">
        <v>66</v>
      </c>
      <c r="X28" s="47" t="s">
        <v>67</v>
      </c>
      <c r="Y28" s="38"/>
      <c r="Z28" s="38"/>
    </row>
    <row r="29" spans="3:26" ht="15" customHeight="1" x14ac:dyDescent="0.3">
      <c r="C29" t="str">
        <f>_xlfn.XLOOKUP(Table325[[#This Row],[Customer]],'[1]Top 300'!C:C,'[1]Top 300'!A:A,"0",2,1)</f>
        <v>0</v>
      </c>
      <c r="D29" s="39" t="str">
        <f>_xlfn.XLOOKUP(Table325[[#This Row],[File Name]],'[1]Analyse 2 Detail 02-03'!A:A,'[1]Analyse 2 Detail 02-03'!R:R,"Not Found",0,1)</f>
        <v>VYGON NEDERLAND B.V.</v>
      </c>
      <c r="E29" s="31" t="s">
        <v>68</v>
      </c>
      <c r="F29" s="40" t="s">
        <v>37</v>
      </c>
      <c r="G29" s="41">
        <v>0</v>
      </c>
      <c r="H29" s="7" t="str">
        <f>IF($F29="unclassified","N/A",(_xlfn.XLOOKUP($E29,[1]Sheet2!$A:$A,[1]Sheet2!Q:Q,"N/A",0,1)))</f>
        <v>N/A</v>
      </c>
      <c r="I29" s="7" t="str">
        <f>IF($F29="unclassified","N/A",(_xlfn.XLOOKUP($E29,[1]Sheet2!$A:$A,[1]Sheet2!R:R,"N/A",0,1)))</f>
        <v>N/A</v>
      </c>
      <c r="J29" s="7" t="str">
        <f>IF($F29="unclassified","N/A",(_xlfn.XLOOKUP($E29,[1]Sheet2!$A:$A,[1]Sheet2!S:S,"N/A",0,1)))</f>
        <v>N/A</v>
      </c>
      <c r="K29" s="7" t="str">
        <f>IF($F29="unclassified","N/A",(_xlfn.XLOOKUP($E29,[1]Sheet2!$A:$A,[1]Sheet2!T:T,"N/A",0,1)))</f>
        <v>N/A</v>
      </c>
      <c r="L29" s="7" t="str">
        <f>IF($F29="unclassified","N/A",(_xlfn.XLOOKUP($E29,[1]Sheet2!$A:$A,[1]Sheet2!U:U,"N/A",0,1)))</f>
        <v>N/A</v>
      </c>
      <c r="M29" s="34" t="str">
        <f>IF($F29="unclassified","N/A",(_xlfn.XLOOKUP($E29,[1]Sheet2!$A:$A,[1]Sheet2!V:V,"N/A",0,1)))</f>
        <v>N/A</v>
      </c>
      <c r="N29" s="7"/>
      <c r="O29" s="7" t="str">
        <f>IF($F29="unclassified","N/A",(_xlfn.XLOOKUP($E29,[1]Sheet2!$A:$A,[1]Sheet2!W:W,"N/A",0,1)))</f>
        <v>N/A</v>
      </c>
      <c r="P29" s="7" t="str">
        <f>IF($F29="unclassified","N/A",(_xlfn.XLOOKUP($E29,[1]Sheet2!$A:$A,[1]Sheet2!X:X,"N/A",0,1)))</f>
        <v>N/A</v>
      </c>
      <c r="Q29" s="7" t="str">
        <f>IF($F29="unclassified","N/A",(_xlfn.XLOOKUP($E29,[1]Sheet2!$A:$A,[1]Sheet2!Y:Y,"N/A",0,1)))</f>
        <v>N/A</v>
      </c>
      <c r="R29" s="7" t="str">
        <f>IF($F29="unclassified","N/A",(_xlfn.XLOOKUP($E29,[1]Sheet2!$A:$A,[1]Sheet2!Z:Z,"N/A",0,1)))</f>
        <v>N/A</v>
      </c>
      <c r="S29" s="7" t="str">
        <f>IF($F29="unclassified","N/A",(_xlfn.XLOOKUP($E29,[1]Sheet2!$A:$A,[1]Sheet2!AA:AA,"N/A",0,1)))</f>
        <v>N/A</v>
      </c>
      <c r="T29" s="7" t="str">
        <f>IF($F29="unclassified","N/A",(_xlfn.XLOOKUP($E29,[1]Sheet2!$A:$A,[1]Sheet2!AB:AB,"N/A",0,1)))</f>
        <v>N/A</v>
      </c>
      <c r="U29" s="35" t="str">
        <f>IF($F29="unclassified","N/A",(AVERAGE(Table325[[#This Row],[PO nr]:[Delivery Date]])))</f>
        <v>N/A</v>
      </c>
      <c r="V29" s="38"/>
      <c r="W29" s="38"/>
      <c r="X29" s="38"/>
      <c r="Y29" s="38"/>
      <c r="Z29" s="38"/>
    </row>
    <row r="30" spans="3:26" ht="15" customHeight="1" x14ac:dyDescent="0.3">
      <c r="C30" t="str">
        <f>_xlfn.XLOOKUP(Table325[[#This Row],[Customer]],'[1]Top 300'!C:C,'[1]Top 300'!A:A,"0",2,1)</f>
        <v>0</v>
      </c>
      <c r="D30" s="39" t="str">
        <f>_xlfn.XLOOKUP(Table325[[#This Row],[File Name]],'[1]Analyse 2 Detail 02-03'!A:A,'[1]Analyse 2 Detail 02-03'!R:R,"Not Found",0,1)</f>
        <v>VYGON NEDERLAND B.V.</v>
      </c>
      <c r="E30" s="31" t="s">
        <v>68</v>
      </c>
      <c r="F30" s="40" t="s">
        <v>37</v>
      </c>
      <c r="G30" s="41">
        <v>0</v>
      </c>
      <c r="H30" s="7" t="str">
        <f>IF($F30="unclassified","N/A",(_xlfn.XLOOKUP($E30,[1]Sheet2!$A:$A,[1]Sheet2!Q:Q,"N/A",0,1)))</f>
        <v>N/A</v>
      </c>
      <c r="I30" s="7" t="str">
        <f>IF($F30="unclassified","N/A",(_xlfn.XLOOKUP($E30,[1]Sheet2!$A:$A,[1]Sheet2!R:R,"N/A",0,1)))</f>
        <v>N/A</v>
      </c>
      <c r="J30" s="7" t="str">
        <f>IF($F30="unclassified","N/A",(_xlfn.XLOOKUP($E30,[1]Sheet2!$A:$A,[1]Sheet2!S:S,"N/A",0,1)))</f>
        <v>N/A</v>
      </c>
      <c r="K30" s="7" t="str">
        <f>IF($F30="unclassified","N/A",(_xlfn.XLOOKUP($E30,[1]Sheet2!$A:$A,[1]Sheet2!T:T,"N/A",0,1)))</f>
        <v>N/A</v>
      </c>
      <c r="L30" s="7" t="str">
        <f>IF($F30="unclassified","N/A",(_xlfn.XLOOKUP($E30,[1]Sheet2!$A:$A,[1]Sheet2!U:U,"N/A",0,1)))</f>
        <v>N/A</v>
      </c>
      <c r="M30" s="34" t="str">
        <f>IF($F30="unclassified","N/A",(_xlfn.XLOOKUP($E30,[1]Sheet2!$A:$A,[1]Sheet2!V:V,"N/A",0,1)))</f>
        <v>N/A</v>
      </c>
      <c r="N30" s="7"/>
      <c r="O30" s="7" t="str">
        <f>IF($F30="unclassified","N/A",(_xlfn.XLOOKUP($E30,[1]Sheet2!$A:$A,[1]Sheet2!W:W,"N/A",0,1)))</f>
        <v>N/A</v>
      </c>
      <c r="P30" s="7" t="str">
        <f>IF($F30="unclassified","N/A",(_xlfn.XLOOKUP($E30,[1]Sheet2!$A:$A,[1]Sheet2!X:X,"N/A",0,1)))</f>
        <v>N/A</v>
      </c>
      <c r="Q30" s="7" t="str">
        <f>IF($F30="unclassified","N/A",(_xlfn.XLOOKUP($E30,[1]Sheet2!$A:$A,[1]Sheet2!Y:Y,"N/A",0,1)))</f>
        <v>N/A</v>
      </c>
      <c r="R30" s="7" t="str">
        <f>IF($F30="unclassified","N/A",(_xlfn.XLOOKUP($E30,[1]Sheet2!$A:$A,[1]Sheet2!Z:Z,"N/A",0,1)))</f>
        <v>N/A</v>
      </c>
      <c r="S30" s="7" t="str">
        <f>IF($F30="unclassified","N/A",(_xlfn.XLOOKUP($E30,[1]Sheet2!$A:$A,[1]Sheet2!AA:AA,"N/A",0,1)))</f>
        <v>N/A</v>
      </c>
      <c r="T30" s="7" t="str">
        <f>IF($F30="unclassified","N/A",(_xlfn.XLOOKUP($E30,[1]Sheet2!$A:$A,[1]Sheet2!AB:AB,"N/A",0,1)))</f>
        <v>N/A</v>
      </c>
      <c r="U30" s="35" t="str">
        <f>IF($F30="unclassified","N/A",(AVERAGE(Table325[[#This Row],[PO nr]:[Delivery Date]])))</f>
        <v>N/A</v>
      </c>
      <c r="V30" s="38"/>
      <c r="W30" s="38"/>
      <c r="X30" s="38"/>
      <c r="Y30" s="38"/>
      <c r="Z30" s="38"/>
    </row>
    <row r="31" spans="3:26" ht="57.6" x14ac:dyDescent="0.3">
      <c r="C31" t="str">
        <f>_xlfn.XLOOKUP(Table325[[#This Row],[Customer]],'[1]Top 300'!C:C,'[1]Top 300'!A:A,"0",2,1)</f>
        <v>0</v>
      </c>
      <c r="D31" s="39" t="str">
        <f>_xlfn.XLOOKUP(Table325[[#This Row],[File Name]],'[1]Analyse 2 Detail 02-03'!A:A,'[1]Analyse 2 Detail 02-03'!R:R,"Not Found",0,1)</f>
        <v>VYGON NEDERLAND B.V.</v>
      </c>
      <c r="E31" s="31" t="s">
        <v>68</v>
      </c>
      <c r="F31" s="40" t="s">
        <v>31</v>
      </c>
      <c r="G31" s="41">
        <v>3</v>
      </c>
      <c r="H31" s="7">
        <f>IF($F31="unclassified","N/A",(_xlfn.XLOOKUP($E31,[1]Sheet2!$A:$A,[1]Sheet2!Q:Q,"N/A",0,1)))</f>
        <v>1</v>
      </c>
      <c r="I31" s="7">
        <f>IF($F31="unclassified","N/A",(_xlfn.XLOOKUP($E31,[1]Sheet2!$A:$A,[1]Sheet2!R:R,"N/A",0,1)))</f>
        <v>1</v>
      </c>
      <c r="J31" s="7">
        <f>IF($F31="unclassified","N/A",(_xlfn.XLOOKUP($E31,[1]Sheet2!$A:$A,[1]Sheet2!S:S,"N/A",0,1)))</f>
        <v>1</v>
      </c>
      <c r="K31" s="7">
        <f>IF($F31="unclassified","N/A",(_xlfn.XLOOKUP($E31,[1]Sheet2!$A:$A,[1]Sheet2!T:T,"N/A",0,1)))</f>
        <v>1</v>
      </c>
      <c r="L31" s="7">
        <f>IF($F31="unclassified","N/A",(_xlfn.XLOOKUP($E31,[1]Sheet2!$A:$A,[1]Sheet2!U:U,"N/A",0,1)))</f>
        <v>1</v>
      </c>
      <c r="M31" s="34">
        <f>IF($F31="unclassified","N/A",(_xlfn.XLOOKUP($E31,[1]Sheet2!$A:$A,[1]Sheet2!V:V,"N/A",0,1)))</f>
        <v>0</v>
      </c>
      <c r="N31" s="7"/>
      <c r="O31" s="7">
        <f>IF($F31="unclassified","N/A",(_xlfn.XLOOKUP($E31,[1]Sheet2!$A:$A,[1]Sheet2!W:W,"N/A",0,1)))</f>
        <v>1</v>
      </c>
      <c r="P31" s="7">
        <f>IF($F31="unclassified","N/A",(_xlfn.XLOOKUP($E31,[1]Sheet2!$A:$A,[1]Sheet2!X:X,"N/A",0,1)))</f>
        <v>1</v>
      </c>
      <c r="Q31" s="7">
        <f>IF($F31="unclassified","N/A",(_xlfn.XLOOKUP($E31,[1]Sheet2!$A:$A,[1]Sheet2!Y:Y,"N/A",0,1)))</f>
        <v>1</v>
      </c>
      <c r="R31" s="7">
        <f>IF($F31="unclassified","N/A",(_xlfn.XLOOKUP($E31,[1]Sheet2!$A:$A,[1]Sheet2!Z:Z,"N/A",0,1)))</f>
        <v>0</v>
      </c>
      <c r="S31" s="7">
        <f>IF($F31="unclassified","N/A",(_xlfn.XLOOKUP($E31,[1]Sheet2!$A:$A,[1]Sheet2!AA:AA,"N/A",0,1)))</f>
        <v>0</v>
      </c>
      <c r="T31" s="7">
        <f>IF($F31="unclassified","N/A",(_xlfn.XLOOKUP($E31,[1]Sheet2!$A:$A,[1]Sheet2!AB:AB,"N/A",0,1)))</f>
        <v>1</v>
      </c>
      <c r="U31" s="35">
        <f>IF($F31="unclassified","N/A",(AVERAGE(Table325[[#This Row],[PO nr]:[Delivery Date]])))</f>
        <v>0.75</v>
      </c>
      <c r="V31" s="52" t="s">
        <v>69</v>
      </c>
      <c r="W31" s="38" t="s">
        <v>70</v>
      </c>
      <c r="X31" s="47" t="s">
        <v>71</v>
      </c>
      <c r="Y31" s="38"/>
      <c r="Z31" s="38"/>
    </row>
    <row r="32" spans="3:26" ht="15" customHeight="1" x14ac:dyDescent="0.3">
      <c r="C32" t="str">
        <f>_xlfn.XLOOKUP(Table325[[#This Row],[Customer]],'[1]Top 300'!C:C,'[1]Top 300'!A:A,"0",2,1)</f>
        <v>0</v>
      </c>
      <c r="D32" s="39" t="str">
        <f>_xlfn.XLOOKUP(Table325[[#This Row],[File Name]],'[1]Analyse 2 Detail 02-03'!A:A,'[1]Analyse 2 Detail 02-03'!R:R,"Not Found",0,1)</f>
        <v>King Belgium SA/NV</v>
      </c>
      <c r="E32" s="31" t="s">
        <v>72</v>
      </c>
      <c r="F32" s="40" t="s">
        <v>31</v>
      </c>
      <c r="G32" s="41">
        <v>0</v>
      </c>
      <c r="H32" s="7">
        <f>IF($F32="unclassified","N/A",(_xlfn.XLOOKUP($E32,[1]Sheet2!$A:$A,[1]Sheet2!Q:Q,"N/A",0,1)))</f>
        <v>1</v>
      </c>
      <c r="I32" s="7">
        <f>IF($F32="unclassified","N/A",(_xlfn.XLOOKUP($E32,[1]Sheet2!$A:$A,[1]Sheet2!R:R,"N/A",0,1)))</f>
        <v>1</v>
      </c>
      <c r="J32" s="7">
        <f>IF($F32="unclassified","N/A",(_xlfn.XLOOKUP($E32,[1]Sheet2!$A:$A,[1]Sheet2!S:S,"N/A",0,1)))</f>
        <v>1</v>
      </c>
      <c r="K32" s="7">
        <f>IF($F32="unclassified","N/A",(_xlfn.XLOOKUP($E32,[1]Sheet2!$A:$A,[1]Sheet2!T:T,"N/A",0,1)))</f>
        <v>1</v>
      </c>
      <c r="L32" s="7">
        <f>IF($F32="unclassified","N/A",(_xlfn.XLOOKUP($E32,[1]Sheet2!$A:$A,[1]Sheet2!U:U,"N/A",0,1)))</f>
        <v>1</v>
      </c>
      <c r="M32" s="34">
        <f>IF($F32="unclassified","N/A",(_xlfn.XLOOKUP($E32,[1]Sheet2!$A:$A,[1]Sheet2!V:V,"N/A",0,1)))</f>
        <v>1</v>
      </c>
      <c r="N32" s="7"/>
      <c r="O32" s="7">
        <f>IF($F32="unclassified","N/A",(_xlfn.XLOOKUP($E32,[1]Sheet2!$A:$A,[1]Sheet2!W:W,"N/A",0,1)))</f>
        <v>1</v>
      </c>
      <c r="P32" s="7">
        <f>IF($F32="unclassified","N/A",(_xlfn.XLOOKUP($E32,[1]Sheet2!$A:$A,[1]Sheet2!X:X,"N/A",0,1)))</f>
        <v>1</v>
      </c>
      <c r="Q32" s="7">
        <f>IF($F32="unclassified","N/A",(_xlfn.XLOOKUP($E32,[1]Sheet2!$A:$A,[1]Sheet2!Y:Y,"N/A",0,1)))</f>
        <v>1</v>
      </c>
      <c r="R32" s="7">
        <f>IF($F32="unclassified","N/A",(_xlfn.XLOOKUP($E32,[1]Sheet2!$A:$A,[1]Sheet2!Z:Z,"N/A",0,1)))</f>
        <v>1</v>
      </c>
      <c r="S32" s="7">
        <f>IF($F32="unclassified","N/A",(_xlfn.XLOOKUP($E32,[1]Sheet2!$A:$A,[1]Sheet2!AA:AA,"N/A",0,1)))</f>
        <v>1</v>
      </c>
      <c r="T32" s="7">
        <f>IF($F32="unclassified","N/A",(_xlfn.XLOOKUP($E32,[1]Sheet2!$A:$A,[1]Sheet2!AB:AB,"N/A",0,1)))</f>
        <v>1</v>
      </c>
      <c r="U32" s="35">
        <f>IF($F32="unclassified","N/A",(AVERAGE(Table325[[#This Row],[PO nr]:[Delivery Date]])))</f>
        <v>1</v>
      </c>
      <c r="V32" s="38"/>
      <c r="W32" s="38"/>
      <c r="X32" s="38"/>
      <c r="Y32" s="38"/>
      <c r="Z32" s="38"/>
    </row>
    <row r="33" spans="3:26" ht="15" customHeight="1" x14ac:dyDescent="0.3">
      <c r="C33" t="str">
        <f>_xlfn.XLOOKUP(Table325[[#This Row],[Customer]],'[1]Top 300'!C:C,'[1]Top 300'!A:A,"0",2,1)</f>
        <v>0</v>
      </c>
      <c r="D33" s="39" t="str">
        <f>_xlfn.XLOOKUP(Table325[[#This Row],[File Name]],'[1]Analyse 2 Detail 02-03'!A:A,'[1]Analyse 2 Detail 02-03'!R:R,"Not Found",0,1)</f>
        <v>King Belgium SA/NV</v>
      </c>
      <c r="E33" s="31" t="s">
        <v>73</v>
      </c>
      <c r="F33" s="40" t="s">
        <v>31</v>
      </c>
      <c r="G33" s="41">
        <v>0</v>
      </c>
      <c r="H33" s="7">
        <f>IF($F33="unclassified","N/A",(_xlfn.XLOOKUP($E33,[1]Sheet2!$A:$A,[1]Sheet2!Q:Q,"N/A",0,1)))</f>
        <v>1</v>
      </c>
      <c r="I33" s="7">
        <f>IF($F33="unclassified","N/A",(_xlfn.XLOOKUP($E33,[1]Sheet2!$A:$A,[1]Sheet2!R:R,"N/A",0,1)))</f>
        <v>1</v>
      </c>
      <c r="J33" s="7">
        <f>IF($F33="unclassified","N/A",(_xlfn.XLOOKUP($E33,[1]Sheet2!$A:$A,[1]Sheet2!S:S,"N/A",0,1)))</f>
        <v>1</v>
      </c>
      <c r="K33" s="7">
        <f>IF($F33="unclassified","N/A",(_xlfn.XLOOKUP($E33,[1]Sheet2!$A:$A,[1]Sheet2!T:T,"N/A",0,1)))</f>
        <v>1</v>
      </c>
      <c r="L33" s="7">
        <f>IF($F33="unclassified","N/A",(_xlfn.XLOOKUP($E33,[1]Sheet2!$A:$A,[1]Sheet2!U:U,"N/A",0,1)))</f>
        <v>1</v>
      </c>
      <c r="M33" s="34">
        <f>IF($F33="unclassified","N/A",(_xlfn.XLOOKUP($E33,[1]Sheet2!$A:$A,[1]Sheet2!V:V,"N/A",0,1)))</f>
        <v>1</v>
      </c>
      <c r="N33" s="7"/>
      <c r="O33" s="7">
        <f>IF($F33="unclassified","N/A",(_xlfn.XLOOKUP($E33,[1]Sheet2!$A:$A,[1]Sheet2!W:W,"N/A",0,1)))</f>
        <v>1</v>
      </c>
      <c r="P33" s="7">
        <f>IF($F33="unclassified","N/A",(_xlfn.XLOOKUP($E33,[1]Sheet2!$A:$A,[1]Sheet2!X:X,"N/A",0,1)))</f>
        <v>1</v>
      </c>
      <c r="Q33" s="7">
        <f>IF($F33="unclassified","N/A",(_xlfn.XLOOKUP($E33,[1]Sheet2!$A:$A,[1]Sheet2!Y:Y,"N/A",0,1)))</f>
        <v>1</v>
      </c>
      <c r="R33" s="7">
        <f>IF($F33="unclassified","N/A",(_xlfn.XLOOKUP($E33,[1]Sheet2!$A:$A,[1]Sheet2!Z:Z,"N/A",0,1)))</f>
        <v>1</v>
      </c>
      <c r="S33" s="7">
        <f>IF($F33="unclassified","N/A",(_xlfn.XLOOKUP($E33,[1]Sheet2!$A:$A,[1]Sheet2!AA:AA,"N/A",0,1)))</f>
        <v>1</v>
      </c>
      <c r="T33" s="7">
        <f>IF($F33="unclassified","N/A",(_xlfn.XLOOKUP($E33,[1]Sheet2!$A:$A,[1]Sheet2!AB:AB,"N/A",0,1)))</f>
        <v>1</v>
      </c>
      <c r="U33" s="35">
        <f>IF($F33="unclassified","N/A",(AVERAGE(Table325[[#This Row],[PO nr]:[Delivery Date]])))</f>
        <v>1</v>
      </c>
      <c r="V33" s="38"/>
      <c r="W33" s="38"/>
      <c r="X33" s="38"/>
      <c r="Y33" s="38"/>
      <c r="Z33" s="38"/>
    </row>
    <row r="34" spans="3:26" ht="15" customHeight="1" x14ac:dyDescent="0.3">
      <c r="C34" t="str">
        <f>_xlfn.XLOOKUP(Table325[[#This Row],[Customer]],'[1]Top 300'!C:C,'[1]Top 300'!A:A,"0",2,1)</f>
        <v>0</v>
      </c>
      <c r="D34" s="39" t="str">
        <f>_xlfn.XLOOKUP(Table325[[#This Row],[File Name]],'[1]Analyse 2 Detail 02-03'!A:A,'[1]Analyse 2 Detail 02-03'!R:R,"Not Found",0,1)</f>
        <v>King Belgium SA/NV</v>
      </c>
      <c r="E34" s="31" t="s">
        <v>74</v>
      </c>
      <c r="F34" s="40" t="s">
        <v>31</v>
      </c>
      <c r="G34" s="41">
        <v>0</v>
      </c>
      <c r="H34" s="7">
        <f>IF($F34="unclassified","N/A",(_xlfn.XLOOKUP($E34,[1]Sheet2!$A:$A,[1]Sheet2!Q:Q,"N/A",0,1)))</f>
        <v>1</v>
      </c>
      <c r="I34" s="7">
        <f>IF($F34="unclassified","N/A",(_xlfn.XLOOKUP($E34,[1]Sheet2!$A:$A,[1]Sheet2!R:R,"N/A",0,1)))</f>
        <v>1</v>
      </c>
      <c r="J34" s="7">
        <f>IF($F34="unclassified","N/A",(_xlfn.XLOOKUP($E34,[1]Sheet2!$A:$A,[1]Sheet2!S:S,"N/A",0,1)))</f>
        <v>1</v>
      </c>
      <c r="K34" s="7">
        <f>IF($F34="unclassified","N/A",(_xlfn.XLOOKUP($E34,[1]Sheet2!$A:$A,[1]Sheet2!T:T,"N/A",0,1)))</f>
        <v>1</v>
      </c>
      <c r="L34" s="7">
        <f>IF($F34="unclassified","N/A",(_xlfn.XLOOKUP($E34,[1]Sheet2!$A:$A,[1]Sheet2!U:U,"N/A",0,1)))</f>
        <v>1</v>
      </c>
      <c r="M34" s="34">
        <f>IF($F34="unclassified","N/A",(_xlfn.XLOOKUP($E34,[1]Sheet2!$A:$A,[1]Sheet2!V:V,"N/A",0,1)))</f>
        <v>1</v>
      </c>
      <c r="N34" s="7"/>
      <c r="O34" s="7">
        <f>IF($F34="unclassified","N/A",(_xlfn.XLOOKUP($E34,[1]Sheet2!$A:$A,[1]Sheet2!W:W,"N/A",0,1)))</f>
        <v>1</v>
      </c>
      <c r="P34" s="7">
        <f>IF($F34="unclassified","N/A",(_xlfn.XLOOKUP($E34,[1]Sheet2!$A:$A,[1]Sheet2!X:X,"N/A",0,1)))</f>
        <v>1</v>
      </c>
      <c r="Q34" s="7">
        <f>IF($F34="unclassified","N/A",(_xlfn.XLOOKUP($E34,[1]Sheet2!$A:$A,[1]Sheet2!Y:Y,"N/A",0,1)))</f>
        <v>1</v>
      </c>
      <c r="R34" s="7">
        <f>IF($F34="unclassified","N/A",(_xlfn.XLOOKUP($E34,[1]Sheet2!$A:$A,[1]Sheet2!Z:Z,"N/A",0,1)))</f>
        <v>1</v>
      </c>
      <c r="S34" s="7">
        <f>IF($F34="unclassified","N/A",(_xlfn.XLOOKUP($E34,[1]Sheet2!$A:$A,[1]Sheet2!AA:AA,"N/A",0,1)))</f>
        <v>1</v>
      </c>
      <c r="T34" s="7">
        <f>IF($F34="unclassified","N/A",(_xlfn.XLOOKUP($E34,[1]Sheet2!$A:$A,[1]Sheet2!AB:AB,"N/A",0,1)))</f>
        <v>1</v>
      </c>
      <c r="U34" s="35">
        <f>IF($F34="unclassified","N/A",(AVERAGE(Table325[[#This Row],[PO nr]:[Delivery Date]])))</f>
        <v>1</v>
      </c>
      <c r="V34" s="38"/>
      <c r="W34" s="38"/>
      <c r="X34" s="38"/>
      <c r="Y34" s="38"/>
      <c r="Z34" s="38"/>
    </row>
    <row r="35" spans="3:26" ht="15" customHeight="1" x14ac:dyDescent="0.3">
      <c r="C35" t="str">
        <f>_xlfn.XLOOKUP(Table325[[#This Row],[Customer]],'[1]Top 300'!C:C,'[1]Top 300'!A:A,"0",2,1)</f>
        <v>0</v>
      </c>
      <c r="D35" s="39" t="str">
        <f>_xlfn.XLOOKUP(Table325[[#This Row],[File Name]],'[1]Analyse 2 Detail 02-03'!A:A,'[1]Analyse 2 Detail 02-03'!R:R,"Not Found",0,1)</f>
        <v>King Belgium SA/NV</v>
      </c>
      <c r="E35" s="31" t="s">
        <v>75</v>
      </c>
      <c r="F35" s="40" t="s">
        <v>31</v>
      </c>
      <c r="G35" s="41">
        <v>0</v>
      </c>
      <c r="H35" s="7">
        <f>IF($F35="unclassified","N/A",(_xlfn.XLOOKUP($E35,[1]Sheet2!$A:$A,[1]Sheet2!Q:Q,"N/A",0,1)))</f>
        <v>1</v>
      </c>
      <c r="I35" s="7">
        <f>IF($F35="unclassified","N/A",(_xlfn.XLOOKUP($E35,[1]Sheet2!$A:$A,[1]Sheet2!R:R,"N/A",0,1)))</f>
        <v>1</v>
      </c>
      <c r="J35" s="7">
        <f>IF($F35="unclassified","N/A",(_xlfn.XLOOKUP($E35,[1]Sheet2!$A:$A,[1]Sheet2!S:S,"N/A",0,1)))</f>
        <v>1</v>
      </c>
      <c r="K35" s="7">
        <f>IF($F35="unclassified","N/A",(_xlfn.XLOOKUP($E35,[1]Sheet2!$A:$A,[1]Sheet2!T:T,"N/A",0,1)))</f>
        <v>1</v>
      </c>
      <c r="L35" s="7">
        <f>IF($F35="unclassified","N/A",(_xlfn.XLOOKUP($E35,[1]Sheet2!$A:$A,[1]Sheet2!U:U,"N/A",0,1)))</f>
        <v>1</v>
      </c>
      <c r="M35" s="34">
        <f>IF($F35="unclassified","N/A",(_xlfn.XLOOKUP($E35,[1]Sheet2!$A:$A,[1]Sheet2!V:V,"N/A",0,1)))</f>
        <v>1</v>
      </c>
      <c r="N35" s="7"/>
      <c r="O35" s="7">
        <f>IF($F35="unclassified","N/A",(_xlfn.XLOOKUP($E35,[1]Sheet2!$A:$A,[1]Sheet2!W:W,"N/A",0,1)))</f>
        <v>1</v>
      </c>
      <c r="P35" s="7">
        <f>IF($F35="unclassified","N/A",(_xlfn.XLOOKUP($E35,[1]Sheet2!$A:$A,[1]Sheet2!X:X,"N/A",0,1)))</f>
        <v>1</v>
      </c>
      <c r="Q35" s="7">
        <f>IF($F35="unclassified","N/A",(_xlfn.XLOOKUP($E35,[1]Sheet2!$A:$A,[1]Sheet2!Y:Y,"N/A",0,1)))</f>
        <v>1</v>
      </c>
      <c r="R35" s="7">
        <f>IF($F35="unclassified","N/A",(_xlfn.XLOOKUP($E35,[1]Sheet2!$A:$A,[1]Sheet2!Z:Z,"N/A",0,1)))</f>
        <v>1</v>
      </c>
      <c r="S35" s="7">
        <f>IF($F35="unclassified","N/A",(_xlfn.XLOOKUP($E35,[1]Sheet2!$A:$A,[1]Sheet2!AA:AA,"N/A",0,1)))</f>
        <v>1</v>
      </c>
      <c r="T35" s="7">
        <f>IF($F35="unclassified","N/A",(_xlfn.XLOOKUP($E35,[1]Sheet2!$A:$A,[1]Sheet2!AB:AB,"N/A",0,1)))</f>
        <v>1</v>
      </c>
      <c r="U35" s="35">
        <f>IF($F35="unclassified","N/A",(AVERAGE(Table325[[#This Row],[PO nr]:[Delivery Date]])))</f>
        <v>1</v>
      </c>
      <c r="V35" s="38"/>
      <c r="W35" s="38"/>
      <c r="X35" s="38"/>
      <c r="Y35" s="38"/>
      <c r="Z35" s="38"/>
    </row>
    <row r="36" spans="3:26" ht="15" customHeight="1" x14ac:dyDescent="0.3">
      <c r="C36" t="str">
        <f>_xlfn.XLOOKUP(Table325[[#This Row],[Customer]],'[1]Top 300'!C:C,'[1]Top 300'!A:A,"0",2,1)</f>
        <v>0</v>
      </c>
      <c r="D36" s="39" t="str">
        <f>_xlfn.XLOOKUP(Table325[[#This Row],[File Name]],'[1]Analyse 2 Detail 02-03'!A:A,'[1]Analyse 2 Detail 02-03'!R:R,"Not Found",0,1)</f>
        <v>King Belgium SA/NV</v>
      </c>
      <c r="E36" s="31" t="s">
        <v>76</v>
      </c>
      <c r="F36" s="40" t="s">
        <v>31</v>
      </c>
      <c r="G36" s="41">
        <v>1</v>
      </c>
      <c r="H36" s="7">
        <f>IF($F36="unclassified","N/A",(_xlfn.XLOOKUP($E36,[1]Sheet2!$A:$A,[1]Sheet2!Q:Q,"N/A",0,1)))</f>
        <v>1</v>
      </c>
      <c r="I36" s="7">
        <f>IF($F36="unclassified","N/A",(_xlfn.XLOOKUP($E36,[1]Sheet2!$A:$A,[1]Sheet2!R:R,"N/A",0,1)))</f>
        <v>1</v>
      </c>
      <c r="J36" s="7">
        <f>IF($F36="unclassified","N/A",(_xlfn.XLOOKUP($E36,[1]Sheet2!$A:$A,[1]Sheet2!S:S,"N/A",0,1)))</f>
        <v>1</v>
      </c>
      <c r="K36" s="7">
        <f>IF($F36="unclassified","N/A",(_xlfn.XLOOKUP($E36,[1]Sheet2!$A:$A,[1]Sheet2!T:T,"N/A",0,1)))</f>
        <v>1</v>
      </c>
      <c r="L36" s="7">
        <f>IF($F36="unclassified","N/A",(_xlfn.XLOOKUP($E36,[1]Sheet2!$A:$A,[1]Sheet2!U:U,"N/A",0,1)))</f>
        <v>1</v>
      </c>
      <c r="M36" s="34">
        <f>IF($F36="unclassified","N/A",(_xlfn.XLOOKUP($E36,[1]Sheet2!$A:$A,[1]Sheet2!V:V,"N/A",0,1)))</f>
        <v>1</v>
      </c>
      <c r="N36" s="7"/>
      <c r="O36" s="7">
        <f>IF($F36="unclassified","N/A",(_xlfn.XLOOKUP($E36,[1]Sheet2!$A:$A,[1]Sheet2!W:W,"N/A",0,1)))</f>
        <v>1</v>
      </c>
      <c r="P36" s="7">
        <f>IF($F36="unclassified","N/A",(_xlfn.XLOOKUP($E36,[1]Sheet2!$A:$A,[1]Sheet2!X:X,"N/A",0,1)))</f>
        <v>1</v>
      </c>
      <c r="Q36" s="7">
        <f>IF($F36="unclassified","N/A",(_xlfn.XLOOKUP($E36,[1]Sheet2!$A:$A,[1]Sheet2!Y:Y,"N/A",0,1)))</f>
        <v>1</v>
      </c>
      <c r="R36" s="7">
        <f>IF($F36="unclassified","N/A",(_xlfn.XLOOKUP($E36,[1]Sheet2!$A:$A,[1]Sheet2!Z:Z,"N/A",0,1)))</f>
        <v>1</v>
      </c>
      <c r="S36" s="7">
        <f>IF($F36="unclassified","N/A",(_xlfn.XLOOKUP($E36,[1]Sheet2!$A:$A,[1]Sheet2!AA:AA,"N/A",0,1)))</f>
        <v>1</v>
      </c>
      <c r="T36" s="7">
        <f>IF($F36="unclassified","N/A",(_xlfn.XLOOKUP($E36,[1]Sheet2!$A:$A,[1]Sheet2!AB:AB,"N/A",0,1)))</f>
        <v>1</v>
      </c>
      <c r="U36" s="35">
        <f>IF($F36="unclassified","N/A",(AVERAGE(Table325[[#This Row],[PO nr]:[Delivery Date]])))</f>
        <v>1</v>
      </c>
      <c r="V36" s="38" t="s">
        <v>77</v>
      </c>
      <c r="W36" s="38"/>
      <c r="X36" s="38" t="s">
        <v>78</v>
      </c>
      <c r="Y36" s="38"/>
      <c r="Z36" s="38"/>
    </row>
    <row r="37" spans="3:26" ht="15" customHeight="1" x14ac:dyDescent="0.3">
      <c r="C37" t="str">
        <f>_xlfn.XLOOKUP(Table325[[#This Row],[Customer]],'[1]Top 300'!C:C,'[1]Top 300'!A:A,"0",2,1)</f>
        <v>0</v>
      </c>
      <c r="D37" s="39" t="str">
        <f>_xlfn.XLOOKUP(Table325[[#This Row],[File Name]],'[1]Analyse 2 Detail 02-03'!A:A,'[1]Analyse 2 Detail 02-03'!R:R,"Not Found",0,1)</f>
        <v>King Belgium SA/NV</v>
      </c>
      <c r="E37" s="31" t="s">
        <v>79</v>
      </c>
      <c r="F37" s="40" t="s">
        <v>31</v>
      </c>
      <c r="G37" s="41">
        <v>0</v>
      </c>
      <c r="H37" s="7">
        <f>IF($F37="unclassified","N/A",(_xlfn.XLOOKUP($E37,[1]Sheet2!$A:$A,[1]Sheet2!Q:Q,"N/A",0,1)))</f>
        <v>1</v>
      </c>
      <c r="I37" s="7">
        <f>IF($F37="unclassified","N/A",(_xlfn.XLOOKUP($E37,[1]Sheet2!$A:$A,[1]Sheet2!R:R,"N/A",0,1)))</f>
        <v>1</v>
      </c>
      <c r="J37" s="7">
        <f>IF($F37="unclassified","N/A",(_xlfn.XLOOKUP($E37,[1]Sheet2!$A:$A,[1]Sheet2!S:S,"N/A",0,1)))</f>
        <v>1</v>
      </c>
      <c r="K37" s="7">
        <f>IF($F37="unclassified","N/A",(_xlfn.XLOOKUP($E37,[1]Sheet2!$A:$A,[1]Sheet2!T:T,"N/A",0,1)))</f>
        <v>1</v>
      </c>
      <c r="L37" s="7">
        <f>IF($F37="unclassified","N/A",(_xlfn.XLOOKUP($E37,[1]Sheet2!$A:$A,[1]Sheet2!U:U,"N/A",0,1)))</f>
        <v>1</v>
      </c>
      <c r="M37" s="34">
        <f>IF($F37="unclassified","N/A",(_xlfn.XLOOKUP($E37,[1]Sheet2!$A:$A,[1]Sheet2!V:V,"N/A",0,1)))</f>
        <v>1</v>
      </c>
      <c r="N37" s="7"/>
      <c r="O37" s="7">
        <f>IF($F37="unclassified","N/A",(_xlfn.XLOOKUP($E37,[1]Sheet2!$A:$A,[1]Sheet2!W:W,"N/A",0,1)))</f>
        <v>1</v>
      </c>
      <c r="P37" s="7">
        <f>IF($F37="unclassified","N/A",(_xlfn.XLOOKUP($E37,[1]Sheet2!$A:$A,[1]Sheet2!X:X,"N/A",0,1)))</f>
        <v>1</v>
      </c>
      <c r="Q37" s="7">
        <f>IF($F37="unclassified","N/A",(_xlfn.XLOOKUP($E37,[1]Sheet2!$A:$A,[1]Sheet2!Y:Y,"N/A",0,1)))</f>
        <v>1</v>
      </c>
      <c r="R37" s="7">
        <f>IF($F37="unclassified","N/A",(_xlfn.XLOOKUP($E37,[1]Sheet2!$A:$A,[1]Sheet2!Z:Z,"N/A",0,1)))</f>
        <v>1</v>
      </c>
      <c r="S37" s="7">
        <f>IF($F37="unclassified","N/A",(_xlfn.XLOOKUP($E37,[1]Sheet2!$A:$A,[1]Sheet2!AA:AA,"N/A",0,1)))</f>
        <v>1</v>
      </c>
      <c r="T37" s="7">
        <f>IF($F37="unclassified","N/A",(_xlfn.XLOOKUP($E37,[1]Sheet2!$A:$A,[1]Sheet2!AB:AB,"N/A",0,1)))</f>
        <v>1</v>
      </c>
      <c r="U37" s="35">
        <f>IF($F37="unclassified","N/A",(AVERAGE(Table325[[#This Row],[PO nr]:[Delivery Date]])))</f>
        <v>1</v>
      </c>
      <c r="V37" s="38"/>
      <c r="W37" s="38"/>
      <c r="X37" s="38"/>
      <c r="Y37" s="38"/>
      <c r="Z37" s="38"/>
    </row>
    <row r="38" spans="3:26" ht="15" customHeight="1" x14ac:dyDescent="0.3">
      <c r="C38" t="str">
        <f>_xlfn.XLOOKUP(Table325[[#This Row],[Customer]],'[1]Top 300'!C:C,'[1]Top 300'!A:A,"0",2,1)</f>
        <v>0</v>
      </c>
      <c r="D38" s="39" t="str">
        <f>_xlfn.XLOOKUP(Table325[[#This Row],[File Name]],'[1]Analyse 2 Detail 02-03'!A:A,'[1]Analyse 2 Detail 02-03'!R:R,"Not Found",0,1)</f>
        <v>Duomed Belgium NV/SA</v>
      </c>
      <c r="E38" s="31" t="s">
        <v>80</v>
      </c>
      <c r="F38" s="40" t="s">
        <v>31</v>
      </c>
      <c r="G38" s="41">
        <v>0</v>
      </c>
      <c r="H38" s="7">
        <f>IF($F38="unclassified","N/A",(_xlfn.XLOOKUP($E38,[1]Sheet2!$A:$A,[1]Sheet2!Q:Q,"N/A",0,1)))</f>
        <v>1</v>
      </c>
      <c r="I38" s="7">
        <f>IF($F38="unclassified","N/A",(_xlfn.XLOOKUP($E38,[1]Sheet2!$A:$A,[1]Sheet2!R:R,"N/A",0,1)))</f>
        <v>1</v>
      </c>
      <c r="J38" s="7">
        <f>IF($F38="unclassified","N/A",(_xlfn.XLOOKUP($E38,[1]Sheet2!$A:$A,[1]Sheet2!S:S,"N/A",0,1)))</f>
        <v>1</v>
      </c>
      <c r="K38" s="7">
        <f>IF($F38="unclassified","N/A",(_xlfn.XLOOKUP($E38,[1]Sheet2!$A:$A,[1]Sheet2!T:T,"N/A",0,1)))</f>
        <v>1</v>
      </c>
      <c r="L38" s="7">
        <f>IF($F38="unclassified","N/A",(_xlfn.XLOOKUP($E38,[1]Sheet2!$A:$A,[1]Sheet2!U:U,"N/A",0,1)))</f>
        <v>1</v>
      </c>
      <c r="M38" s="34">
        <f>IF($F38="unclassified","N/A",(_xlfn.XLOOKUP($E38,[1]Sheet2!$A:$A,[1]Sheet2!V:V,"N/A",0,1)))</f>
        <v>1</v>
      </c>
      <c r="N38" s="7"/>
      <c r="O38" s="7">
        <f>IF($F38="unclassified","N/A",(_xlfn.XLOOKUP($E38,[1]Sheet2!$A:$A,[1]Sheet2!W:W,"N/A",0,1)))</f>
        <v>1</v>
      </c>
      <c r="P38" s="7">
        <f>IF($F38="unclassified","N/A",(_xlfn.XLOOKUP($E38,[1]Sheet2!$A:$A,[1]Sheet2!X:X,"N/A",0,1)))</f>
        <v>1</v>
      </c>
      <c r="Q38" s="7">
        <f>IF($F38="unclassified","N/A",(_xlfn.XLOOKUP($E38,[1]Sheet2!$A:$A,[1]Sheet2!Y:Y,"N/A",0,1)))</f>
        <v>1</v>
      </c>
      <c r="R38" s="7">
        <f>IF($F38="unclassified","N/A",(_xlfn.XLOOKUP($E38,[1]Sheet2!$A:$A,[1]Sheet2!Z:Z,"N/A",0,1)))</f>
        <v>1</v>
      </c>
      <c r="S38" s="7">
        <f>IF($F38="unclassified","N/A",(_xlfn.XLOOKUP($E38,[1]Sheet2!$A:$A,[1]Sheet2!AA:AA,"N/A",0,1)))</f>
        <v>1</v>
      </c>
      <c r="T38" s="7">
        <f>IF($F38="unclassified","N/A",(_xlfn.XLOOKUP($E38,[1]Sheet2!$A:$A,[1]Sheet2!AB:AB,"N/A",0,1)))</f>
        <v>1</v>
      </c>
      <c r="U38" s="35">
        <f>IF($F38="unclassified","N/A",(AVERAGE(Table325[[#This Row],[PO nr]:[Delivery Date]])))</f>
        <v>1</v>
      </c>
      <c r="V38" s="38"/>
      <c r="W38" s="38"/>
      <c r="X38" s="38"/>
      <c r="Y38" s="38"/>
      <c r="Z38" s="38"/>
    </row>
    <row r="39" spans="3:26" ht="15" customHeight="1" x14ac:dyDescent="0.3">
      <c r="C39" t="str">
        <f>_xlfn.XLOOKUP(Table325[[#This Row],[Customer]],'[1]Top 300'!C:C,'[1]Top 300'!A:A,"0",2,1)</f>
        <v>0</v>
      </c>
      <c r="D39" s="39" t="str">
        <f>_xlfn.XLOOKUP(Table325[[#This Row],[File Name]],'[1]Analyse 2 Detail 02-03'!A:A,'[1]Analyse 2 Detail 02-03'!R:R,"Not Found",0,1)</f>
        <v>King Belgium SA/NV</v>
      </c>
      <c r="E39" s="31" t="s">
        <v>81</v>
      </c>
      <c r="F39" s="40" t="s">
        <v>31</v>
      </c>
      <c r="G39" s="41">
        <v>0</v>
      </c>
      <c r="H39" s="7">
        <f>IF($F39="unclassified","N/A",(_xlfn.XLOOKUP($E39,[1]Sheet2!$A:$A,[1]Sheet2!Q:Q,"N/A",0,1)))</f>
        <v>1</v>
      </c>
      <c r="I39" s="7">
        <f>IF($F39="unclassified","N/A",(_xlfn.XLOOKUP($E39,[1]Sheet2!$A:$A,[1]Sheet2!R:R,"N/A",0,1)))</f>
        <v>1</v>
      </c>
      <c r="J39" s="7">
        <f>IF($F39="unclassified","N/A",(_xlfn.XLOOKUP($E39,[1]Sheet2!$A:$A,[1]Sheet2!S:S,"N/A",0,1)))</f>
        <v>1</v>
      </c>
      <c r="K39" s="7">
        <f>IF($F39="unclassified","N/A",(_xlfn.XLOOKUP($E39,[1]Sheet2!$A:$A,[1]Sheet2!T:T,"N/A",0,1)))</f>
        <v>1</v>
      </c>
      <c r="L39" s="7">
        <f>IF($F39="unclassified","N/A",(_xlfn.XLOOKUP($E39,[1]Sheet2!$A:$A,[1]Sheet2!U:U,"N/A",0,1)))</f>
        <v>1</v>
      </c>
      <c r="M39" s="34">
        <f>IF($F39="unclassified","N/A",(_xlfn.XLOOKUP($E39,[1]Sheet2!$A:$A,[1]Sheet2!V:V,"N/A",0,1)))</f>
        <v>1</v>
      </c>
      <c r="N39" s="7"/>
      <c r="O39" s="7">
        <f>IF($F39="unclassified","N/A",(_xlfn.XLOOKUP($E39,[1]Sheet2!$A:$A,[1]Sheet2!W:W,"N/A",0,1)))</f>
        <v>1</v>
      </c>
      <c r="P39" s="7">
        <f>IF($F39="unclassified","N/A",(_xlfn.XLOOKUP($E39,[1]Sheet2!$A:$A,[1]Sheet2!X:X,"N/A",0,1)))</f>
        <v>1</v>
      </c>
      <c r="Q39" s="7">
        <f>IF($F39="unclassified","N/A",(_xlfn.XLOOKUP($E39,[1]Sheet2!$A:$A,[1]Sheet2!Y:Y,"N/A",0,1)))</f>
        <v>1</v>
      </c>
      <c r="R39" s="7">
        <f>IF($F39="unclassified","N/A",(_xlfn.XLOOKUP($E39,[1]Sheet2!$A:$A,[1]Sheet2!Z:Z,"N/A",0,1)))</f>
        <v>1</v>
      </c>
      <c r="S39" s="7">
        <f>IF($F39="unclassified","N/A",(_xlfn.XLOOKUP($E39,[1]Sheet2!$A:$A,[1]Sheet2!AA:AA,"N/A",0,1)))</f>
        <v>1</v>
      </c>
      <c r="T39" s="7">
        <f>IF($F39="unclassified","N/A",(_xlfn.XLOOKUP($E39,[1]Sheet2!$A:$A,[1]Sheet2!AB:AB,"N/A",0,1)))</f>
        <v>1</v>
      </c>
      <c r="U39" s="35">
        <f>IF($F39="unclassified","N/A",(AVERAGE(Table325[[#This Row],[PO nr]:[Delivery Date]])))</f>
        <v>1</v>
      </c>
      <c r="V39" s="38"/>
      <c r="W39" s="38"/>
      <c r="X39" s="38"/>
      <c r="Y39" s="38"/>
      <c r="Z39" s="38"/>
    </row>
    <row r="40" spans="3:26" ht="15" customHeight="1" x14ac:dyDescent="0.3">
      <c r="C40" t="str">
        <f>_xlfn.XLOOKUP(Table325[[#This Row],[Customer]],'[1]Top 300'!C:C,'[1]Top 300'!A:A,"0",2,1)</f>
        <v>0</v>
      </c>
      <c r="D40" s="39">
        <f>_xlfn.XLOOKUP(Table325[[#This Row],[File Name]],'[1]Analyse 2 Detail 02-03'!A:A,'[1]Analyse 2 Detail 02-03'!R:R,"Not Found",0,1)</f>
        <v>0</v>
      </c>
      <c r="E40" s="31" t="s">
        <v>82</v>
      </c>
      <c r="F40" s="40" t="s">
        <v>37</v>
      </c>
      <c r="G40" s="41">
        <v>0</v>
      </c>
      <c r="H40" s="7" t="str">
        <f>IF($F40="unclassified","N/A",(_xlfn.XLOOKUP($E40,[1]Sheet2!$A:$A,[1]Sheet2!Q:Q,"N/A",0,1)))</f>
        <v>N/A</v>
      </c>
      <c r="I40" s="7" t="str">
        <f>IF($F40="unclassified","N/A",(_xlfn.XLOOKUP($E40,[1]Sheet2!$A:$A,[1]Sheet2!R:R,"N/A",0,1)))</f>
        <v>N/A</v>
      </c>
      <c r="J40" s="7" t="str">
        <f>IF($F40="unclassified","N/A",(_xlfn.XLOOKUP($E40,[1]Sheet2!$A:$A,[1]Sheet2!S:S,"N/A",0,1)))</f>
        <v>N/A</v>
      </c>
      <c r="K40" s="7" t="str">
        <f>IF($F40="unclassified","N/A",(_xlfn.XLOOKUP($E40,[1]Sheet2!$A:$A,[1]Sheet2!T:T,"N/A",0,1)))</f>
        <v>N/A</v>
      </c>
      <c r="L40" s="7" t="str">
        <f>IF($F40="unclassified","N/A",(_xlfn.XLOOKUP($E40,[1]Sheet2!$A:$A,[1]Sheet2!U:U,"N/A",0,1)))</f>
        <v>N/A</v>
      </c>
      <c r="M40" s="7" t="str">
        <f>IF($F40="unclassified","N/A",(_xlfn.XLOOKUP($E40,[1]Sheet2!$A:$A,[1]Sheet2!V:V,"N/A",0,1)))</f>
        <v>N/A</v>
      </c>
      <c r="N40" s="7"/>
      <c r="O40" s="7" t="str">
        <f>IF($F40="unclassified","N/A",(_xlfn.XLOOKUP($E40,[1]Sheet2!$A:$A,[1]Sheet2!W:W,"N/A",0,1)))</f>
        <v>N/A</v>
      </c>
      <c r="P40" s="7" t="str">
        <f>IF($F40="unclassified","N/A",(_xlfn.XLOOKUP($E40,[1]Sheet2!$A:$A,[1]Sheet2!X:X,"N/A",0,1)))</f>
        <v>N/A</v>
      </c>
      <c r="Q40" s="7" t="str">
        <f>IF($F40="unclassified","N/A",(_xlfn.XLOOKUP($E40,[1]Sheet2!$A:$A,[1]Sheet2!Y:Y,"N/A",0,1)))</f>
        <v>N/A</v>
      </c>
      <c r="R40" s="7" t="str">
        <f>IF($F40="unclassified","N/A",(_xlfn.XLOOKUP($E40,[1]Sheet2!$A:$A,[1]Sheet2!Z:Z,"N/A",0,1)))</f>
        <v>N/A</v>
      </c>
      <c r="S40" s="7" t="str">
        <f>IF($F40="unclassified","N/A",(_xlfn.XLOOKUP($E40,[1]Sheet2!$A:$A,[1]Sheet2!AA:AA,"N/A",0,1)))</f>
        <v>N/A</v>
      </c>
      <c r="T40" s="7" t="str">
        <f>IF($F40="unclassified","N/A",(_xlfn.XLOOKUP($E40,[1]Sheet2!$A:$A,[1]Sheet2!AB:AB,"N/A",0,1)))</f>
        <v>N/A</v>
      </c>
      <c r="U40" s="35" t="str">
        <f>IF($F40="unclassified","N/A",(AVERAGE(Table325[[#This Row],[PO nr]:[Delivery Date]])))</f>
        <v>N/A</v>
      </c>
      <c r="V40" s="38" t="s">
        <v>83</v>
      </c>
      <c r="W40" s="38" t="s">
        <v>39</v>
      </c>
      <c r="X40" s="38"/>
      <c r="Y40" s="38"/>
      <c r="Z40" s="38"/>
    </row>
    <row r="41" spans="3:26" ht="15" customHeight="1" x14ac:dyDescent="0.3">
      <c r="C41" t="str">
        <f>_xlfn.XLOOKUP(Table325[[#This Row],[Customer]],'[1]Top 300'!C:C,'[1]Top 300'!A:A,"0",2,1)</f>
        <v>0</v>
      </c>
      <c r="D41" s="39" t="str">
        <f>_xlfn.XLOOKUP(Table325[[#This Row],[File Name]],'[1]Analyse 2 Detail 02-03'!A:A,'[1]Analyse 2 Detail 02-03'!R:R,"Not Found",0,1)</f>
        <v>Medline International Netherlands B.V.</v>
      </c>
      <c r="E41" s="31" t="s">
        <v>84</v>
      </c>
      <c r="F41" s="40" t="s">
        <v>31</v>
      </c>
      <c r="G41" s="41">
        <v>1</v>
      </c>
      <c r="H41" s="7">
        <f>IF($F41="unclassified","N/A",(_xlfn.XLOOKUP($E41,[1]Sheet2!$A:$A,[1]Sheet2!Q:Q,"N/A",0,1)))</f>
        <v>1</v>
      </c>
      <c r="I41" s="7">
        <f>IF($F41="unclassified","N/A",(_xlfn.XLOOKUP($E41,[1]Sheet2!$A:$A,[1]Sheet2!R:R,"N/A",0,1)))</f>
        <v>1</v>
      </c>
      <c r="J41" s="7">
        <f>IF($F41="unclassified","N/A",(_xlfn.XLOOKUP($E41,[1]Sheet2!$A:$A,[1]Sheet2!S:S,"N/A",0,1)))</f>
        <v>1</v>
      </c>
      <c r="K41" s="7">
        <f>IF($F41="unclassified","N/A",(_xlfn.XLOOKUP($E41,[1]Sheet2!$A:$A,[1]Sheet2!T:T,"N/A",0,1)))</f>
        <v>1</v>
      </c>
      <c r="L41" s="7">
        <f>IF($F41="unclassified","N/A",(_xlfn.XLOOKUP($E41,[1]Sheet2!$A:$A,[1]Sheet2!U:U,"N/A",0,1)))</f>
        <v>1</v>
      </c>
      <c r="M41" s="34">
        <f>IF($F41="unclassified","N/A",(_xlfn.XLOOKUP($E41,[1]Sheet2!$A:$A,[1]Sheet2!V:V,"N/A",0,1)))</f>
        <v>1</v>
      </c>
      <c r="N41" s="7"/>
      <c r="O41" s="7">
        <f>IF($F41="unclassified","N/A",(_xlfn.XLOOKUP($E41,[1]Sheet2!$A:$A,[1]Sheet2!W:W,"N/A",0,1)))</f>
        <v>1</v>
      </c>
      <c r="P41" s="7">
        <f>IF($F41="unclassified","N/A",(_xlfn.XLOOKUP($E41,[1]Sheet2!$A:$A,[1]Sheet2!X:X,"N/A",0,1)))</f>
        <v>1</v>
      </c>
      <c r="Q41" s="7">
        <f>IF($F41="unclassified","N/A",(_xlfn.XLOOKUP($E41,[1]Sheet2!$A:$A,[1]Sheet2!Y:Y,"N/A",0,1)))</f>
        <v>1</v>
      </c>
      <c r="R41" s="7">
        <f>IF($F41="unclassified","N/A",(_xlfn.XLOOKUP($E41,[1]Sheet2!$A:$A,[1]Sheet2!Z:Z,"N/A",0,1)))</f>
        <v>1</v>
      </c>
      <c r="S41" s="7">
        <f>IF($F41="unclassified","N/A",(_xlfn.XLOOKUP($E41,[1]Sheet2!$A:$A,[1]Sheet2!AA:AA,"N/A",0,1)))</f>
        <v>1</v>
      </c>
      <c r="T41" s="7">
        <f>IF($F41="unclassified","N/A",(_xlfn.XLOOKUP($E41,[1]Sheet2!$A:$A,[1]Sheet2!AB:AB,"N/A",0,1)))</f>
        <v>1</v>
      </c>
      <c r="U41" s="35">
        <f>IF($F41="unclassified","N/A",(AVERAGE(Table325[[#This Row],[PO nr]:[Delivery Date]])))</f>
        <v>1</v>
      </c>
      <c r="V41" s="38"/>
      <c r="W41" s="38"/>
      <c r="X41" s="38"/>
      <c r="Y41" s="38"/>
      <c r="Z41" s="38" t="s">
        <v>85</v>
      </c>
    </row>
    <row r="42" spans="3:26" ht="15" customHeight="1" x14ac:dyDescent="0.3">
      <c r="C42" t="str">
        <f>_xlfn.XLOOKUP(Table325[[#This Row],[Customer]],'[1]Top 300'!C:C,'[1]Top 300'!A:A,"0",2,1)</f>
        <v>0</v>
      </c>
      <c r="D42" s="39" t="str">
        <f>_xlfn.XLOOKUP(Table325[[#This Row],[File Name]],'[1]Analyse 2 Detail 02-03'!A:A,'[1]Analyse 2 Detail 02-03'!R:R,"Not Found",0,1)</f>
        <v>N.V. PAUL HARTMANN S.A.</v>
      </c>
      <c r="E42" s="31" t="s">
        <v>86</v>
      </c>
      <c r="F42" s="40" t="s">
        <v>31</v>
      </c>
      <c r="G42" s="41">
        <v>0</v>
      </c>
      <c r="H42" s="7">
        <f>IF($F42="unclassified","N/A",(_xlfn.XLOOKUP($E42,[1]Sheet2!$A:$A,[1]Sheet2!Q:Q,"N/A",0,1)))</f>
        <v>1</v>
      </c>
      <c r="I42" s="7">
        <f>IF($F42="unclassified","N/A",(_xlfn.XLOOKUP($E42,[1]Sheet2!$A:$A,[1]Sheet2!R:R,"N/A",0,1)))</f>
        <v>1</v>
      </c>
      <c r="J42" s="7">
        <f>IF($F42="unclassified","N/A",(_xlfn.XLOOKUP($E42,[1]Sheet2!$A:$A,[1]Sheet2!S:S,"N/A",0,1)))</f>
        <v>1</v>
      </c>
      <c r="K42" s="7">
        <f>IF($F42="unclassified","N/A",(_xlfn.XLOOKUP($E42,[1]Sheet2!$A:$A,[1]Sheet2!T:T,"N/A",0,1)))</f>
        <v>1</v>
      </c>
      <c r="L42" s="7">
        <f>IF($F42="unclassified","N/A",(_xlfn.XLOOKUP($E42,[1]Sheet2!$A:$A,[1]Sheet2!U:U,"N/A",0,1)))</f>
        <v>1</v>
      </c>
      <c r="M42" s="34">
        <f>IF($F42="unclassified","N/A",(_xlfn.XLOOKUP($E42,[1]Sheet2!$A:$A,[1]Sheet2!V:V,"N/A",0,1)))</f>
        <v>1</v>
      </c>
      <c r="N42" s="7"/>
      <c r="O42" s="7">
        <f>IF($F42="unclassified","N/A",(_xlfn.XLOOKUP($E42,[1]Sheet2!$A:$A,[1]Sheet2!W:W,"N/A",0,1)))</f>
        <v>1</v>
      </c>
      <c r="P42" s="7">
        <f>IF($F42="unclassified","N/A",(_xlfn.XLOOKUP($E42,[1]Sheet2!$A:$A,[1]Sheet2!X:X,"N/A",0,1)))</f>
        <v>1</v>
      </c>
      <c r="Q42" s="7">
        <f>IF($F42="unclassified","N/A",(_xlfn.XLOOKUP($E42,[1]Sheet2!$A:$A,[1]Sheet2!Y:Y,"N/A",0,1)))</f>
        <v>1</v>
      </c>
      <c r="R42" s="7">
        <f>IF($F42="unclassified","N/A",(_xlfn.XLOOKUP($E42,[1]Sheet2!$A:$A,[1]Sheet2!Z:Z,"N/A",0,1)))</f>
        <v>1</v>
      </c>
      <c r="S42" s="7">
        <f>IF($F42="unclassified","N/A",(_xlfn.XLOOKUP($E42,[1]Sheet2!$A:$A,[1]Sheet2!AA:AA,"N/A",0,1)))</f>
        <v>1</v>
      </c>
      <c r="T42" s="7">
        <f>IF($F42="unclassified","N/A",(_xlfn.XLOOKUP($E42,[1]Sheet2!$A:$A,[1]Sheet2!AB:AB,"N/A",0,1)))</f>
        <v>1</v>
      </c>
      <c r="U42" s="35">
        <f>IF($F42="unclassified","N/A",(AVERAGE(Table325[[#This Row],[PO nr]:[Delivery Date]])))</f>
        <v>1</v>
      </c>
      <c r="V42" s="38"/>
      <c r="W42" s="38"/>
      <c r="X42" s="38"/>
      <c r="Y42" s="38"/>
      <c r="Z42" s="38"/>
    </row>
    <row r="43" spans="3:26" ht="15" customHeight="1" x14ac:dyDescent="0.3">
      <c r="C43" t="str">
        <f>_xlfn.XLOOKUP(Table325[[#This Row],[Customer]],'[1]Top 300'!C:C,'[1]Top 300'!A:A,"0",2,1)</f>
        <v>0</v>
      </c>
      <c r="D43" s="39" t="str">
        <f>_xlfn.XLOOKUP(Table325[[#This Row],[File Name]],'[1]Analyse 2 Detail 02-03'!A:A,'[1]Analyse 2 Detail 02-03'!R:R,"Not Found",0,1)</f>
        <v>N.V. PAUL HARTMANN S.A.</v>
      </c>
      <c r="E43" s="31" t="s">
        <v>86</v>
      </c>
      <c r="F43" s="40" t="s">
        <v>31</v>
      </c>
      <c r="G43" s="41">
        <v>0</v>
      </c>
      <c r="H43" s="7">
        <f>IF($F43="unclassified","N/A",(_xlfn.XLOOKUP($E43,[1]Sheet2!$A:$A,[1]Sheet2!Q:Q,"N/A",0,1)))</f>
        <v>1</v>
      </c>
      <c r="I43" s="7">
        <f>IF($F43="unclassified","N/A",(_xlfn.XLOOKUP($E43,[1]Sheet2!$A:$A,[1]Sheet2!R:R,"N/A",0,1)))</f>
        <v>1</v>
      </c>
      <c r="J43" s="7">
        <f>IF($F43="unclassified","N/A",(_xlfn.XLOOKUP($E43,[1]Sheet2!$A:$A,[1]Sheet2!S:S,"N/A",0,1)))</f>
        <v>1</v>
      </c>
      <c r="K43" s="7">
        <f>IF($F43="unclassified","N/A",(_xlfn.XLOOKUP($E43,[1]Sheet2!$A:$A,[1]Sheet2!T:T,"N/A",0,1)))</f>
        <v>1</v>
      </c>
      <c r="L43" s="7">
        <f>IF($F43="unclassified","N/A",(_xlfn.XLOOKUP($E43,[1]Sheet2!$A:$A,[1]Sheet2!U:U,"N/A",0,1)))</f>
        <v>1</v>
      </c>
      <c r="M43" s="34">
        <f>IF($F43="unclassified","N/A",(_xlfn.XLOOKUP($E43,[1]Sheet2!$A:$A,[1]Sheet2!V:V,"N/A",0,1)))</f>
        <v>1</v>
      </c>
      <c r="N43" s="7"/>
      <c r="O43" s="7">
        <f>IF($F43="unclassified","N/A",(_xlfn.XLOOKUP($E43,[1]Sheet2!$A:$A,[1]Sheet2!W:W,"N/A",0,1)))</f>
        <v>1</v>
      </c>
      <c r="P43" s="7">
        <f>IF($F43="unclassified","N/A",(_xlfn.XLOOKUP($E43,[1]Sheet2!$A:$A,[1]Sheet2!X:X,"N/A",0,1)))</f>
        <v>1</v>
      </c>
      <c r="Q43" s="7">
        <f>IF($F43="unclassified","N/A",(_xlfn.XLOOKUP($E43,[1]Sheet2!$A:$A,[1]Sheet2!Y:Y,"N/A",0,1)))</f>
        <v>1</v>
      </c>
      <c r="R43" s="7">
        <f>IF($F43="unclassified","N/A",(_xlfn.XLOOKUP($E43,[1]Sheet2!$A:$A,[1]Sheet2!Z:Z,"N/A",0,1)))</f>
        <v>1</v>
      </c>
      <c r="S43" s="7">
        <f>IF($F43="unclassified","N/A",(_xlfn.XLOOKUP($E43,[1]Sheet2!$A:$A,[1]Sheet2!AA:AA,"N/A",0,1)))</f>
        <v>1</v>
      </c>
      <c r="T43" s="7">
        <f>IF($F43="unclassified","N/A",(_xlfn.XLOOKUP($E43,[1]Sheet2!$A:$A,[1]Sheet2!AB:AB,"N/A",0,1)))</f>
        <v>1</v>
      </c>
      <c r="U43" s="35">
        <f>IF($F43="unclassified","N/A",(AVERAGE(Table325[[#This Row],[PO nr]:[Delivery Date]])))</f>
        <v>1</v>
      </c>
      <c r="V43" s="38"/>
      <c r="W43" s="38"/>
      <c r="X43" s="38"/>
      <c r="Y43" s="38"/>
      <c r="Z43" s="38"/>
    </row>
    <row r="44" spans="3:26" ht="15" customHeight="1" x14ac:dyDescent="0.3">
      <c r="C44" t="str">
        <f>_xlfn.XLOOKUP(Table325[[#This Row],[Customer]],'[1]Top 300'!C:C,'[1]Top 300'!A:A,"0",2,1)</f>
        <v>0</v>
      </c>
      <c r="D44" s="39" t="str">
        <f>_xlfn.XLOOKUP(Table325[[#This Row],[File Name]],'[1]Analyse 2 Detail 02-03'!A:A,'[1]Analyse 2 Detail 02-03'!R:R,"Not Found",0,1)</f>
        <v>N.V. PAUL HARTMANN S.A.</v>
      </c>
      <c r="E44" s="31" t="s">
        <v>86</v>
      </c>
      <c r="F44" s="40" t="s">
        <v>31</v>
      </c>
      <c r="G44" s="41">
        <v>0</v>
      </c>
      <c r="H44" s="7">
        <f>IF($F44="unclassified","N/A",(_xlfn.XLOOKUP($E44,[1]Sheet2!$A:$A,[1]Sheet2!Q:Q,"N/A",0,1)))</f>
        <v>1</v>
      </c>
      <c r="I44" s="7">
        <f>IF($F44="unclassified","N/A",(_xlfn.XLOOKUP($E44,[1]Sheet2!$A:$A,[1]Sheet2!R:R,"N/A",0,1)))</f>
        <v>1</v>
      </c>
      <c r="J44" s="7">
        <f>IF($F44="unclassified","N/A",(_xlfn.XLOOKUP($E44,[1]Sheet2!$A:$A,[1]Sheet2!S:S,"N/A",0,1)))</f>
        <v>1</v>
      </c>
      <c r="K44" s="7">
        <f>IF($F44="unclassified","N/A",(_xlfn.XLOOKUP($E44,[1]Sheet2!$A:$A,[1]Sheet2!T:T,"N/A",0,1)))</f>
        <v>1</v>
      </c>
      <c r="L44" s="7">
        <f>IF($F44="unclassified","N/A",(_xlfn.XLOOKUP($E44,[1]Sheet2!$A:$A,[1]Sheet2!U:U,"N/A",0,1)))</f>
        <v>1</v>
      </c>
      <c r="M44" s="34">
        <f>IF($F44="unclassified","N/A",(_xlfn.XLOOKUP($E44,[1]Sheet2!$A:$A,[1]Sheet2!V:V,"N/A",0,1)))</f>
        <v>1</v>
      </c>
      <c r="N44" s="7"/>
      <c r="O44" s="7">
        <f>IF($F44="unclassified","N/A",(_xlfn.XLOOKUP($E44,[1]Sheet2!$A:$A,[1]Sheet2!W:W,"N/A",0,1)))</f>
        <v>1</v>
      </c>
      <c r="P44" s="7">
        <f>IF($F44="unclassified","N/A",(_xlfn.XLOOKUP($E44,[1]Sheet2!$A:$A,[1]Sheet2!X:X,"N/A",0,1)))</f>
        <v>1</v>
      </c>
      <c r="Q44" s="7">
        <f>IF($F44="unclassified","N/A",(_xlfn.XLOOKUP($E44,[1]Sheet2!$A:$A,[1]Sheet2!Y:Y,"N/A",0,1)))</f>
        <v>1</v>
      </c>
      <c r="R44" s="7">
        <f>IF($F44="unclassified","N/A",(_xlfn.XLOOKUP($E44,[1]Sheet2!$A:$A,[1]Sheet2!Z:Z,"N/A",0,1)))</f>
        <v>1</v>
      </c>
      <c r="S44" s="7">
        <f>IF($F44="unclassified","N/A",(_xlfn.XLOOKUP($E44,[1]Sheet2!$A:$A,[1]Sheet2!AA:AA,"N/A",0,1)))</f>
        <v>1</v>
      </c>
      <c r="T44" s="7">
        <f>IF($F44="unclassified","N/A",(_xlfn.XLOOKUP($E44,[1]Sheet2!$A:$A,[1]Sheet2!AB:AB,"N/A",0,1)))</f>
        <v>1</v>
      </c>
      <c r="U44" s="35">
        <f>IF($F44="unclassified","N/A",(AVERAGE(Table325[[#This Row],[PO nr]:[Delivery Date]])))</f>
        <v>1</v>
      </c>
      <c r="V44" s="38"/>
      <c r="W44" s="38"/>
      <c r="X44" s="38"/>
      <c r="Y44" s="38"/>
      <c r="Z44" s="38"/>
    </row>
    <row r="45" spans="3:26" ht="15" customHeight="1" x14ac:dyDescent="0.3">
      <c r="C45" t="str">
        <f>_xlfn.XLOOKUP(Table325[[#This Row],[Customer]],'[1]Top 300'!C:C,'[1]Top 300'!A:A,"0",2,1)</f>
        <v>0</v>
      </c>
      <c r="D45" s="39" t="str">
        <f>_xlfn.XLOOKUP(Table325[[#This Row],[File Name]],'[1]Analyse 2 Detail 02-03'!A:A,'[1]Analyse 2 Detail 02-03'!R:R,"Not Found",0,1)</f>
        <v>N.V. PAUL HARTMANN S.A.</v>
      </c>
      <c r="E45" s="31" t="s">
        <v>86</v>
      </c>
      <c r="F45" s="40" t="s">
        <v>31</v>
      </c>
      <c r="G45" s="41">
        <v>0</v>
      </c>
      <c r="H45" s="7">
        <f>IF($F45="unclassified","N/A",(_xlfn.XLOOKUP($E45,[1]Sheet2!$A:$A,[1]Sheet2!Q:Q,"N/A",0,1)))</f>
        <v>1</v>
      </c>
      <c r="I45" s="7">
        <f>IF($F45="unclassified","N/A",(_xlfn.XLOOKUP($E45,[1]Sheet2!$A:$A,[1]Sheet2!R:R,"N/A",0,1)))</f>
        <v>1</v>
      </c>
      <c r="J45" s="7">
        <f>IF($F45="unclassified","N/A",(_xlfn.XLOOKUP($E45,[1]Sheet2!$A:$A,[1]Sheet2!S:S,"N/A",0,1)))</f>
        <v>1</v>
      </c>
      <c r="K45" s="7">
        <f>IF($F45="unclassified","N/A",(_xlfn.XLOOKUP($E45,[1]Sheet2!$A:$A,[1]Sheet2!T:T,"N/A",0,1)))</f>
        <v>1</v>
      </c>
      <c r="L45" s="7">
        <f>IF($F45="unclassified","N/A",(_xlfn.XLOOKUP($E45,[1]Sheet2!$A:$A,[1]Sheet2!U:U,"N/A",0,1)))</f>
        <v>1</v>
      </c>
      <c r="M45" s="34">
        <f>IF($F45="unclassified","N/A",(_xlfn.XLOOKUP($E45,[1]Sheet2!$A:$A,[1]Sheet2!V:V,"N/A",0,1)))</f>
        <v>1</v>
      </c>
      <c r="N45" s="7"/>
      <c r="O45" s="7">
        <f>IF($F45="unclassified","N/A",(_xlfn.XLOOKUP($E45,[1]Sheet2!$A:$A,[1]Sheet2!W:W,"N/A",0,1)))</f>
        <v>1</v>
      </c>
      <c r="P45" s="7">
        <f>IF($F45="unclassified","N/A",(_xlfn.XLOOKUP($E45,[1]Sheet2!$A:$A,[1]Sheet2!X:X,"N/A",0,1)))</f>
        <v>1</v>
      </c>
      <c r="Q45" s="7">
        <f>IF($F45="unclassified","N/A",(_xlfn.XLOOKUP($E45,[1]Sheet2!$A:$A,[1]Sheet2!Y:Y,"N/A",0,1)))</f>
        <v>1</v>
      </c>
      <c r="R45" s="7">
        <f>IF($F45="unclassified","N/A",(_xlfn.XLOOKUP($E45,[1]Sheet2!$A:$A,[1]Sheet2!Z:Z,"N/A",0,1)))</f>
        <v>1</v>
      </c>
      <c r="S45" s="7">
        <f>IF($F45="unclassified","N/A",(_xlfn.XLOOKUP($E45,[1]Sheet2!$A:$A,[1]Sheet2!AA:AA,"N/A",0,1)))</f>
        <v>1</v>
      </c>
      <c r="T45" s="7">
        <f>IF($F45="unclassified","N/A",(_xlfn.XLOOKUP($E45,[1]Sheet2!$A:$A,[1]Sheet2!AB:AB,"N/A",0,1)))</f>
        <v>1</v>
      </c>
      <c r="U45" s="35">
        <f>IF($F45="unclassified","N/A",(AVERAGE(Table325[[#This Row],[PO nr]:[Delivery Date]])))</f>
        <v>1</v>
      </c>
      <c r="V45" s="38"/>
      <c r="W45" s="38"/>
      <c r="X45" s="38"/>
      <c r="Y45" s="38"/>
      <c r="Z45" s="38"/>
    </row>
    <row r="46" spans="3:26" ht="15" customHeight="1" x14ac:dyDescent="0.3">
      <c r="C46" t="str">
        <f>_xlfn.XLOOKUP(Table325[[#This Row],[Customer]],'[1]Top 300'!C:C,'[1]Top 300'!A:A,"0",2,1)</f>
        <v>0</v>
      </c>
      <c r="D46" s="39" t="str">
        <f>_xlfn.XLOOKUP(Table325[[#This Row],[File Name]],'[1]Analyse 2 Detail 02-03'!A:A,'[1]Analyse 2 Detail 02-03'!R:R,"Not Found",0,1)</f>
        <v>Paul Hartmann B.V.</v>
      </c>
      <c r="E46" s="31" t="s">
        <v>87</v>
      </c>
      <c r="F46" s="40" t="s">
        <v>31</v>
      </c>
      <c r="G46" s="41">
        <v>0</v>
      </c>
      <c r="H46" s="7">
        <f>IF($F46="unclassified","N/A",(_xlfn.XLOOKUP($E46,[1]Sheet2!$A:$A,[1]Sheet2!Q:Q,"N/A",0,1)))</f>
        <v>1</v>
      </c>
      <c r="I46" s="7">
        <f>IF($F46="unclassified","N/A",(_xlfn.XLOOKUP($E46,[1]Sheet2!$A:$A,[1]Sheet2!R:R,"N/A",0,1)))</f>
        <v>1</v>
      </c>
      <c r="J46" s="7">
        <f>IF($F46="unclassified","N/A",(_xlfn.XLOOKUP($E46,[1]Sheet2!$A:$A,[1]Sheet2!S:S,"N/A",0,1)))</f>
        <v>1</v>
      </c>
      <c r="K46" s="7">
        <f>IF($F46="unclassified","N/A",(_xlfn.XLOOKUP($E46,[1]Sheet2!$A:$A,[1]Sheet2!T:T,"N/A",0,1)))</f>
        <v>1</v>
      </c>
      <c r="L46" s="7">
        <f>IF($F46="unclassified","N/A",(_xlfn.XLOOKUP($E46,[1]Sheet2!$A:$A,[1]Sheet2!U:U,"N/A",0,1)))</f>
        <v>1</v>
      </c>
      <c r="M46" s="34">
        <f>IF($F46="unclassified","N/A",(_xlfn.XLOOKUP($E46,[1]Sheet2!$A:$A,[1]Sheet2!V:V,"N/A",0,1)))</f>
        <v>1</v>
      </c>
      <c r="N46" s="7"/>
      <c r="O46" s="7">
        <f>IF($F46="unclassified","N/A",(_xlfn.XLOOKUP($E46,[1]Sheet2!$A:$A,[1]Sheet2!W:W,"N/A",0,1)))</f>
        <v>1</v>
      </c>
      <c r="P46" s="7">
        <f>IF($F46="unclassified","N/A",(_xlfn.XLOOKUP($E46,[1]Sheet2!$A:$A,[1]Sheet2!X:X,"N/A",0,1)))</f>
        <v>1</v>
      </c>
      <c r="Q46" s="7">
        <f>IF($F46="unclassified","N/A",(_xlfn.XLOOKUP($E46,[1]Sheet2!$A:$A,[1]Sheet2!Y:Y,"N/A",0,1)))</f>
        <v>1</v>
      </c>
      <c r="R46" s="7">
        <f>IF($F46="unclassified","N/A",(_xlfn.XLOOKUP($E46,[1]Sheet2!$A:$A,[1]Sheet2!Z:Z,"N/A",0,1)))</f>
        <v>1</v>
      </c>
      <c r="S46" s="7">
        <f>IF($F46="unclassified","N/A",(_xlfn.XLOOKUP($E46,[1]Sheet2!$A:$A,[1]Sheet2!AA:AA,"N/A",0,1)))</f>
        <v>1</v>
      </c>
      <c r="T46" s="7">
        <f>IF($F46="unclassified","N/A",(_xlfn.XLOOKUP($E46,[1]Sheet2!$A:$A,[1]Sheet2!AB:AB,"N/A",0,1)))</f>
        <v>1</v>
      </c>
      <c r="U46" s="35">
        <f>IF($F46="unclassified","N/A",(AVERAGE(Table325[[#This Row],[PO nr]:[Delivery Date]])))</f>
        <v>1</v>
      </c>
      <c r="V46" s="38"/>
      <c r="W46" s="38"/>
      <c r="X46" s="38"/>
      <c r="Y46" s="38"/>
      <c r="Z46" s="38"/>
    </row>
    <row r="47" spans="3:26" ht="15" customHeight="1" x14ac:dyDescent="0.3">
      <c r="C47" t="str">
        <f>_xlfn.XLOOKUP(Table325[[#This Row],[Customer]],'[1]Top 300'!C:C,'[1]Top 300'!A:A,"0",2,1)</f>
        <v>0</v>
      </c>
      <c r="D47" s="39" t="str">
        <f>_xlfn.XLOOKUP(Table325[[#This Row],[File Name]],'[1]Analyse 2 Detail 02-03'!A:A,'[1]Analyse 2 Detail 02-03'!R:R,"Not Found",0,1)</f>
        <v>Paul Hartmann B.V.</v>
      </c>
      <c r="E47" s="31" t="s">
        <v>88</v>
      </c>
      <c r="F47" s="40" t="s">
        <v>31</v>
      </c>
      <c r="G47" s="41">
        <v>0</v>
      </c>
      <c r="H47" s="7">
        <f>IF($F47="unclassified","N/A",(_xlfn.XLOOKUP($E47,[1]Sheet2!$A:$A,[1]Sheet2!Q:Q,"N/A",0,1)))</f>
        <v>1</v>
      </c>
      <c r="I47" s="7">
        <f>IF($F47="unclassified","N/A",(_xlfn.XLOOKUP($E47,[1]Sheet2!$A:$A,[1]Sheet2!R:R,"N/A",0,1)))</f>
        <v>1</v>
      </c>
      <c r="J47" s="7">
        <f>IF($F47="unclassified","N/A",(_xlfn.XLOOKUP($E47,[1]Sheet2!$A:$A,[1]Sheet2!S:S,"N/A",0,1)))</f>
        <v>1</v>
      </c>
      <c r="K47" s="7">
        <f>IF($F47="unclassified","N/A",(_xlfn.XLOOKUP($E47,[1]Sheet2!$A:$A,[1]Sheet2!T:T,"N/A",0,1)))</f>
        <v>1</v>
      </c>
      <c r="L47" s="7">
        <f>IF($F47="unclassified","N/A",(_xlfn.XLOOKUP($E47,[1]Sheet2!$A:$A,[1]Sheet2!U:U,"N/A",0,1)))</f>
        <v>1</v>
      </c>
      <c r="M47" s="34">
        <f>IF($F47="unclassified","N/A",(_xlfn.XLOOKUP($E47,[1]Sheet2!$A:$A,[1]Sheet2!V:V,"N/A",0,1)))</f>
        <v>1</v>
      </c>
      <c r="N47" s="7"/>
      <c r="O47" s="7">
        <f>IF($F47="unclassified","N/A",(_xlfn.XLOOKUP($E47,[1]Sheet2!$A:$A,[1]Sheet2!W:W,"N/A",0,1)))</f>
        <v>1</v>
      </c>
      <c r="P47" s="7">
        <f>IF($F47="unclassified","N/A",(_xlfn.XLOOKUP($E47,[1]Sheet2!$A:$A,[1]Sheet2!X:X,"N/A",0,1)))</f>
        <v>1</v>
      </c>
      <c r="Q47" s="7">
        <f>IF($F47="unclassified","N/A",(_xlfn.XLOOKUP($E47,[1]Sheet2!$A:$A,[1]Sheet2!Y:Y,"N/A",0,1)))</f>
        <v>1</v>
      </c>
      <c r="R47" s="7">
        <f>IF($F47="unclassified","N/A",(_xlfn.XLOOKUP($E47,[1]Sheet2!$A:$A,[1]Sheet2!Z:Z,"N/A",0,1)))</f>
        <v>1</v>
      </c>
      <c r="S47" s="7">
        <f>IF($F47="unclassified","N/A",(_xlfn.XLOOKUP($E47,[1]Sheet2!$A:$A,[1]Sheet2!AA:AA,"N/A",0,1)))</f>
        <v>1</v>
      </c>
      <c r="T47" s="7">
        <f>IF($F47="unclassified","N/A",(_xlfn.XLOOKUP($E47,[1]Sheet2!$A:$A,[1]Sheet2!AB:AB,"N/A",0,1)))</f>
        <v>1</v>
      </c>
      <c r="U47" s="35">
        <f>IF($F47="unclassified","N/A",(AVERAGE(Table325[[#This Row],[PO nr]:[Delivery Date]])))</f>
        <v>1</v>
      </c>
      <c r="V47" s="38"/>
      <c r="W47" s="38"/>
      <c r="X47" s="38"/>
      <c r="Y47" s="38"/>
      <c r="Z47" s="38"/>
    </row>
    <row r="48" spans="3:26" ht="15" customHeight="1" x14ac:dyDescent="0.3">
      <c r="C48" t="str">
        <f>_xlfn.XLOOKUP(Table325[[#This Row],[Customer]],'[1]Top 300'!C:C,'[1]Top 300'!A:A,"0",2,1)</f>
        <v>0</v>
      </c>
      <c r="D48" s="39" t="str">
        <f>_xlfn.XLOOKUP(Table325[[#This Row],[File Name]],'[1]Analyse 2 Detail 02-03'!A:A,'[1]Analyse 2 Detail 02-03'!R:R,"Not Found",0,1)</f>
        <v>Paul Hartmann B.V.</v>
      </c>
      <c r="E48" s="31" t="s">
        <v>89</v>
      </c>
      <c r="F48" s="40" t="s">
        <v>31</v>
      </c>
      <c r="G48" s="41">
        <v>0</v>
      </c>
      <c r="H48" s="7">
        <f>IF($F48="unclassified","N/A",(_xlfn.XLOOKUP($E48,[1]Sheet2!$A:$A,[1]Sheet2!Q:Q,"N/A",0,1)))</f>
        <v>1</v>
      </c>
      <c r="I48" s="7">
        <f>IF($F48="unclassified","N/A",(_xlfn.XLOOKUP($E48,[1]Sheet2!$A:$A,[1]Sheet2!R:R,"N/A",0,1)))</f>
        <v>1</v>
      </c>
      <c r="J48" s="7">
        <f>IF($F48="unclassified","N/A",(_xlfn.XLOOKUP($E48,[1]Sheet2!$A:$A,[1]Sheet2!S:S,"N/A",0,1)))</f>
        <v>1</v>
      </c>
      <c r="K48" s="7">
        <f>IF($F48="unclassified","N/A",(_xlfn.XLOOKUP($E48,[1]Sheet2!$A:$A,[1]Sheet2!T:T,"N/A",0,1)))</f>
        <v>1</v>
      </c>
      <c r="L48" s="7">
        <f>IF($F48="unclassified","N/A",(_xlfn.XLOOKUP($E48,[1]Sheet2!$A:$A,[1]Sheet2!U:U,"N/A",0,1)))</f>
        <v>1</v>
      </c>
      <c r="M48" s="34">
        <f>IF($F48="unclassified","N/A",(_xlfn.XLOOKUP($E48,[1]Sheet2!$A:$A,[1]Sheet2!V:V,"N/A",0,1)))</f>
        <v>1</v>
      </c>
      <c r="N48" s="7"/>
      <c r="O48" s="7">
        <f>IF($F48="unclassified","N/A",(_xlfn.XLOOKUP($E48,[1]Sheet2!$A:$A,[1]Sheet2!W:W,"N/A",0,1)))</f>
        <v>1</v>
      </c>
      <c r="P48" s="7">
        <f>IF($F48="unclassified","N/A",(_xlfn.XLOOKUP($E48,[1]Sheet2!$A:$A,[1]Sheet2!X:X,"N/A",0,1)))</f>
        <v>1</v>
      </c>
      <c r="Q48" s="7">
        <f>IF($F48="unclassified","N/A",(_xlfn.XLOOKUP($E48,[1]Sheet2!$A:$A,[1]Sheet2!Y:Y,"N/A",0,1)))</f>
        <v>1</v>
      </c>
      <c r="R48" s="7">
        <f>IF($F48="unclassified","N/A",(_xlfn.XLOOKUP($E48,[1]Sheet2!$A:$A,[1]Sheet2!Z:Z,"N/A",0,1)))</f>
        <v>1</v>
      </c>
      <c r="S48" s="7">
        <f>IF($F48="unclassified","N/A",(_xlfn.XLOOKUP($E48,[1]Sheet2!$A:$A,[1]Sheet2!AA:AA,"N/A",0,1)))</f>
        <v>1</v>
      </c>
      <c r="T48" s="7">
        <f>IF($F48="unclassified","N/A",(_xlfn.XLOOKUP($E48,[1]Sheet2!$A:$A,[1]Sheet2!AB:AB,"N/A",0,1)))</f>
        <v>1</v>
      </c>
      <c r="U48" s="35">
        <f>IF($F48="unclassified","N/A",(AVERAGE(Table325[[#This Row],[PO nr]:[Delivery Date]])))</f>
        <v>1</v>
      </c>
      <c r="V48" s="38"/>
      <c r="W48" s="38"/>
      <c r="X48" s="38"/>
      <c r="Y48" s="38"/>
      <c r="Z48" s="38"/>
    </row>
    <row r="49" spans="3:26" ht="15" customHeight="1" x14ac:dyDescent="0.3">
      <c r="C49" t="str">
        <f>_xlfn.XLOOKUP(Table325[[#This Row],[Customer]],'[1]Top 300'!C:C,'[1]Top 300'!A:A,"0",2,1)</f>
        <v>0</v>
      </c>
      <c r="D49" s="39">
        <f>_xlfn.XLOOKUP(Table325[[#This Row],[File Name]],'[1]Analyse 2 Detail 02-03'!A:A,'[1]Analyse 2 Detail 02-03'!R:R,"Not Found",0,1)</f>
        <v>0</v>
      </c>
      <c r="E49" s="31" t="s">
        <v>90</v>
      </c>
      <c r="F49" s="40" t="s">
        <v>37</v>
      </c>
      <c r="G49" s="41">
        <v>0</v>
      </c>
      <c r="H49" s="7" t="str">
        <f>IF($F49="unclassified","N/A",(_xlfn.XLOOKUP($E49,[1]Sheet2!$A:$A,[1]Sheet2!Q:Q,"N/A",0,1)))</f>
        <v>N/A</v>
      </c>
      <c r="I49" s="7" t="str">
        <f>IF($F49="unclassified","N/A",(_xlfn.XLOOKUP($E49,[1]Sheet2!$A:$A,[1]Sheet2!R:R,"N/A",0,1)))</f>
        <v>N/A</v>
      </c>
      <c r="J49" s="7" t="str">
        <f>IF($F49="unclassified","N/A",(_xlfn.XLOOKUP($E49,[1]Sheet2!$A:$A,[1]Sheet2!S:S,"N/A",0,1)))</f>
        <v>N/A</v>
      </c>
      <c r="K49" s="7" t="str">
        <f>IF($F49="unclassified","N/A",(_xlfn.XLOOKUP($E49,[1]Sheet2!$A:$A,[1]Sheet2!T:T,"N/A",0,1)))</f>
        <v>N/A</v>
      </c>
      <c r="L49" s="7" t="str">
        <f>IF($F49="unclassified","N/A",(_xlfn.XLOOKUP($E49,[1]Sheet2!$A:$A,[1]Sheet2!U:U,"N/A",0,1)))</f>
        <v>N/A</v>
      </c>
      <c r="M49" s="7" t="str">
        <f>IF($F49="unclassified","N/A",(_xlfn.XLOOKUP($E49,[1]Sheet2!$A:$A,[1]Sheet2!V:V,"N/A",0,1)))</f>
        <v>N/A</v>
      </c>
      <c r="N49" s="7"/>
      <c r="O49" s="7" t="str">
        <f>IF($F49="unclassified","N/A",(_xlfn.XLOOKUP($E49,[1]Sheet2!$A:$A,[1]Sheet2!W:W,"N/A",0,1)))</f>
        <v>N/A</v>
      </c>
      <c r="P49" s="7" t="str">
        <f>IF($F49="unclassified","N/A",(_xlfn.XLOOKUP($E49,[1]Sheet2!$A:$A,[1]Sheet2!X:X,"N/A",0,1)))</f>
        <v>N/A</v>
      </c>
      <c r="Q49" s="7" t="str">
        <f>IF($F49="unclassified","N/A",(_xlfn.XLOOKUP($E49,[1]Sheet2!$A:$A,[1]Sheet2!Y:Y,"N/A",0,1)))</f>
        <v>N/A</v>
      </c>
      <c r="R49" s="7" t="str">
        <f>IF($F49="unclassified","N/A",(_xlfn.XLOOKUP($E49,[1]Sheet2!$A:$A,[1]Sheet2!Z:Z,"N/A",0,1)))</f>
        <v>N/A</v>
      </c>
      <c r="S49" s="7" t="str">
        <f>IF($F49="unclassified","N/A",(_xlfn.XLOOKUP($E49,[1]Sheet2!$A:$A,[1]Sheet2!AA:AA,"N/A",0,1)))</f>
        <v>N/A</v>
      </c>
      <c r="T49" s="7" t="str">
        <f>IF($F49="unclassified","N/A",(_xlfn.XLOOKUP($E49,[1]Sheet2!$A:$A,[1]Sheet2!AB:AB,"N/A",0,1)))</f>
        <v>N/A</v>
      </c>
      <c r="U49" s="35" t="str">
        <f>IF($F49="unclassified","N/A",(AVERAGE(Table325[[#This Row],[PO nr]:[Delivery Date]])))</f>
        <v>N/A</v>
      </c>
      <c r="V49" s="38" t="s">
        <v>91</v>
      </c>
      <c r="W49" s="38" t="s">
        <v>39</v>
      </c>
      <c r="X49" s="38"/>
      <c r="Y49" s="38"/>
      <c r="Z49" s="38"/>
    </row>
    <row r="50" spans="3:26" ht="15" customHeight="1" x14ac:dyDescent="0.3">
      <c r="C50" t="str">
        <f>_xlfn.XLOOKUP(Table325[[#This Row],[Customer]],'[1]Top 300'!C:C,'[1]Top 300'!A:A,"0",2,1)</f>
        <v>0</v>
      </c>
      <c r="D50" s="39">
        <f>_xlfn.XLOOKUP(Table325[[#This Row],[File Name]],'[1]Analyse 2 Detail 02-03'!A:A,'[1]Analyse 2 Detail 02-03'!R:R,"Not Found",0,1)</f>
        <v>0</v>
      </c>
      <c r="E50" s="31" t="s">
        <v>90</v>
      </c>
      <c r="F50" s="40" t="s">
        <v>37</v>
      </c>
      <c r="G50" s="41">
        <v>0</v>
      </c>
      <c r="H50" s="7" t="str">
        <f>IF($F50="unclassified","N/A",(_xlfn.XLOOKUP($E50,[1]Sheet2!$A:$A,[1]Sheet2!Q:Q,"N/A",0,1)))</f>
        <v>N/A</v>
      </c>
      <c r="I50" s="7" t="str">
        <f>IF($F50="unclassified","N/A",(_xlfn.XLOOKUP($E50,[1]Sheet2!$A:$A,[1]Sheet2!R:R,"N/A",0,1)))</f>
        <v>N/A</v>
      </c>
      <c r="J50" s="7" t="str">
        <f>IF($F50="unclassified","N/A",(_xlfn.XLOOKUP($E50,[1]Sheet2!$A:$A,[1]Sheet2!S:S,"N/A",0,1)))</f>
        <v>N/A</v>
      </c>
      <c r="K50" s="7" t="str">
        <f>IF($F50="unclassified","N/A",(_xlfn.XLOOKUP($E50,[1]Sheet2!$A:$A,[1]Sheet2!T:T,"N/A",0,1)))</f>
        <v>N/A</v>
      </c>
      <c r="L50" s="7" t="str">
        <f>IF($F50="unclassified","N/A",(_xlfn.XLOOKUP($E50,[1]Sheet2!$A:$A,[1]Sheet2!U:U,"N/A",0,1)))</f>
        <v>N/A</v>
      </c>
      <c r="M50" s="7" t="str">
        <f>IF($F50="unclassified","N/A",(_xlfn.XLOOKUP($E50,[1]Sheet2!$A:$A,[1]Sheet2!V:V,"N/A",0,1)))</f>
        <v>N/A</v>
      </c>
      <c r="N50" s="7"/>
      <c r="O50" s="7" t="str">
        <f>IF($F50="unclassified","N/A",(_xlfn.XLOOKUP($E50,[1]Sheet2!$A:$A,[1]Sheet2!W:W,"N/A",0,1)))</f>
        <v>N/A</v>
      </c>
      <c r="P50" s="7" t="str">
        <f>IF($F50="unclassified","N/A",(_xlfn.XLOOKUP($E50,[1]Sheet2!$A:$A,[1]Sheet2!X:X,"N/A",0,1)))</f>
        <v>N/A</v>
      </c>
      <c r="Q50" s="7" t="str">
        <f>IF($F50="unclassified","N/A",(_xlfn.XLOOKUP($E50,[1]Sheet2!$A:$A,[1]Sheet2!Y:Y,"N/A",0,1)))</f>
        <v>N/A</v>
      </c>
      <c r="R50" s="7" t="str">
        <f>IF($F50="unclassified","N/A",(_xlfn.XLOOKUP($E50,[1]Sheet2!$A:$A,[1]Sheet2!Z:Z,"N/A",0,1)))</f>
        <v>N/A</v>
      </c>
      <c r="S50" s="7" t="str">
        <f>IF($F50="unclassified","N/A",(_xlfn.XLOOKUP($E50,[1]Sheet2!$A:$A,[1]Sheet2!AA:AA,"N/A",0,1)))</f>
        <v>N/A</v>
      </c>
      <c r="T50" s="7" t="str">
        <f>IF($F50="unclassified","N/A",(_xlfn.XLOOKUP($E50,[1]Sheet2!$A:$A,[1]Sheet2!AB:AB,"N/A",0,1)))</f>
        <v>N/A</v>
      </c>
      <c r="U50" s="35" t="str">
        <f>IF($F50="unclassified","N/A",(AVERAGE(Table325[[#This Row],[PO nr]:[Delivery Date]])))</f>
        <v>N/A</v>
      </c>
      <c r="V50" s="38" t="s">
        <v>91</v>
      </c>
      <c r="W50" s="38" t="s">
        <v>39</v>
      </c>
      <c r="X50" s="38"/>
      <c r="Y50" s="38"/>
      <c r="Z50" s="38"/>
    </row>
    <row r="51" spans="3:26" ht="15" customHeight="1" x14ac:dyDescent="0.3">
      <c r="C51" t="str">
        <f>_xlfn.XLOOKUP(Table325[[#This Row],[Customer]],'[1]Top 300'!C:C,'[1]Top 300'!A:A,"0",2,1)</f>
        <v>0</v>
      </c>
      <c r="D51" s="39">
        <f>_xlfn.XLOOKUP(Table325[[#This Row],[File Name]],'[1]Analyse 2 Detail 02-03'!A:A,'[1]Analyse 2 Detail 02-03'!R:R,"Not Found",0,1)</f>
        <v>0</v>
      </c>
      <c r="E51" s="31" t="s">
        <v>90</v>
      </c>
      <c r="F51" s="40" t="s">
        <v>37</v>
      </c>
      <c r="G51" s="41">
        <v>0</v>
      </c>
      <c r="H51" s="7" t="str">
        <f>IF($F51="unclassified","N/A",(_xlfn.XLOOKUP($E51,[1]Sheet2!$A:$A,[1]Sheet2!Q:Q,"N/A",0,1)))</f>
        <v>N/A</v>
      </c>
      <c r="I51" s="7" t="str">
        <f>IF($F51="unclassified","N/A",(_xlfn.XLOOKUP($E51,[1]Sheet2!$A:$A,[1]Sheet2!R:R,"N/A",0,1)))</f>
        <v>N/A</v>
      </c>
      <c r="J51" s="7" t="str">
        <f>IF($F51="unclassified","N/A",(_xlfn.XLOOKUP($E51,[1]Sheet2!$A:$A,[1]Sheet2!S:S,"N/A",0,1)))</f>
        <v>N/A</v>
      </c>
      <c r="K51" s="7" t="str">
        <f>IF($F51="unclassified","N/A",(_xlfn.XLOOKUP($E51,[1]Sheet2!$A:$A,[1]Sheet2!T:T,"N/A",0,1)))</f>
        <v>N/A</v>
      </c>
      <c r="L51" s="7" t="str">
        <f>IF($F51="unclassified","N/A",(_xlfn.XLOOKUP($E51,[1]Sheet2!$A:$A,[1]Sheet2!U:U,"N/A",0,1)))</f>
        <v>N/A</v>
      </c>
      <c r="M51" s="7" t="str">
        <f>IF($F51="unclassified","N/A",(_xlfn.XLOOKUP($E51,[1]Sheet2!$A:$A,[1]Sheet2!V:V,"N/A",0,1)))</f>
        <v>N/A</v>
      </c>
      <c r="N51" s="7"/>
      <c r="O51" s="7" t="str">
        <f>IF($F51="unclassified","N/A",(_xlfn.XLOOKUP($E51,[1]Sheet2!$A:$A,[1]Sheet2!W:W,"N/A",0,1)))</f>
        <v>N/A</v>
      </c>
      <c r="P51" s="7" t="str">
        <f>IF($F51="unclassified","N/A",(_xlfn.XLOOKUP($E51,[1]Sheet2!$A:$A,[1]Sheet2!X:X,"N/A",0,1)))</f>
        <v>N/A</v>
      </c>
      <c r="Q51" s="7" t="str">
        <f>IF($F51="unclassified","N/A",(_xlfn.XLOOKUP($E51,[1]Sheet2!$A:$A,[1]Sheet2!Y:Y,"N/A",0,1)))</f>
        <v>N/A</v>
      </c>
      <c r="R51" s="7" t="str">
        <f>IF($F51="unclassified","N/A",(_xlfn.XLOOKUP($E51,[1]Sheet2!$A:$A,[1]Sheet2!Z:Z,"N/A",0,1)))</f>
        <v>N/A</v>
      </c>
      <c r="S51" s="7" t="str">
        <f>IF($F51="unclassified","N/A",(_xlfn.XLOOKUP($E51,[1]Sheet2!$A:$A,[1]Sheet2!AA:AA,"N/A",0,1)))</f>
        <v>N/A</v>
      </c>
      <c r="T51" s="7" t="str">
        <f>IF($F51="unclassified","N/A",(_xlfn.XLOOKUP($E51,[1]Sheet2!$A:$A,[1]Sheet2!AB:AB,"N/A",0,1)))</f>
        <v>N/A</v>
      </c>
      <c r="U51" s="35" t="str">
        <f>IF($F51="unclassified","N/A",(AVERAGE(Table325[[#This Row],[PO nr]:[Delivery Date]])))</f>
        <v>N/A</v>
      </c>
      <c r="V51" s="38" t="s">
        <v>91</v>
      </c>
      <c r="W51" s="38" t="s">
        <v>39</v>
      </c>
      <c r="X51" s="38"/>
      <c r="Y51" s="38"/>
      <c r="Z51" s="38"/>
    </row>
    <row r="52" spans="3:26" ht="15" customHeight="1" x14ac:dyDescent="0.3">
      <c r="C52" t="str">
        <f>_xlfn.XLOOKUP(Table325[[#This Row],[Customer]],'[1]Top 300'!C:C,'[1]Top 300'!A:A,"0",2,1)</f>
        <v>0</v>
      </c>
      <c r="D52" s="39">
        <f>_xlfn.XLOOKUP(Table325[[#This Row],[File Name]],'[1]Analyse 2 Detail 02-03'!A:A,'[1]Analyse 2 Detail 02-03'!R:R,"Not Found",0,1)</f>
        <v>0</v>
      </c>
      <c r="E52" s="31" t="s">
        <v>92</v>
      </c>
      <c r="F52" s="40" t="s">
        <v>37</v>
      </c>
      <c r="G52" s="41">
        <v>0</v>
      </c>
      <c r="H52" s="7" t="str">
        <f>IF($F52="unclassified","N/A",(_xlfn.XLOOKUP($E52,[1]Sheet2!$A:$A,[1]Sheet2!Q:Q,"N/A",0,1)))</f>
        <v>N/A</v>
      </c>
      <c r="I52" s="7" t="str">
        <f>IF($F52="unclassified","N/A",(_xlfn.XLOOKUP($E52,[1]Sheet2!$A:$A,[1]Sheet2!R:R,"N/A",0,1)))</f>
        <v>N/A</v>
      </c>
      <c r="J52" s="7" t="str">
        <f>IF($F52="unclassified","N/A",(_xlfn.XLOOKUP($E52,[1]Sheet2!$A:$A,[1]Sheet2!S:S,"N/A",0,1)))</f>
        <v>N/A</v>
      </c>
      <c r="K52" s="7" t="str">
        <f>IF($F52="unclassified","N/A",(_xlfn.XLOOKUP($E52,[1]Sheet2!$A:$A,[1]Sheet2!T:T,"N/A",0,1)))</f>
        <v>N/A</v>
      </c>
      <c r="L52" s="7" t="str">
        <f>IF($F52="unclassified","N/A",(_xlfn.XLOOKUP($E52,[1]Sheet2!$A:$A,[1]Sheet2!U:U,"N/A",0,1)))</f>
        <v>N/A</v>
      </c>
      <c r="M52" s="7" t="str">
        <f>IF($F52="unclassified","N/A",(_xlfn.XLOOKUP($E52,[1]Sheet2!$A:$A,[1]Sheet2!V:V,"N/A",0,1)))</f>
        <v>N/A</v>
      </c>
      <c r="N52" s="7"/>
      <c r="O52" s="7" t="str">
        <f>IF($F52="unclassified","N/A",(_xlfn.XLOOKUP($E52,[1]Sheet2!$A:$A,[1]Sheet2!W:W,"N/A",0,1)))</f>
        <v>N/A</v>
      </c>
      <c r="P52" s="7" t="str">
        <f>IF($F52="unclassified","N/A",(_xlfn.XLOOKUP($E52,[1]Sheet2!$A:$A,[1]Sheet2!X:X,"N/A",0,1)))</f>
        <v>N/A</v>
      </c>
      <c r="Q52" s="7" t="str">
        <f>IF($F52="unclassified","N/A",(_xlfn.XLOOKUP($E52,[1]Sheet2!$A:$A,[1]Sheet2!Y:Y,"N/A",0,1)))</f>
        <v>N/A</v>
      </c>
      <c r="R52" s="7" t="str">
        <f>IF($F52="unclassified","N/A",(_xlfn.XLOOKUP($E52,[1]Sheet2!$A:$A,[1]Sheet2!Z:Z,"N/A",0,1)))</f>
        <v>N/A</v>
      </c>
      <c r="S52" s="7" t="str">
        <f>IF($F52="unclassified","N/A",(_xlfn.XLOOKUP($E52,[1]Sheet2!$A:$A,[1]Sheet2!AA:AA,"N/A",0,1)))</f>
        <v>N/A</v>
      </c>
      <c r="T52" s="7" t="str">
        <f>IF($F52="unclassified","N/A",(_xlfn.XLOOKUP($E52,[1]Sheet2!$A:$A,[1]Sheet2!AB:AB,"N/A",0,1)))</f>
        <v>N/A</v>
      </c>
      <c r="U52" s="35" t="str">
        <f>IF($F52="unclassified","N/A",(AVERAGE(Table325[[#This Row],[PO nr]:[Delivery Date]])))</f>
        <v>N/A</v>
      </c>
      <c r="V52" s="38" t="s">
        <v>93</v>
      </c>
      <c r="W52" s="38" t="s">
        <v>39</v>
      </c>
      <c r="X52" s="38"/>
      <c r="Y52" s="38"/>
      <c r="Z52" s="38"/>
    </row>
    <row r="53" spans="3:26" ht="15" customHeight="1" x14ac:dyDescent="0.3">
      <c r="C53" t="str">
        <f>_xlfn.XLOOKUP(Table325[[#This Row],[Customer]],'[1]Top 300'!C:C,'[1]Top 300'!A:A,"0",2,1)</f>
        <v>0</v>
      </c>
      <c r="D53" s="39">
        <f>_xlfn.XLOOKUP(Table325[[#This Row],[File Name]],'[1]Analyse 2 Detail 02-03'!A:A,'[1]Analyse 2 Detail 02-03'!R:R,"Not Found",0,1)</f>
        <v>0</v>
      </c>
      <c r="E53" s="31" t="s">
        <v>92</v>
      </c>
      <c r="F53" s="40" t="s">
        <v>37</v>
      </c>
      <c r="G53" s="41">
        <v>0</v>
      </c>
      <c r="H53" s="7" t="str">
        <f>IF($F53="unclassified","N/A",(_xlfn.XLOOKUP($E53,[1]Sheet2!$A:$A,[1]Sheet2!Q:Q,"N/A",0,1)))</f>
        <v>N/A</v>
      </c>
      <c r="I53" s="7" t="str">
        <f>IF($F53="unclassified","N/A",(_xlfn.XLOOKUP($E53,[1]Sheet2!$A:$A,[1]Sheet2!R:R,"N/A",0,1)))</f>
        <v>N/A</v>
      </c>
      <c r="J53" s="7" t="str">
        <f>IF($F53="unclassified","N/A",(_xlfn.XLOOKUP($E53,[1]Sheet2!$A:$A,[1]Sheet2!S:S,"N/A",0,1)))</f>
        <v>N/A</v>
      </c>
      <c r="K53" s="7" t="str">
        <f>IF($F53="unclassified","N/A",(_xlfn.XLOOKUP($E53,[1]Sheet2!$A:$A,[1]Sheet2!T:T,"N/A",0,1)))</f>
        <v>N/A</v>
      </c>
      <c r="L53" s="7" t="str">
        <f>IF($F53="unclassified","N/A",(_xlfn.XLOOKUP($E53,[1]Sheet2!$A:$A,[1]Sheet2!U:U,"N/A",0,1)))</f>
        <v>N/A</v>
      </c>
      <c r="M53" s="7" t="str">
        <f>IF($F53="unclassified","N/A",(_xlfn.XLOOKUP($E53,[1]Sheet2!$A:$A,[1]Sheet2!V:V,"N/A",0,1)))</f>
        <v>N/A</v>
      </c>
      <c r="N53" s="7"/>
      <c r="O53" s="7" t="str">
        <f>IF($F53="unclassified","N/A",(_xlfn.XLOOKUP($E53,[1]Sheet2!$A:$A,[1]Sheet2!W:W,"N/A",0,1)))</f>
        <v>N/A</v>
      </c>
      <c r="P53" s="7" t="str">
        <f>IF($F53="unclassified","N/A",(_xlfn.XLOOKUP($E53,[1]Sheet2!$A:$A,[1]Sheet2!X:X,"N/A",0,1)))</f>
        <v>N/A</v>
      </c>
      <c r="Q53" s="7" t="str">
        <f>IF($F53="unclassified","N/A",(_xlfn.XLOOKUP($E53,[1]Sheet2!$A:$A,[1]Sheet2!Y:Y,"N/A",0,1)))</f>
        <v>N/A</v>
      </c>
      <c r="R53" s="7" t="str">
        <f>IF($F53="unclassified","N/A",(_xlfn.XLOOKUP($E53,[1]Sheet2!$A:$A,[1]Sheet2!Z:Z,"N/A",0,1)))</f>
        <v>N/A</v>
      </c>
      <c r="S53" s="7" t="str">
        <f>IF($F53="unclassified","N/A",(_xlfn.XLOOKUP($E53,[1]Sheet2!$A:$A,[1]Sheet2!AA:AA,"N/A",0,1)))</f>
        <v>N/A</v>
      </c>
      <c r="T53" s="7" t="str">
        <f>IF($F53="unclassified","N/A",(_xlfn.XLOOKUP($E53,[1]Sheet2!$A:$A,[1]Sheet2!AB:AB,"N/A",0,1)))</f>
        <v>N/A</v>
      </c>
      <c r="U53" s="35" t="str">
        <f>IF($F53="unclassified","N/A",(AVERAGE(Table325[[#This Row],[PO nr]:[Delivery Date]])))</f>
        <v>N/A</v>
      </c>
      <c r="V53" s="38" t="s">
        <v>93</v>
      </c>
      <c r="W53" s="38" t="s">
        <v>39</v>
      </c>
      <c r="X53" s="38"/>
      <c r="Y53" s="38"/>
      <c r="Z53" s="38"/>
    </row>
    <row r="54" spans="3:26" ht="15" customHeight="1" x14ac:dyDescent="0.3">
      <c r="C54" t="str">
        <f>_xlfn.XLOOKUP(Table325[[#This Row],[Customer]],'[1]Top 300'!C:C,'[1]Top 300'!A:A,"0",2,1)</f>
        <v>0</v>
      </c>
      <c r="D54" s="39">
        <f>_xlfn.XLOOKUP(Table325[[#This Row],[File Name]],'[1]Analyse 2 Detail 02-03'!A:A,'[1]Analyse 2 Detail 02-03'!R:R,"Not Found",0,1)</f>
        <v>0</v>
      </c>
      <c r="E54" s="31" t="s">
        <v>94</v>
      </c>
      <c r="F54" s="40" t="s">
        <v>37</v>
      </c>
      <c r="G54" s="41">
        <v>0</v>
      </c>
      <c r="H54" s="7" t="str">
        <f>IF($F54="unclassified","N/A",(_xlfn.XLOOKUP($E54,[1]Sheet2!$A:$A,[1]Sheet2!Q:Q,"N/A",0,1)))</f>
        <v>N/A</v>
      </c>
      <c r="I54" s="7" t="str">
        <f>IF($F54="unclassified","N/A",(_xlfn.XLOOKUP($E54,[1]Sheet2!$A:$A,[1]Sheet2!R:R,"N/A",0,1)))</f>
        <v>N/A</v>
      </c>
      <c r="J54" s="7" t="str">
        <f>IF($F54="unclassified","N/A",(_xlfn.XLOOKUP($E54,[1]Sheet2!$A:$A,[1]Sheet2!S:S,"N/A",0,1)))</f>
        <v>N/A</v>
      </c>
      <c r="K54" s="7" t="str">
        <f>IF($F54="unclassified","N/A",(_xlfn.XLOOKUP($E54,[1]Sheet2!$A:$A,[1]Sheet2!T:T,"N/A",0,1)))</f>
        <v>N/A</v>
      </c>
      <c r="L54" s="7" t="str">
        <f>IF($F54="unclassified","N/A",(_xlfn.XLOOKUP($E54,[1]Sheet2!$A:$A,[1]Sheet2!U:U,"N/A",0,1)))</f>
        <v>N/A</v>
      </c>
      <c r="M54" s="34" t="str">
        <f>IF($F54="unclassified","N/A",(_xlfn.XLOOKUP($E54,[1]Sheet2!$A:$A,[1]Sheet2!V:V,"N/A",0,1)))</f>
        <v>N/A</v>
      </c>
      <c r="N54" s="7"/>
      <c r="O54" s="7" t="str">
        <f>IF($F54="unclassified","N/A",(_xlfn.XLOOKUP($E54,[1]Sheet2!$A:$A,[1]Sheet2!W:W,"N/A",0,1)))</f>
        <v>N/A</v>
      </c>
      <c r="P54" s="7" t="str">
        <f>IF($F54="unclassified","N/A",(_xlfn.XLOOKUP($E54,[1]Sheet2!$A:$A,[1]Sheet2!X:X,"N/A",0,1)))</f>
        <v>N/A</v>
      </c>
      <c r="Q54" s="7" t="str">
        <f>IF($F54="unclassified","N/A",(_xlfn.XLOOKUP($E54,[1]Sheet2!$A:$A,[1]Sheet2!Y:Y,"N/A",0,1)))</f>
        <v>N/A</v>
      </c>
      <c r="R54" s="7" t="str">
        <f>IF($F54="unclassified","N/A",(_xlfn.XLOOKUP($E54,[1]Sheet2!$A:$A,[1]Sheet2!Z:Z,"N/A",0,1)))</f>
        <v>N/A</v>
      </c>
      <c r="S54" s="7" t="str">
        <f>IF($F54="unclassified","N/A",(_xlfn.XLOOKUP($E54,[1]Sheet2!$A:$A,[1]Sheet2!AA:AA,"N/A",0,1)))</f>
        <v>N/A</v>
      </c>
      <c r="T54" s="7" t="str">
        <f>IF($F54="unclassified","N/A",(_xlfn.XLOOKUP($E54,[1]Sheet2!$A:$A,[1]Sheet2!AB:AB,"N/A",0,1)))</f>
        <v>N/A</v>
      </c>
      <c r="U54" s="35" t="str">
        <f>IF($F54="unclassified","N/A",(AVERAGE(Table325[[#This Row],[PO nr]:[Delivery Date]])))</f>
        <v>N/A</v>
      </c>
      <c r="V54" s="38" t="s">
        <v>95</v>
      </c>
      <c r="W54" s="38" t="s">
        <v>39</v>
      </c>
      <c r="X54" s="38"/>
      <c r="Y54" s="38"/>
      <c r="Z54" s="38"/>
    </row>
    <row r="55" spans="3:26" ht="15" customHeight="1" x14ac:dyDescent="0.3">
      <c r="C55" t="str">
        <f>_xlfn.XLOOKUP(Table325[[#This Row],[Customer]],'[1]Top 300'!C:C,'[1]Top 300'!A:A,"0",2,1)</f>
        <v>0</v>
      </c>
      <c r="D55" s="39" t="str">
        <f>_xlfn.XLOOKUP(Table325[[#This Row],[File Name]],'[1]Analyse 2 Detail 02-03'!A:A,'[1]Analyse 2 Detail 02-03'!R:R,"Not Found",0,1)</f>
        <v>Lyreco Belgium SA/NV</v>
      </c>
      <c r="E55" s="31" t="s">
        <v>96</v>
      </c>
      <c r="F55" s="40" t="s">
        <v>31</v>
      </c>
      <c r="G55" s="41">
        <v>2</v>
      </c>
      <c r="H55" s="7">
        <f>IF($F55="unclassified","N/A",(_xlfn.XLOOKUP($E55,[1]Sheet2!$A:$A,[1]Sheet2!Q:Q,"N/A",0,1)))</f>
        <v>1</v>
      </c>
      <c r="I55" s="7">
        <f>IF($F55="unclassified","N/A",(_xlfn.XLOOKUP($E55,[1]Sheet2!$A:$A,[1]Sheet2!R:R,"N/A",0,1)))</f>
        <v>1</v>
      </c>
      <c r="J55" s="7">
        <f>IF($F55="unclassified","N/A",(_xlfn.XLOOKUP($E55,[1]Sheet2!$A:$A,[1]Sheet2!S:S,"N/A",0,1)))</f>
        <v>1</v>
      </c>
      <c r="K55" s="7">
        <f>IF($F55="unclassified","N/A",(_xlfn.XLOOKUP($E55,[1]Sheet2!$A:$A,[1]Sheet2!T:T,"N/A",0,1)))</f>
        <v>1</v>
      </c>
      <c r="L55" s="7">
        <f>IF($F55="unclassified","N/A",(_xlfn.XLOOKUP($E55,[1]Sheet2!$A:$A,[1]Sheet2!U:U,"N/A",0,1)))</f>
        <v>1</v>
      </c>
      <c r="M55" s="34">
        <f>IF($F55="unclassified","N/A",(_xlfn.XLOOKUP($E55,[1]Sheet2!$A:$A,[1]Sheet2!V:V,"N/A",0,1)))</f>
        <v>1</v>
      </c>
      <c r="N55" s="7"/>
      <c r="O55" s="7">
        <f>IF($F55="unclassified","N/A",(_xlfn.XLOOKUP($E55,[1]Sheet2!$A:$A,[1]Sheet2!W:W,"N/A",0,1)))</f>
        <v>1</v>
      </c>
      <c r="P55" s="7">
        <f>IF($F55="unclassified","N/A",(_xlfn.XLOOKUP($E55,[1]Sheet2!$A:$A,[1]Sheet2!X:X,"N/A",0,1)))</f>
        <v>1</v>
      </c>
      <c r="Q55" s="7">
        <f>IF($F55="unclassified","N/A",(_xlfn.XLOOKUP($E55,[1]Sheet2!$A:$A,[1]Sheet2!Y:Y,"N/A",0,1)))</f>
        <v>1</v>
      </c>
      <c r="R55" s="7">
        <f>IF($F55="unclassified","N/A",(_xlfn.XLOOKUP($E55,[1]Sheet2!$A:$A,[1]Sheet2!Z:Z,"N/A",0,1)))</f>
        <v>0</v>
      </c>
      <c r="S55" s="7">
        <f>IF($F55="unclassified","N/A",(_xlfn.XLOOKUP($E55,[1]Sheet2!$A:$A,[1]Sheet2!AA:AA,"N/A",0,1)))</f>
        <v>1</v>
      </c>
      <c r="T55" s="7">
        <f>IF($F55="unclassified","N/A",(_xlfn.XLOOKUP($E55,[1]Sheet2!$A:$A,[1]Sheet2!AB:AB,"N/A",0,1)))</f>
        <v>0</v>
      </c>
      <c r="U55" s="35">
        <f>IF($F55="unclassified","N/A",(AVERAGE(Table325[[#This Row],[PO nr]:[Delivery Date]])))</f>
        <v>0.83333333333333337</v>
      </c>
      <c r="V55" s="38" t="s">
        <v>97</v>
      </c>
      <c r="W55" s="38"/>
      <c r="X55" s="38"/>
      <c r="Y55" s="38"/>
      <c r="Z55" s="38"/>
    </row>
    <row r="56" spans="3:26" ht="15" customHeight="1" x14ac:dyDescent="0.3">
      <c r="C56" t="str">
        <f>_xlfn.XLOOKUP(Table325[[#This Row],[Customer]],'[1]Top 300'!C:C,'[1]Top 300'!A:A,"0",2,1)</f>
        <v>0</v>
      </c>
      <c r="D56" s="39" t="str">
        <f>_xlfn.XLOOKUP(Table325[[#This Row],[File Name]],'[1]Analyse 2 Detail 02-03'!A:A,'[1]Analyse 2 Detail 02-03'!R:R,"Not Found",0,1)</f>
        <v>Lyreco Belgium SA/NV</v>
      </c>
      <c r="E56" s="31" t="s">
        <v>98</v>
      </c>
      <c r="F56" s="40" t="s">
        <v>31</v>
      </c>
      <c r="G56" s="41">
        <v>2</v>
      </c>
      <c r="H56" s="7">
        <f>IF($F56="unclassified","N/A",(_xlfn.XLOOKUP($E56,[1]Sheet2!$A:$A,[1]Sheet2!Q:Q,"N/A",0,1)))</f>
        <v>1</v>
      </c>
      <c r="I56" s="7">
        <f>IF($F56="unclassified","N/A",(_xlfn.XLOOKUP($E56,[1]Sheet2!$A:$A,[1]Sheet2!R:R,"N/A",0,1)))</f>
        <v>1</v>
      </c>
      <c r="J56" s="7">
        <f>IF($F56="unclassified","N/A",(_xlfn.XLOOKUP($E56,[1]Sheet2!$A:$A,[1]Sheet2!S:S,"N/A",0,1)))</f>
        <v>1</v>
      </c>
      <c r="K56" s="7">
        <f>IF($F56="unclassified","N/A",(_xlfn.XLOOKUP($E56,[1]Sheet2!$A:$A,[1]Sheet2!T:T,"N/A",0,1)))</f>
        <v>1</v>
      </c>
      <c r="L56" s="7">
        <f>IF($F56="unclassified","N/A",(_xlfn.XLOOKUP($E56,[1]Sheet2!$A:$A,[1]Sheet2!U:U,"N/A",0,1)))</f>
        <v>1</v>
      </c>
      <c r="M56" s="34">
        <f>IF($F56="unclassified","N/A",(_xlfn.XLOOKUP($E56,[1]Sheet2!$A:$A,[1]Sheet2!V:V,"N/A",0,1)))</f>
        <v>1</v>
      </c>
      <c r="N56" s="7"/>
      <c r="O56" s="7">
        <f>IF($F56="unclassified","N/A",(_xlfn.XLOOKUP($E56,[1]Sheet2!$A:$A,[1]Sheet2!W:W,"N/A",0,1)))</f>
        <v>1</v>
      </c>
      <c r="P56" s="7">
        <f>IF($F56="unclassified","N/A",(_xlfn.XLOOKUP($E56,[1]Sheet2!$A:$A,[1]Sheet2!X:X,"N/A",0,1)))</f>
        <v>1</v>
      </c>
      <c r="Q56" s="7">
        <f>IF($F56="unclassified","N/A",(_xlfn.XLOOKUP($E56,[1]Sheet2!$A:$A,[1]Sheet2!Y:Y,"N/A",0,1)))</f>
        <v>1</v>
      </c>
      <c r="R56" s="7">
        <f>IF($F56="unclassified","N/A",(_xlfn.XLOOKUP($E56,[1]Sheet2!$A:$A,[1]Sheet2!Z:Z,"N/A",0,1)))</f>
        <v>0</v>
      </c>
      <c r="S56" s="7">
        <f>IF($F56="unclassified","N/A",(_xlfn.XLOOKUP($E56,[1]Sheet2!$A:$A,[1]Sheet2!AA:AA,"N/A",0,1)))</f>
        <v>1</v>
      </c>
      <c r="T56" s="7">
        <f>IF($F56="unclassified","N/A",(_xlfn.XLOOKUP($E56,[1]Sheet2!$A:$A,[1]Sheet2!AB:AB,"N/A",0,1)))</f>
        <v>0</v>
      </c>
      <c r="U56" s="35">
        <f>IF($F56="unclassified","N/A",(AVERAGE(Table325[[#This Row],[PO nr]:[Delivery Date]])))</f>
        <v>0.83333333333333337</v>
      </c>
      <c r="V56" s="38" t="s">
        <v>97</v>
      </c>
      <c r="W56" s="38"/>
      <c r="X56" s="38"/>
      <c r="Y56" s="38"/>
      <c r="Z56" s="38"/>
    </row>
    <row r="57" spans="3:26" ht="15" customHeight="1" x14ac:dyDescent="0.3">
      <c r="C57" t="str">
        <f>_xlfn.XLOOKUP(Table325[[#This Row],[Customer]],'[1]Top 300'!C:C,'[1]Top 300'!A:A,"0",2,1)</f>
        <v>0</v>
      </c>
      <c r="D57" s="39" t="str">
        <f>_xlfn.XLOOKUP(Table325[[#This Row],[File Name]],'[1]Analyse 2 Detail 02-03'!A:A,'[1]Analyse 2 Detail 02-03'!R:R,"Not Found",0,1)</f>
        <v>Lyreco Belgium SA/NV</v>
      </c>
      <c r="E57" s="31" t="s">
        <v>99</v>
      </c>
      <c r="F57" s="40" t="s">
        <v>31</v>
      </c>
      <c r="G57" s="41">
        <v>2</v>
      </c>
      <c r="H57" s="7">
        <f>IF($F57="unclassified","N/A",(_xlfn.XLOOKUP($E57,[1]Sheet2!$A:$A,[1]Sheet2!Q:Q,"N/A",0,1)))</f>
        <v>1</v>
      </c>
      <c r="I57" s="7">
        <f>IF($F57="unclassified","N/A",(_xlfn.XLOOKUP($E57,[1]Sheet2!$A:$A,[1]Sheet2!R:R,"N/A",0,1)))</f>
        <v>1</v>
      </c>
      <c r="J57" s="7">
        <f>IF($F57="unclassified","N/A",(_xlfn.XLOOKUP($E57,[1]Sheet2!$A:$A,[1]Sheet2!S:S,"N/A",0,1)))</f>
        <v>1</v>
      </c>
      <c r="K57" s="7">
        <f>IF($F57="unclassified","N/A",(_xlfn.XLOOKUP($E57,[1]Sheet2!$A:$A,[1]Sheet2!T:T,"N/A",0,1)))</f>
        <v>1</v>
      </c>
      <c r="L57" s="7">
        <f>IF($F57="unclassified","N/A",(_xlfn.XLOOKUP($E57,[1]Sheet2!$A:$A,[1]Sheet2!U:U,"N/A",0,1)))</f>
        <v>1</v>
      </c>
      <c r="M57" s="34">
        <f>IF($F57="unclassified","N/A",(_xlfn.XLOOKUP($E57,[1]Sheet2!$A:$A,[1]Sheet2!V:V,"N/A",0,1)))</f>
        <v>1</v>
      </c>
      <c r="N57" s="7"/>
      <c r="O57" s="7">
        <f>IF($F57="unclassified","N/A",(_xlfn.XLOOKUP($E57,[1]Sheet2!$A:$A,[1]Sheet2!W:W,"N/A",0,1)))</f>
        <v>1</v>
      </c>
      <c r="P57" s="7">
        <f>IF($F57="unclassified","N/A",(_xlfn.XLOOKUP($E57,[1]Sheet2!$A:$A,[1]Sheet2!X:X,"N/A",0,1)))</f>
        <v>1</v>
      </c>
      <c r="Q57" s="7">
        <f>IF($F57="unclassified","N/A",(_xlfn.XLOOKUP($E57,[1]Sheet2!$A:$A,[1]Sheet2!Y:Y,"N/A",0,1)))</f>
        <v>1</v>
      </c>
      <c r="R57" s="7">
        <f>IF($F57="unclassified","N/A",(_xlfn.XLOOKUP($E57,[1]Sheet2!$A:$A,[1]Sheet2!Z:Z,"N/A",0,1)))</f>
        <v>0</v>
      </c>
      <c r="S57" s="7">
        <f>IF($F57="unclassified","N/A",(_xlfn.XLOOKUP($E57,[1]Sheet2!$A:$A,[1]Sheet2!AA:AA,"N/A",0,1)))</f>
        <v>1</v>
      </c>
      <c r="T57" s="7">
        <f>IF($F57="unclassified","N/A",(_xlfn.XLOOKUP($E57,[1]Sheet2!$A:$A,[1]Sheet2!AB:AB,"N/A",0,1)))</f>
        <v>0</v>
      </c>
      <c r="U57" s="35">
        <f>IF($F57="unclassified","N/A",(AVERAGE(Table325[[#This Row],[PO nr]:[Delivery Date]])))</f>
        <v>0.83333333333333337</v>
      </c>
      <c r="V57" s="38" t="s">
        <v>97</v>
      </c>
      <c r="W57" s="38"/>
      <c r="X57" s="38"/>
      <c r="Y57" s="38"/>
      <c r="Z57" s="38"/>
    </row>
    <row r="58" spans="3:26" ht="15" customHeight="1" x14ac:dyDescent="0.3">
      <c r="C58" t="str">
        <f>_xlfn.XLOOKUP(Table325[[#This Row],[Customer]],'[1]Top 300'!C:C,'[1]Top 300'!A:A,"0",2,1)</f>
        <v>0</v>
      </c>
      <c r="D58" s="39" t="str">
        <f>_xlfn.XLOOKUP(Table325[[#This Row],[File Name]],'[1]Analyse 2 Detail 02-03'!A:A,'[1]Analyse 2 Detail 02-03'!R:R,"Not Found",0,1)</f>
        <v>Mediq Nederland B.V.</v>
      </c>
      <c r="E58" s="31" t="s">
        <v>100</v>
      </c>
      <c r="F58" s="40" t="s">
        <v>31</v>
      </c>
      <c r="G58" s="41">
        <v>0</v>
      </c>
      <c r="H58" s="7">
        <f>IF($F58="unclassified","N/A",(_xlfn.XLOOKUP($E58,[1]Sheet2!$A:$A,[1]Sheet2!Q:Q,"N/A",0,1)))</f>
        <v>1</v>
      </c>
      <c r="I58" s="7">
        <f>IF($F58="unclassified","N/A",(_xlfn.XLOOKUP($E58,[1]Sheet2!$A:$A,[1]Sheet2!R:R,"N/A",0,1)))</f>
        <v>1</v>
      </c>
      <c r="J58" s="7">
        <f>IF($F58="unclassified","N/A",(_xlfn.XLOOKUP($E58,[1]Sheet2!$A:$A,[1]Sheet2!S:S,"N/A",0,1)))</f>
        <v>1</v>
      </c>
      <c r="K58" s="7">
        <f>IF($F58="unclassified","N/A",(_xlfn.XLOOKUP($E58,[1]Sheet2!$A:$A,[1]Sheet2!T:T,"N/A",0,1)))</f>
        <v>1</v>
      </c>
      <c r="L58" s="7">
        <f>IF($F58="unclassified","N/A",(_xlfn.XLOOKUP($E58,[1]Sheet2!$A:$A,[1]Sheet2!U:U,"N/A",0,1)))</f>
        <v>1</v>
      </c>
      <c r="M58" s="34">
        <f>IF($F58="unclassified","N/A",(_xlfn.XLOOKUP($E58,[1]Sheet2!$A:$A,[1]Sheet2!V:V,"N/A",0,1)))</f>
        <v>1</v>
      </c>
      <c r="N58" s="7"/>
      <c r="O58" s="7">
        <f>IF($F58="unclassified","N/A",(_xlfn.XLOOKUP($E58,[1]Sheet2!$A:$A,[1]Sheet2!W:W,"N/A",0,1)))</f>
        <v>1</v>
      </c>
      <c r="P58" s="7">
        <f>IF($F58="unclassified","N/A",(_xlfn.XLOOKUP($E58,[1]Sheet2!$A:$A,[1]Sheet2!X:X,"N/A",0,1)))</f>
        <v>1</v>
      </c>
      <c r="Q58" s="7">
        <f>IF($F58="unclassified","N/A",(_xlfn.XLOOKUP($E58,[1]Sheet2!$A:$A,[1]Sheet2!Y:Y,"N/A",0,1)))</f>
        <v>1</v>
      </c>
      <c r="R58" s="7">
        <f>IF($F58="unclassified","N/A",(_xlfn.XLOOKUP($E58,[1]Sheet2!$A:$A,[1]Sheet2!Z:Z,"N/A",0,1)))</f>
        <v>1</v>
      </c>
      <c r="S58" s="7">
        <f>IF($F58="unclassified","N/A",(_xlfn.XLOOKUP($E58,[1]Sheet2!$A:$A,[1]Sheet2!AA:AA,"N/A",0,1)))</f>
        <v>1</v>
      </c>
      <c r="T58" s="7">
        <f>IF($F58="unclassified","N/A",(_xlfn.XLOOKUP($E58,[1]Sheet2!$A:$A,[1]Sheet2!AB:AB,"N/A",0,1)))</f>
        <v>1</v>
      </c>
      <c r="U58" s="35">
        <f>IF($F58="unclassified","N/A",(AVERAGE(Table325[[#This Row],[PO nr]:[Delivery Date]])))</f>
        <v>1</v>
      </c>
      <c r="V58" s="38"/>
      <c r="W58" s="38"/>
      <c r="X58" s="38"/>
      <c r="Y58" s="38"/>
      <c r="Z58" s="38"/>
    </row>
    <row r="59" spans="3:26" ht="15" customHeight="1" x14ac:dyDescent="0.3">
      <c r="C59" t="str">
        <f>_xlfn.XLOOKUP(Table325[[#This Row],[Customer]],'[1]Top 300'!C:C,'[1]Top 300'!A:A,"0",2,1)</f>
        <v>0</v>
      </c>
      <c r="D59" s="39" t="str">
        <f>_xlfn.XLOOKUP(Table325[[#This Row],[File Name]],'[1]Analyse 2 Detail 02-03'!A:A,'[1]Analyse 2 Detail 02-03'!R:R,"Not Found",0,1)</f>
        <v>Mediq Nederland B.V.</v>
      </c>
      <c r="E59" s="31" t="s">
        <v>101</v>
      </c>
      <c r="F59" s="40" t="s">
        <v>31</v>
      </c>
      <c r="G59" s="41">
        <v>0</v>
      </c>
      <c r="H59" s="7">
        <f>IF($F59="unclassified","N/A",(_xlfn.XLOOKUP($E59,[1]Sheet2!$A:$A,[1]Sheet2!Q:Q,"N/A",0,1)))</f>
        <v>1</v>
      </c>
      <c r="I59" s="7">
        <f>IF($F59="unclassified","N/A",(_xlfn.XLOOKUP($E59,[1]Sheet2!$A:$A,[1]Sheet2!R:R,"N/A",0,1)))</f>
        <v>1</v>
      </c>
      <c r="J59" s="7">
        <f>IF($F59="unclassified","N/A",(_xlfn.XLOOKUP($E59,[1]Sheet2!$A:$A,[1]Sheet2!S:S,"N/A",0,1)))</f>
        <v>1</v>
      </c>
      <c r="K59" s="7">
        <f>IF($F59="unclassified","N/A",(_xlfn.XLOOKUP($E59,[1]Sheet2!$A:$A,[1]Sheet2!T:T,"N/A",0,1)))</f>
        <v>1</v>
      </c>
      <c r="L59" s="7">
        <f>IF($F59="unclassified","N/A",(_xlfn.XLOOKUP($E59,[1]Sheet2!$A:$A,[1]Sheet2!U:U,"N/A",0,1)))</f>
        <v>1</v>
      </c>
      <c r="M59" s="34">
        <f>IF($F59="unclassified","N/A",(_xlfn.XLOOKUP($E59,[1]Sheet2!$A:$A,[1]Sheet2!V:V,"N/A",0,1)))</f>
        <v>1</v>
      </c>
      <c r="N59" s="7"/>
      <c r="O59" s="7">
        <f>IF($F59="unclassified","N/A",(_xlfn.XLOOKUP($E59,[1]Sheet2!$A:$A,[1]Sheet2!W:W,"N/A",0,1)))</f>
        <v>1</v>
      </c>
      <c r="P59" s="7">
        <f>IF($F59="unclassified","N/A",(_xlfn.XLOOKUP($E59,[1]Sheet2!$A:$A,[1]Sheet2!X:X,"N/A",0,1)))</f>
        <v>1</v>
      </c>
      <c r="Q59" s="7">
        <f>IF($F59="unclassified","N/A",(_xlfn.XLOOKUP($E59,[1]Sheet2!$A:$A,[1]Sheet2!Y:Y,"N/A",0,1)))</f>
        <v>1</v>
      </c>
      <c r="R59" s="7">
        <f>IF($F59="unclassified","N/A",(_xlfn.XLOOKUP($E59,[1]Sheet2!$A:$A,[1]Sheet2!Z:Z,"N/A",0,1)))</f>
        <v>1</v>
      </c>
      <c r="S59" s="7">
        <f>IF($F59="unclassified","N/A",(_xlfn.XLOOKUP($E59,[1]Sheet2!$A:$A,[1]Sheet2!AA:AA,"N/A",0,1)))</f>
        <v>1</v>
      </c>
      <c r="T59" s="7">
        <f>IF($F59="unclassified","N/A",(_xlfn.XLOOKUP($E59,[1]Sheet2!$A:$A,[1]Sheet2!AB:AB,"N/A",0,1)))</f>
        <v>1</v>
      </c>
      <c r="U59" s="35">
        <f>IF($F59="unclassified","N/A",(AVERAGE(Table325[[#This Row],[PO nr]:[Delivery Date]])))</f>
        <v>1</v>
      </c>
      <c r="V59" s="38"/>
      <c r="W59" s="38"/>
      <c r="X59" s="38"/>
      <c r="Y59" s="38"/>
      <c r="Z59" s="38"/>
    </row>
    <row r="60" spans="3:26" ht="15" customHeight="1" x14ac:dyDescent="0.3">
      <c r="C60" t="str">
        <f>_xlfn.XLOOKUP(Table325[[#This Row],[Customer]],'[1]Top 300'!C:C,'[1]Top 300'!A:A,"0",2,1)</f>
        <v>0</v>
      </c>
      <c r="D60" s="39">
        <f>_xlfn.XLOOKUP(Table325[[#This Row],[File Name]],'[1]Analyse 2 Detail 02-03'!A:A,'[1]Analyse 2 Detail 02-03'!R:R,"Not Found",0,1)</f>
        <v>0</v>
      </c>
      <c r="E60" s="31" t="s">
        <v>102</v>
      </c>
      <c r="F60" s="40" t="s">
        <v>37</v>
      </c>
      <c r="G60" s="41">
        <v>0</v>
      </c>
      <c r="H60" s="7" t="str">
        <f>IF($F60="unclassified","N/A",(_xlfn.XLOOKUP($E60,[1]Sheet2!$A:$A,[1]Sheet2!Q:Q,"N/A",0,1)))</f>
        <v>N/A</v>
      </c>
      <c r="I60" s="7" t="str">
        <f>IF($F60="unclassified","N/A",(_xlfn.XLOOKUP($E60,[1]Sheet2!$A:$A,[1]Sheet2!R:R,"N/A",0,1)))</f>
        <v>N/A</v>
      </c>
      <c r="J60" s="7" t="str">
        <f>IF($F60="unclassified","N/A",(_xlfn.XLOOKUP($E60,[1]Sheet2!$A:$A,[1]Sheet2!S:S,"N/A",0,1)))</f>
        <v>N/A</v>
      </c>
      <c r="K60" s="7" t="str">
        <f>IF($F60="unclassified","N/A",(_xlfn.XLOOKUP($E60,[1]Sheet2!$A:$A,[1]Sheet2!T:T,"N/A",0,1)))</f>
        <v>N/A</v>
      </c>
      <c r="L60" s="7" t="str">
        <f>IF($F60="unclassified","N/A",(_xlfn.XLOOKUP($E60,[1]Sheet2!$A:$A,[1]Sheet2!U:U,"N/A",0,1)))</f>
        <v>N/A</v>
      </c>
      <c r="M60" s="34" t="str">
        <f>IF($F60="unclassified","N/A",(_xlfn.XLOOKUP($E60,[1]Sheet2!$A:$A,[1]Sheet2!V:V,"N/A",0,1)))</f>
        <v>N/A</v>
      </c>
      <c r="N60" s="7"/>
      <c r="O60" s="7" t="str">
        <f>IF($F60="unclassified","N/A",(_xlfn.XLOOKUP($E60,[1]Sheet2!$A:$A,[1]Sheet2!W:W,"N/A",0,1)))</f>
        <v>N/A</v>
      </c>
      <c r="P60" s="7" t="str">
        <f>IF($F60="unclassified","N/A",(_xlfn.XLOOKUP($E60,[1]Sheet2!$A:$A,[1]Sheet2!X:X,"N/A",0,1)))</f>
        <v>N/A</v>
      </c>
      <c r="Q60" s="7" t="str">
        <f>IF($F60="unclassified","N/A",(_xlfn.XLOOKUP($E60,[1]Sheet2!$A:$A,[1]Sheet2!Y:Y,"N/A",0,1)))</f>
        <v>N/A</v>
      </c>
      <c r="R60" s="7" t="str">
        <f>IF($F60="unclassified","N/A",(_xlfn.XLOOKUP($E60,[1]Sheet2!$A:$A,[1]Sheet2!Z:Z,"N/A",0,1)))</f>
        <v>N/A</v>
      </c>
      <c r="S60" s="7" t="str">
        <f>IF($F60="unclassified","N/A",(_xlfn.XLOOKUP($E60,[1]Sheet2!$A:$A,[1]Sheet2!AA:AA,"N/A",0,1)))</f>
        <v>N/A</v>
      </c>
      <c r="T60" s="7" t="str">
        <f>IF($F60="unclassified","N/A",(_xlfn.XLOOKUP($E60,[1]Sheet2!$A:$A,[1]Sheet2!AB:AB,"N/A",0,1)))</f>
        <v>N/A</v>
      </c>
      <c r="U60" s="35" t="str">
        <f>IF($F60="unclassified","N/A",(AVERAGE(Table325[[#This Row],[PO nr]:[Delivery Date]])))</f>
        <v>N/A</v>
      </c>
      <c r="V60" s="38"/>
      <c r="W60" s="38"/>
      <c r="X60" s="38"/>
      <c r="Y60" s="38"/>
      <c r="Z60" s="38"/>
    </row>
    <row r="61" spans="3:26" ht="15" customHeight="1" x14ac:dyDescent="0.3">
      <c r="C61" t="str">
        <f>_xlfn.XLOOKUP(Table325[[#This Row],[Customer]],'[1]Top 300'!C:C,'[1]Top 300'!A:A,"0",2,1)</f>
        <v>0</v>
      </c>
      <c r="D61" s="39" t="str">
        <f>_xlfn.XLOOKUP(Table325[[#This Row],[File Name]],'[1]Analyse 2 Detail 02-03'!A:A,'[1]Analyse 2 Detail 02-03'!R:R,"Not Found",0,1)</f>
        <v>Medtronic Trading NL BV</v>
      </c>
      <c r="E61" s="31" t="s">
        <v>103</v>
      </c>
      <c r="F61" s="40" t="s">
        <v>31</v>
      </c>
      <c r="G61" s="41">
        <v>2</v>
      </c>
      <c r="H61" s="7">
        <f>IF($F61="unclassified","N/A",(_xlfn.XLOOKUP($E61,[1]Sheet2!$A:$A,[1]Sheet2!Q:Q,"N/A",0,1)))</f>
        <v>0</v>
      </c>
      <c r="I61" s="7">
        <f>IF($F61="unclassified","N/A",(_xlfn.XLOOKUP($E61,[1]Sheet2!$A:$A,[1]Sheet2!R:R,"N/A",0,1)))</f>
        <v>1</v>
      </c>
      <c r="J61" s="7">
        <f>IF($F61="unclassified","N/A",(_xlfn.XLOOKUP($E61,[1]Sheet2!$A:$A,[1]Sheet2!S:S,"N/A",0,1)))</f>
        <v>1</v>
      </c>
      <c r="K61" s="7">
        <f>IF($F61="unclassified","N/A",(_xlfn.XLOOKUP($E61,[1]Sheet2!$A:$A,[1]Sheet2!T:T,"N/A",0,1)))</f>
        <v>1</v>
      </c>
      <c r="L61" s="7">
        <f>IF($F61="unclassified","N/A",(_xlfn.XLOOKUP($E61,[1]Sheet2!$A:$A,[1]Sheet2!U:U,"N/A",0,1)))</f>
        <v>1</v>
      </c>
      <c r="M61" s="7">
        <f>IF($F61="unclassified","N/A",(_xlfn.XLOOKUP($E61,[1]Sheet2!$A:$A,[1]Sheet2!V:V,"N/A",0,1)))</f>
        <v>1</v>
      </c>
      <c r="N61" s="7"/>
      <c r="O61" s="7">
        <f>IF($F61="unclassified","N/A",(_xlfn.XLOOKUP($E61,[1]Sheet2!$A:$A,[1]Sheet2!W:W,"N/A",0,1)))</f>
        <v>1</v>
      </c>
      <c r="P61" s="7">
        <f>IF($F61="unclassified","N/A",(_xlfn.XLOOKUP($E61,[1]Sheet2!$A:$A,[1]Sheet2!X:X,"N/A",0,1)))</f>
        <v>1</v>
      </c>
      <c r="Q61" s="7">
        <f>IF($F61="unclassified","N/A",(_xlfn.XLOOKUP($E61,[1]Sheet2!$A:$A,[1]Sheet2!Y:Y,"N/A",0,1)))</f>
        <v>1</v>
      </c>
      <c r="R61" s="7">
        <f>IF($F61="unclassified","N/A",(_xlfn.XLOOKUP($E61,[1]Sheet2!$A:$A,[1]Sheet2!Z:Z,"N/A",0,1)))</f>
        <v>1</v>
      </c>
      <c r="S61" s="7">
        <f>IF($F61="unclassified","N/A",(_xlfn.XLOOKUP($E61,[1]Sheet2!$A:$A,[1]Sheet2!AA:AA,"N/A",0,1)))</f>
        <v>1</v>
      </c>
      <c r="T61" s="7">
        <f>IF($F61="unclassified","N/A",(_xlfn.XLOOKUP($E61,[1]Sheet2!$A:$A,[1]Sheet2!AB:AB,"N/A",0,1)))</f>
        <v>1</v>
      </c>
      <c r="U61" s="35">
        <f>IF($F61="unclassified","N/A",(AVERAGE(Table325[[#This Row],[PO nr]:[Delivery Date]])))</f>
        <v>0.91666666666666663</v>
      </c>
      <c r="V61" s="52" t="s">
        <v>104</v>
      </c>
      <c r="W61" s="38" t="s">
        <v>105</v>
      </c>
      <c r="X61" s="38"/>
      <c r="Y61" s="38"/>
      <c r="Z61" s="38"/>
    </row>
    <row r="62" spans="3:26" ht="15" customHeight="1" x14ac:dyDescent="0.3">
      <c r="C62" t="str">
        <f>_xlfn.XLOOKUP(Table325[[#This Row],[Customer]],'[1]Top 300'!C:C,'[1]Top 300'!A:A,"0",2,1)</f>
        <v>0</v>
      </c>
      <c r="D62" s="39" t="str">
        <f>_xlfn.XLOOKUP(Table325[[#This Row],[File Name]],'[1]Analyse 2 Detail 02-03'!A:A,'[1]Analyse 2 Detail 02-03'!R:R,"Not Found",0,1)</f>
        <v>Medtronic Trading NL BV</v>
      </c>
      <c r="E62" s="31" t="s">
        <v>103</v>
      </c>
      <c r="F62" s="40" t="s">
        <v>31</v>
      </c>
      <c r="G62" s="41">
        <v>2</v>
      </c>
      <c r="H62" s="7">
        <f>IF($F62="unclassified","N/A",(_xlfn.XLOOKUP($E62,[1]Sheet2!$A:$A,[1]Sheet2!Q:Q,"N/A",0,1)))</f>
        <v>0</v>
      </c>
      <c r="I62" s="7">
        <f>IF($F62="unclassified","N/A",(_xlfn.XLOOKUP($E62,[1]Sheet2!$A:$A,[1]Sheet2!R:R,"N/A",0,1)))</f>
        <v>1</v>
      </c>
      <c r="J62" s="7">
        <f>IF($F62="unclassified","N/A",(_xlfn.XLOOKUP($E62,[1]Sheet2!$A:$A,[1]Sheet2!S:S,"N/A",0,1)))</f>
        <v>1</v>
      </c>
      <c r="K62" s="7">
        <f>IF($F62="unclassified","N/A",(_xlfn.XLOOKUP($E62,[1]Sheet2!$A:$A,[1]Sheet2!T:T,"N/A",0,1)))</f>
        <v>1</v>
      </c>
      <c r="L62" s="7">
        <f>IF($F62="unclassified","N/A",(_xlfn.XLOOKUP($E62,[1]Sheet2!$A:$A,[1]Sheet2!U:U,"N/A",0,1)))</f>
        <v>1</v>
      </c>
      <c r="M62" s="7">
        <f>IF($F62="unclassified","N/A",(_xlfn.XLOOKUP($E62,[1]Sheet2!$A:$A,[1]Sheet2!V:V,"N/A",0,1)))</f>
        <v>1</v>
      </c>
      <c r="N62" s="7"/>
      <c r="O62" s="7">
        <f>IF($F62="unclassified","N/A",(_xlfn.XLOOKUP($E62,[1]Sheet2!$A:$A,[1]Sheet2!W:W,"N/A",0,1)))</f>
        <v>1</v>
      </c>
      <c r="P62" s="7">
        <f>IF($F62="unclassified","N/A",(_xlfn.XLOOKUP($E62,[1]Sheet2!$A:$A,[1]Sheet2!X:X,"N/A",0,1)))</f>
        <v>1</v>
      </c>
      <c r="Q62" s="7">
        <f>IF($F62="unclassified","N/A",(_xlfn.XLOOKUP($E62,[1]Sheet2!$A:$A,[1]Sheet2!Y:Y,"N/A",0,1)))</f>
        <v>1</v>
      </c>
      <c r="R62" s="7">
        <f>IF($F62="unclassified","N/A",(_xlfn.XLOOKUP($E62,[1]Sheet2!$A:$A,[1]Sheet2!Z:Z,"N/A",0,1)))</f>
        <v>1</v>
      </c>
      <c r="S62" s="7">
        <f>IF($F62="unclassified","N/A",(_xlfn.XLOOKUP($E62,[1]Sheet2!$A:$A,[1]Sheet2!AA:AA,"N/A",0,1)))</f>
        <v>1</v>
      </c>
      <c r="T62" s="7">
        <f>IF($F62="unclassified","N/A",(_xlfn.XLOOKUP($E62,[1]Sheet2!$A:$A,[1]Sheet2!AB:AB,"N/A",0,1)))</f>
        <v>1</v>
      </c>
      <c r="U62" s="35">
        <f>IF($F62="unclassified","N/A",(AVERAGE(Table325[[#This Row],[PO nr]:[Delivery Date]])))</f>
        <v>0.91666666666666663</v>
      </c>
      <c r="V62" s="52" t="s">
        <v>104</v>
      </c>
      <c r="W62" s="38" t="s">
        <v>105</v>
      </c>
      <c r="X62" s="38"/>
      <c r="Y62" s="38"/>
      <c r="Z62" s="38"/>
    </row>
    <row r="63" spans="3:26" ht="15" customHeight="1" x14ac:dyDescent="0.3">
      <c r="C63" t="str">
        <f>_xlfn.XLOOKUP(Table325[[#This Row],[Customer]],'[1]Top 300'!C:C,'[1]Top 300'!A:A,"0",2,1)</f>
        <v>0</v>
      </c>
      <c r="D63" s="39" t="str">
        <f>_xlfn.XLOOKUP(Table325[[#This Row],[File Name]],'[1]Analyse 2 Detail 02-03'!A:A,'[1]Analyse 2 Detail 02-03'!R:R,"Not Found",0,1)</f>
        <v>Medtronic Trading NL BV</v>
      </c>
      <c r="E63" s="31" t="s">
        <v>106</v>
      </c>
      <c r="F63" s="40" t="s">
        <v>31</v>
      </c>
      <c r="G63" s="41">
        <v>7</v>
      </c>
      <c r="H63" s="7">
        <f>IF($F63="unclassified","N/A",(_xlfn.XLOOKUP($E63,[1]Sheet2!$A:$A,[1]Sheet2!Q:Q,"N/A",0,1)))</f>
        <v>0</v>
      </c>
      <c r="I63" s="7">
        <f>IF($F63="unclassified","N/A",(_xlfn.XLOOKUP($E63,[1]Sheet2!$A:$A,[1]Sheet2!R:R,"N/A",0,1)))</f>
        <v>1</v>
      </c>
      <c r="J63" s="7">
        <f>IF($F63="unclassified","N/A",(_xlfn.XLOOKUP($E63,[1]Sheet2!$A:$A,[1]Sheet2!S:S,"N/A",0,1)))</f>
        <v>1</v>
      </c>
      <c r="K63" s="7">
        <f>IF($F63="unclassified","N/A",(_xlfn.XLOOKUP($E63,[1]Sheet2!$A:$A,[1]Sheet2!T:T,"N/A",0,1)))</f>
        <v>1</v>
      </c>
      <c r="L63" s="7">
        <f>IF($F63="unclassified","N/A",(_xlfn.XLOOKUP($E63,[1]Sheet2!$A:$A,[1]Sheet2!U:U,"N/A",0,1)))</f>
        <v>1</v>
      </c>
      <c r="M63" s="7">
        <f>IF($F63="unclassified","N/A",(_xlfn.XLOOKUP($E63,[1]Sheet2!$A:$A,[1]Sheet2!V:V,"N/A",0,1)))</f>
        <v>1</v>
      </c>
      <c r="N63" s="7"/>
      <c r="O63" s="7">
        <f>IF($F63="unclassified","N/A",(_xlfn.XLOOKUP($E63,[1]Sheet2!$A:$A,[1]Sheet2!W:W,"N/A",0,1)))</f>
        <v>1</v>
      </c>
      <c r="P63" s="7">
        <f>IF($F63="unclassified","N/A",(_xlfn.XLOOKUP($E63,[1]Sheet2!$A:$A,[1]Sheet2!X:X,"N/A",0,1)))</f>
        <v>1</v>
      </c>
      <c r="Q63" s="7">
        <f>IF($F63="unclassified","N/A",(_xlfn.XLOOKUP($E63,[1]Sheet2!$A:$A,[1]Sheet2!Y:Y,"N/A",0,1)))</f>
        <v>1</v>
      </c>
      <c r="R63" s="7">
        <f>IF($F63="unclassified","N/A",(_xlfn.XLOOKUP($E63,[1]Sheet2!$A:$A,[1]Sheet2!Z:Z,"N/A",0,1)))</f>
        <v>1</v>
      </c>
      <c r="S63" s="7">
        <f>IF($F63="unclassified","N/A",(_xlfn.XLOOKUP($E63,[1]Sheet2!$A:$A,[1]Sheet2!AA:AA,"N/A",0,1)))</f>
        <v>1</v>
      </c>
      <c r="T63" s="7">
        <f>IF($F63="unclassified","N/A",(_xlfn.XLOOKUP($E63,[1]Sheet2!$A:$A,[1]Sheet2!AB:AB,"N/A",0,1)))</f>
        <v>0.83333333333333337</v>
      </c>
      <c r="U63" s="35">
        <f>IF($F63="unclassified","N/A",(AVERAGE(Table325[[#This Row],[PO nr]:[Delivery Date]])))</f>
        <v>0.90277777777777779</v>
      </c>
      <c r="V63" s="52" t="s">
        <v>107</v>
      </c>
      <c r="W63" s="38" t="s">
        <v>105</v>
      </c>
      <c r="X63" s="38"/>
      <c r="Y63" s="38"/>
      <c r="Z63" s="38"/>
    </row>
    <row r="64" spans="3:26" ht="15" customHeight="1" x14ac:dyDescent="0.3">
      <c r="C64" t="str">
        <f>_xlfn.XLOOKUP(Table325[[#This Row],[Customer]],'[1]Top 300'!C:C,'[1]Top 300'!A:A,"0",2,1)</f>
        <v>0</v>
      </c>
      <c r="D64" s="39" t="str">
        <f>_xlfn.XLOOKUP(Table325[[#This Row],[File Name]],'[1]Analyse 2 Detail 02-03'!A:A,'[1]Analyse 2 Detail 02-03'!R:R,"Not Found",0,1)</f>
        <v>Medtronic Trading NL BV</v>
      </c>
      <c r="E64" s="31" t="s">
        <v>108</v>
      </c>
      <c r="F64" s="40" t="s">
        <v>31</v>
      </c>
      <c r="G64" s="41">
        <v>1</v>
      </c>
      <c r="H64" s="7">
        <f>IF($F64="unclassified","N/A",(_xlfn.XLOOKUP($E64,[1]Sheet2!$A:$A,[1]Sheet2!Q:Q,"N/A",0,1)))</f>
        <v>0</v>
      </c>
      <c r="I64" s="7">
        <f>IF($F64="unclassified","N/A",(_xlfn.XLOOKUP($E64,[1]Sheet2!$A:$A,[1]Sheet2!R:R,"N/A",0,1)))</f>
        <v>1</v>
      </c>
      <c r="J64" s="7">
        <f>IF($F64="unclassified","N/A",(_xlfn.XLOOKUP($E64,[1]Sheet2!$A:$A,[1]Sheet2!S:S,"N/A",0,1)))</f>
        <v>1</v>
      </c>
      <c r="K64" s="7">
        <f>IF($F64="unclassified","N/A",(_xlfn.XLOOKUP($E64,[1]Sheet2!$A:$A,[1]Sheet2!T:T,"N/A",0,1)))</f>
        <v>1</v>
      </c>
      <c r="L64" s="7">
        <f>IF($F64="unclassified","N/A",(_xlfn.XLOOKUP($E64,[1]Sheet2!$A:$A,[1]Sheet2!U:U,"N/A",0,1)))</f>
        <v>1</v>
      </c>
      <c r="M64" s="7">
        <f>IF($F64="unclassified","N/A",(_xlfn.XLOOKUP($E64,[1]Sheet2!$A:$A,[1]Sheet2!V:V,"N/A",0,1)))</f>
        <v>1</v>
      </c>
      <c r="N64" s="7"/>
      <c r="O64" s="7">
        <f>IF($F64="unclassified","N/A",(_xlfn.XLOOKUP($E64,[1]Sheet2!$A:$A,[1]Sheet2!W:W,"N/A",0,1)))</f>
        <v>1</v>
      </c>
      <c r="P64" s="7">
        <f>IF($F64="unclassified","N/A",(_xlfn.XLOOKUP($E64,[1]Sheet2!$A:$A,[1]Sheet2!X:X,"N/A",0,1)))</f>
        <v>1</v>
      </c>
      <c r="Q64" s="7">
        <f>IF($F64="unclassified","N/A",(_xlfn.XLOOKUP($E64,[1]Sheet2!$A:$A,[1]Sheet2!Y:Y,"N/A",0,1)))</f>
        <v>1</v>
      </c>
      <c r="R64" s="7">
        <f>IF($F64="unclassified","N/A",(_xlfn.XLOOKUP($E64,[1]Sheet2!$A:$A,[1]Sheet2!Z:Z,"N/A",0,1)))</f>
        <v>1</v>
      </c>
      <c r="S64" s="7">
        <f>IF($F64="unclassified","N/A",(_xlfn.XLOOKUP($E64,[1]Sheet2!$A:$A,[1]Sheet2!AA:AA,"N/A",0,1)))</f>
        <v>1</v>
      </c>
      <c r="T64" s="7">
        <f>IF($F64="unclassified","N/A",(_xlfn.XLOOKUP($E64,[1]Sheet2!$A:$A,[1]Sheet2!AB:AB,"N/A",0,1)))</f>
        <v>1</v>
      </c>
      <c r="U64" s="35">
        <f>IF($F64="unclassified","N/A",(AVERAGE(Table325[[#This Row],[PO nr]:[Delivery Date]])))</f>
        <v>0.91666666666666663</v>
      </c>
      <c r="V64" s="52" t="s">
        <v>104</v>
      </c>
      <c r="W64" s="38" t="s">
        <v>105</v>
      </c>
      <c r="X64" s="38"/>
      <c r="Y64" s="38"/>
      <c r="Z64" s="38"/>
    </row>
    <row r="65" spans="3:26" ht="15" customHeight="1" x14ac:dyDescent="0.3">
      <c r="C65" t="str">
        <f>_xlfn.XLOOKUP(Table325[[#This Row],[Customer]],'[1]Top 300'!C:C,'[1]Top 300'!A:A,"0",2,1)</f>
        <v>0</v>
      </c>
      <c r="D65" s="39" t="str">
        <f>_xlfn.XLOOKUP(Table325[[#This Row],[File Name]],'[1]Analyse 2 Detail 02-03'!A:A,'[1]Analyse 2 Detail 02-03'!R:R,"Not Found",0,1)</f>
        <v>Fresenius Kabi nv/sa</v>
      </c>
      <c r="E65" s="31" t="s">
        <v>109</v>
      </c>
      <c r="F65" s="40" t="s">
        <v>31</v>
      </c>
      <c r="G65" s="41">
        <v>0</v>
      </c>
      <c r="H65" s="7">
        <f>IF($F65="unclassified","N/A",(_xlfn.XLOOKUP($E65,[1]Sheet2!$A:$A,[1]Sheet2!Q:Q,"N/A",0,1)))</f>
        <v>1</v>
      </c>
      <c r="I65" s="7">
        <f>IF($F65="unclassified","N/A",(_xlfn.XLOOKUP($E65,[1]Sheet2!$A:$A,[1]Sheet2!R:R,"N/A",0,1)))</f>
        <v>1</v>
      </c>
      <c r="J65" s="7">
        <f>IF($F65="unclassified","N/A",(_xlfn.XLOOKUP($E65,[1]Sheet2!$A:$A,[1]Sheet2!S:S,"N/A",0,1)))</f>
        <v>1</v>
      </c>
      <c r="K65" s="7">
        <f>IF($F65="unclassified","N/A",(_xlfn.XLOOKUP($E65,[1]Sheet2!$A:$A,[1]Sheet2!T:T,"N/A",0,1)))</f>
        <v>1</v>
      </c>
      <c r="L65" s="7">
        <f>IF($F65="unclassified","N/A",(_xlfn.XLOOKUP($E65,[1]Sheet2!$A:$A,[1]Sheet2!U:U,"N/A",0,1)))</f>
        <v>1</v>
      </c>
      <c r="M65" s="34">
        <f>IF($F65="unclassified","N/A",(_xlfn.XLOOKUP($E65,[1]Sheet2!$A:$A,[1]Sheet2!V:V,"N/A",0,1)))</f>
        <v>1</v>
      </c>
      <c r="N65" s="7"/>
      <c r="O65" s="7">
        <f>IF($F65="unclassified","N/A",(_xlfn.XLOOKUP($E65,[1]Sheet2!$A:$A,[1]Sheet2!W:W,"N/A",0,1)))</f>
        <v>1</v>
      </c>
      <c r="P65" s="7">
        <f>IF($F65="unclassified","N/A",(_xlfn.XLOOKUP($E65,[1]Sheet2!$A:$A,[1]Sheet2!X:X,"N/A",0,1)))</f>
        <v>1</v>
      </c>
      <c r="Q65" s="7">
        <f>IF($F65="unclassified","N/A",(_xlfn.XLOOKUP($E65,[1]Sheet2!$A:$A,[1]Sheet2!Y:Y,"N/A",0,1)))</f>
        <v>1</v>
      </c>
      <c r="R65" s="7">
        <f>IF($F65="unclassified","N/A",(_xlfn.XLOOKUP($E65,[1]Sheet2!$A:$A,[1]Sheet2!Z:Z,"N/A",0,1)))</f>
        <v>1</v>
      </c>
      <c r="S65" s="7">
        <f>IF($F65="unclassified","N/A",(_xlfn.XLOOKUP($E65,[1]Sheet2!$A:$A,[1]Sheet2!AA:AA,"N/A",0,1)))</f>
        <v>1</v>
      </c>
      <c r="T65" s="7">
        <f>IF($F65="unclassified","N/A",(_xlfn.XLOOKUP($E65,[1]Sheet2!$A:$A,[1]Sheet2!AB:AB,"N/A",0,1)))</f>
        <v>1</v>
      </c>
      <c r="U65" s="35">
        <f>IF($F65="unclassified","N/A",(AVERAGE(Table325[[#This Row],[PO nr]:[Delivery Date]])))</f>
        <v>1</v>
      </c>
      <c r="V65" s="38"/>
      <c r="W65" s="38"/>
      <c r="X65" s="38"/>
      <c r="Y65" s="38"/>
      <c r="Z65" s="38"/>
    </row>
    <row r="66" spans="3:26" ht="15" customHeight="1" x14ac:dyDescent="0.3">
      <c r="C66" t="str">
        <f>_xlfn.XLOOKUP(Table325[[#This Row],[Customer]],'[1]Top 300'!C:C,'[1]Top 300'!A:A,"0",2,1)</f>
        <v>0</v>
      </c>
      <c r="D66" s="39" t="str">
        <f>_xlfn.XLOOKUP(Table325[[#This Row],[File Name]],'[1]Analyse 2 Detail 02-03'!A:A,'[1]Analyse 2 Detail 02-03'!R:R,"Not Found",0,1)</f>
        <v>Fresenius Kabi Nederland B.V.</v>
      </c>
      <c r="E66" s="31" t="s">
        <v>110</v>
      </c>
      <c r="F66" s="40" t="s">
        <v>31</v>
      </c>
      <c r="G66" s="41">
        <v>0</v>
      </c>
      <c r="H66" s="7">
        <f>IF($F66="unclassified","N/A",(_xlfn.XLOOKUP($E66,[1]Sheet2!$A:$A,[1]Sheet2!Q:Q,"N/A",0,1)))</f>
        <v>1</v>
      </c>
      <c r="I66" s="7">
        <f>IF($F66="unclassified","N/A",(_xlfn.XLOOKUP($E66,[1]Sheet2!$A:$A,[1]Sheet2!R:R,"N/A",0,1)))</f>
        <v>1</v>
      </c>
      <c r="J66" s="7">
        <f>IF($F66="unclassified","N/A",(_xlfn.XLOOKUP($E66,[1]Sheet2!$A:$A,[1]Sheet2!S:S,"N/A",0,1)))</f>
        <v>1</v>
      </c>
      <c r="K66" s="7">
        <f>IF($F66="unclassified","N/A",(_xlfn.XLOOKUP($E66,[1]Sheet2!$A:$A,[1]Sheet2!T:T,"N/A",0,1)))</f>
        <v>1</v>
      </c>
      <c r="L66" s="7">
        <f>IF($F66="unclassified","N/A",(_xlfn.XLOOKUP($E66,[1]Sheet2!$A:$A,[1]Sheet2!U:U,"N/A",0,1)))</f>
        <v>1</v>
      </c>
      <c r="M66" s="34">
        <f>IF($F66="unclassified","N/A",(_xlfn.XLOOKUP($E66,[1]Sheet2!$A:$A,[1]Sheet2!V:V,"N/A",0,1)))</f>
        <v>1</v>
      </c>
      <c r="N66" s="7"/>
      <c r="O66" s="7">
        <f>IF($F66="unclassified","N/A",(_xlfn.XLOOKUP($E66,[1]Sheet2!$A:$A,[1]Sheet2!W:W,"N/A",0,1)))</f>
        <v>1</v>
      </c>
      <c r="P66" s="7">
        <f>IF($F66="unclassified","N/A",(_xlfn.XLOOKUP($E66,[1]Sheet2!$A:$A,[1]Sheet2!X:X,"N/A",0,1)))</f>
        <v>1</v>
      </c>
      <c r="Q66" s="7">
        <f>IF($F66="unclassified","N/A",(_xlfn.XLOOKUP($E66,[1]Sheet2!$A:$A,[1]Sheet2!Y:Y,"N/A",0,1)))</f>
        <v>1</v>
      </c>
      <c r="R66" s="7">
        <f>IF($F66="unclassified","N/A",(_xlfn.XLOOKUP($E66,[1]Sheet2!$A:$A,[1]Sheet2!Z:Z,"N/A",0,1)))</f>
        <v>1</v>
      </c>
      <c r="S66" s="7">
        <f>IF($F66="unclassified","N/A",(_xlfn.XLOOKUP($E66,[1]Sheet2!$A:$A,[1]Sheet2!AA:AA,"N/A",0,1)))</f>
        <v>1</v>
      </c>
      <c r="T66" s="7">
        <f>IF($F66="unclassified","N/A",(_xlfn.XLOOKUP($E66,[1]Sheet2!$A:$A,[1]Sheet2!AB:AB,"N/A",0,1)))</f>
        <v>1</v>
      </c>
      <c r="U66" s="35">
        <f>IF($F66="unclassified","N/A",(AVERAGE(Table325[[#This Row],[PO nr]:[Delivery Date]])))</f>
        <v>1</v>
      </c>
      <c r="V66" s="38"/>
      <c r="W66" s="38"/>
      <c r="X66" s="38"/>
      <c r="Y66" s="38"/>
      <c r="Z66" s="38"/>
    </row>
    <row r="67" spans="3:26" ht="15" customHeight="1" x14ac:dyDescent="0.3">
      <c r="C67" t="str">
        <f>_xlfn.XLOOKUP(Table325[[#This Row],[Customer]],'[1]Top 300'!C:C,'[1]Top 300'!A:A,"0",2,1)</f>
        <v>0</v>
      </c>
      <c r="D67" s="39" t="str">
        <f>_xlfn.XLOOKUP(Table325[[#This Row],[File Name]],'[1]Analyse 2 Detail 02-03'!A:A,'[1]Analyse 2 Detail 02-03'!R:R,"Not Found",0,1)</f>
        <v>Fresenius Kabi Nederland B.V.</v>
      </c>
      <c r="E67" s="31" t="s">
        <v>110</v>
      </c>
      <c r="F67" s="40" t="s">
        <v>31</v>
      </c>
      <c r="G67" s="41">
        <v>0</v>
      </c>
      <c r="H67" s="7">
        <f>IF($F67="unclassified","N/A",(_xlfn.XLOOKUP($E67,[1]Sheet2!$A:$A,[1]Sheet2!Q:Q,"N/A",0,1)))</f>
        <v>1</v>
      </c>
      <c r="I67" s="7">
        <f>IF($F67="unclassified","N/A",(_xlfn.XLOOKUP($E67,[1]Sheet2!$A:$A,[1]Sheet2!R:R,"N/A",0,1)))</f>
        <v>1</v>
      </c>
      <c r="J67" s="7">
        <f>IF($F67="unclassified","N/A",(_xlfn.XLOOKUP($E67,[1]Sheet2!$A:$A,[1]Sheet2!S:S,"N/A",0,1)))</f>
        <v>1</v>
      </c>
      <c r="K67" s="7">
        <f>IF($F67="unclassified","N/A",(_xlfn.XLOOKUP($E67,[1]Sheet2!$A:$A,[1]Sheet2!T:T,"N/A",0,1)))</f>
        <v>1</v>
      </c>
      <c r="L67" s="7">
        <f>IF($F67="unclassified","N/A",(_xlfn.XLOOKUP($E67,[1]Sheet2!$A:$A,[1]Sheet2!U:U,"N/A",0,1)))</f>
        <v>1</v>
      </c>
      <c r="M67" s="34">
        <f>IF($F67="unclassified","N/A",(_xlfn.XLOOKUP($E67,[1]Sheet2!$A:$A,[1]Sheet2!V:V,"N/A",0,1)))</f>
        <v>1</v>
      </c>
      <c r="N67" s="7"/>
      <c r="O67" s="7">
        <f>IF($F67="unclassified","N/A",(_xlfn.XLOOKUP($E67,[1]Sheet2!$A:$A,[1]Sheet2!W:W,"N/A",0,1)))</f>
        <v>1</v>
      </c>
      <c r="P67" s="7">
        <f>IF($F67="unclassified","N/A",(_xlfn.XLOOKUP($E67,[1]Sheet2!$A:$A,[1]Sheet2!X:X,"N/A",0,1)))</f>
        <v>1</v>
      </c>
      <c r="Q67" s="7">
        <f>IF($F67="unclassified","N/A",(_xlfn.XLOOKUP($E67,[1]Sheet2!$A:$A,[1]Sheet2!Y:Y,"N/A",0,1)))</f>
        <v>1</v>
      </c>
      <c r="R67" s="7">
        <f>IF($F67="unclassified","N/A",(_xlfn.XLOOKUP($E67,[1]Sheet2!$A:$A,[1]Sheet2!Z:Z,"N/A",0,1)))</f>
        <v>1</v>
      </c>
      <c r="S67" s="7">
        <f>IF($F67="unclassified","N/A",(_xlfn.XLOOKUP($E67,[1]Sheet2!$A:$A,[1]Sheet2!AA:AA,"N/A",0,1)))</f>
        <v>1</v>
      </c>
      <c r="T67" s="7">
        <f>IF($F67="unclassified","N/A",(_xlfn.XLOOKUP($E67,[1]Sheet2!$A:$A,[1]Sheet2!AB:AB,"N/A",0,1)))</f>
        <v>1</v>
      </c>
      <c r="U67" s="35">
        <f>IF($F67="unclassified","N/A",(AVERAGE(Table325[[#This Row],[PO nr]:[Delivery Date]])))</f>
        <v>1</v>
      </c>
      <c r="V67" s="38"/>
      <c r="W67" s="38"/>
      <c r="X67" s="38"/>
      <c r="Y67" s="38"/>
      <c r="Z67" s="38"/>
    </row>
    <row r="68" spans="3:26" ht="15" customHeight="1" x14ac:dyDescent="0.3">
      <c r="C68" t="str">
        <f>_xlfn.XLOOKUP(Table325[[#This Row],[Customer]],'[1]Top 300'!C:C,'[1]Top 300'!A:A,"0",2,1)</f>
        <v>0</v>
      </c>
      <c r="D68" s="39" t="str">
        <f>_xlfn.XLOOKUP(Table325[[#This Row],[File Name]],'[1]Analyse 2 Detail 02-03'!A:A,'[1]Analyse 2 Detail 02-03'!R:R,"Not Found",0,1)</f>
        <v>Duomed Belgium NV/SA</v>
      </c>
      <c r="E68" s="31" t="s">
        <v>111</v>
      </c>
      <c r="F68" s="40" t="s">
        <v>31</v>
      </c>
      <c r="G68" s="41">
        <v>0</v>
      </c>
      <c r="H68" s="7">
        <f>IF($F68="unclassified","N/A",(_xlfn.XLOOKUP($E68,[1]Sheet2!$A:$A,[1]Sheet2!Q:Q,"N/A",0,1)))</f>
        <v>1</v>
      </c>
      <c r="I68" s="7">
        <f>IF($F68="unclassified","N/A",(_xlfn.XLOOKUP($E68,[1]Sheet2!$A:$A,[1]Sheet2!R:R,"N/A",0,1)))</f>
        <v>1</v>
      </c>
      <c r="J68" s="7">
        <f>IF($F68="unclassified","N/A",(_xlfn.XLOOKUP($E68,[1]Sheet2!$A:$A,[1]Sheet2!S:S,"N/A",0,1)))</f>
        <v>1</v>
      </c>
      <c r="K68" s="7">
        <f>IF($F68="unclassified","N/A",(_xlfn.XLOOKUP($E68,[1]Sheet2!$A:$A,[1]Sheet2!T:T,"N/A",0,1)))</f>
        <v>1</v>
      </c>
      <c r="L68" s="7">
        <f>IF($F68="unclassified","N/A",(_xlfn.XLOOKUP($E68,[1]Sheet2!$A:$A,[1]Sheet2!U:U,"N/A",0,1)))</f>
        <v>1</v>
      </c>
      <c r="M68" s="34">
        <f>IF($F68="unclassified","N/A",(_xlfn.XLOOKUP($E68,[1]Sheet2!$A:$A,[1]Sheet2!V:V,"N/A",0,1)))</f>
        <v>1</v>
      </c>
      <c r="N68" s="7"/>
      <c r="O68" s="7">
        <f>IF($F68="unclassified","N/A",(_xlfn.XLOOKUP($E68,[1]Sheet2!$A:$A,[1]Sheet2!W:W,"N/A",0,1)))</f>
        <v>1</v>
      </c>
      <c r="P68" s="7">
        <f>IF($F68="unclassified","N/A",(_xlfn.XLOOKUP($E68,[1]Sheet2!$A:$A,[1]Sheet2!X:X,"N/A",0,1)))</f>
        <v>1</v>
      </c>
      <c r="Q68" s="7">
        <f>IF($F68="unclassified","N/A",(_xlfn.XLOOKUP($E68,[1]Sheet2!$A:$A,[1]Sheet2!Y:Y,"N/A",0,1)))</f>
        <v>1</v>
      </c>
      <c r="R68" s="7">
        <f>IF($F68="unclassified","N/A",(_xlfn.XLOOKUP($E68,[1]Sheet2!$A:$A,[1]Sheet2!Z:Z,"N/A",0,1)))</f>
        <v>1</v>
      </c>
      <c r="S68" s="7">
        <f>IF($F68="unclassified","N/A",(_xlfn.XLOOKUP($E68,[1]Sheet2!$A:$A,[1]Sheet2!AA:AA,"N/A",0,1)))</f>
        <v>1</v>
      </c>
      <c r="T68" s="7">
        <f>IF($F68="unclassified","N/A",(_xlfn.XLOOKUP($E68,[1]Sheet2!$A:$A,[1]Sheet2!AB:AB,"N/A",0,1)))</f>
        <v>1</v>
      </c>
      <c r="U68" s="35">
        <f>IF($F68="unclassified","N/A",(AVERAGE(Table325[[#This Row],[PO nr]:[Delivery Date]])))</f>
        <v>1</v>
      </c>
      <c r="V68" s="38"/>
      <c r="W68" s="38"/>
      <c r="X68" s="38"/>
      <c r="Y68" s="38"/>
      <c r="Z68" s="38"/>
    </row>
    <row r="69" spans="3:26" ht="15" customHeight="1" x14ac:dyDescent="0.3">
      <c r="C69" t="str">
        <f>_xlfn.XLOOKUP(Table325[[#This Row],[Customer]],'[1]Top 300'!C:C,'[1]Top 300'!A:A,"0",2,1)</f>
        <v>0</v>
      </c>
      <c r="D69" s="39" t="str">
        <f>_xlfn.XLOOKUP(Table325[[#This Row],[File Name]],'[1]Analyse 2 Detail 02-03'!A:A,'[1]Analyse 2 Detail 02-03'!R:R,"Not Found",0,1)</f>
        <v>Duomed Belgium NV/SA</v>
      </c>
      <c r="E69" s="31" t="s">
        <v>112</v>
      </c>
      <c r="F69" s="40" t="s">
        <v>31</v>
      </c>
      <c r="G69" s="41">
        <v>0</v>
      </c>
      <c r="H69" s="7">
        <f>IF($F69="unclassified","N/A",(_xlfn.XLOOKUP($E69,[1]Sheet2!$A:$A,[1]Sheet2!Q:Q,"N/A",0,1)))</f>
        <v>1</v>
      </c>
      <c r="I69" s="7">
        <f>IF($F69="unclassified","N/A",(_xlfn.XLOOKUP($E69,[1]Sheet2!$A:$A,[1]Sheet2!R:R,"N/A",0,1)))</f>
        <v>1</v>
      </c>
      <c r="J69" s="7">
        <f>IF($F69="unclassified","N/A",(_xlfn.XLOOKUP($E69,[1]Sheet2!$A:$A,[1]Sheet2!S:S,"N/A",0,1)))</f>
        <v>1</v>
      </c>
      <c r="K69" s="7">
        <f>IF($F69="unclassified","N/A",(_xlfn.XLOOKUP($E69,[1]Sheet2!$A:$A,[1]Sheet2!T:T,"N/A",0,1)))</f>
        <v>1</v>
      </c>
      <c r="L69" s="7">
        <f>IF($F69="unclassified","N/A",(_xlfn.XLOOKUP($E69,[1]Sheet2!$A:$A,[1]Sheet2!U:U,"N/A",0,1)))</f>
        <v>1</v>
      </c>
      <c r="M69" s="34">
        <f>IF($F69="unclassified","N/A",(_xlfn.XLOOKUP($E69,[1]Sheet2!$A:$A,[1]Sheet2!V:V,"N/A",0,1)))</f>
        <v>1</v>
      </c>
      <c r="N69" s="7"/>
      <c r="O69" s="7">
        <f>IF($F69="unclassified","N/A",(_xlfn.XLOOKUP($E69,[1]Sheet2!$A:$A,[1]Sheet2!W:W,"N/A",0,1)))</f>
        <v>1</v>
      </c>
      <c r="P69" s="7">
        <f>IF($F69="unclassified","N/A",(_xlfn.XLOOKUP($E69,[1]Sheet2!$A:$A,[1]Sheet2!X:X,"N/A",0,1)))</f>
        <v>1</v>
      </c>
      <c r="Q69" s="7">
        <f>IF($F69="unclassified","N/A",(_xlfn.XLOOKUP($E69,[1]Sheet2!$A:$A,[1]Sheet2!Y:Y,"N/A",0,1)))</f>
        <v>1</v>
      </c>
      <c r="R69" s="7">
        <f>IF($F69="unclassified","N/A",(_xlfn.XLOOKUP($E69,[1]Sheet2!$A:$A,[1]Sheet2!Z:Z,"N/A",0,1)))</f>
        <v>1</v>
      </c>
      <c r="S69" s="7">
        <f>IF($F69="unclassified","N/A",(_xlfn.XLOOKUP($E69,[1]Sheet2!$A:$A,[1]Sheet2!AA:AA,"N/A",0,1)))</f>
        <v>1</v>
      </c>
      <c r="T69" s="7">
        <f>IF($F69="unclassified","N/A",(_xlfn.XLOOKUP($E69,[1]Sheet2!$A:$A,[1]Sheet2!AB:AB,"N/A",0,1)))</f>
        <v>1</v>
      </c>
      <c r="U69" s="35">
        <f>IF($F69="unclassified","N/A",(AVERAGE(Table325[[#This Row],[PO nr]:[Delivery Date]])))</f>
        <v>1</v>
      </c>
      <c r="V69" s="38"/>
      <c r="W69" s="38"/>
      <c r="X69" s="38"/>
      <c r="Y69" s="38"/>
      <c r="Z69" s="38"/>
    </row>
    <row r="70" spans="3:26" ht="15" customHeight="1" x14ac:dyDescent="0.3">
      <c r="C70" t="str">
        <f>_xlfn.XLOOKUP(Table325[[#This Row],[Customer]],'[1]Top 300'!C:C,'[1]Top 300'!A:A,"0",2,1)</f>
        <v>0</v>
      </c>
      <c r="D70" s="39" t="str">
        <f>_xlfn.XLOOKUP(Table325[[#This Row],[File Name]],'[1]Analyse 2 Detail 02-03'!A:A,'[1]Analyse 2 Detail 02-03'!R:R,"Not Found",0,1)</f>
        <v>Duomed Belgium NV/SA</v>
      </c>
      <c r="E70" s="31" t="s">
        <v>113</v>
      </c>
      <c r="F70" s="40" t="s">
        <v>31</v>
      </c>
      <c r="G70" s="41">
        <v>0</v>
      </c>
      <c r="H70" s="7">
        <f>IF($F70="unclassified","N/A",(_xlfn.XLOOKUP($E70,[1]Sheet2!$A:$A,[1]Sheet2!Q:Q,"N/A",0,1)))</f>
        <v>1</v>
      </c>
      <c r="I70" s="7">
        <f>IF($F70="unclassified","N/A",(_xlfn.XLOOKUP($E70,[1]Sheet2!$A:$A,[1]Sheet2!R:R,"N/A",0,1)))</f>
        <v>1</v>
      </c>
      <c r="J70" s="7">
        <f>IF($F70="unclassified","N/A",(_xlfn.XLOOKUP($E70,[1]Sheet2!$A:$A,[1]Sheet2!S:S,"N/A",0,1)))</f>
        <v>1</v>
      </c>
      <c r="K70" s="7">
        <f>IF($F70="unclassified","N/A",(_xlfn.XLOOKUP($E70,[1]Sheet2!$A:$A,[1]Sheet2!T:T,"N/A",0,1)))</f>
        <v>1</v>
      </c>
      <c r="L70" s="7">
        <f>IF($F70="unclassified","N/A",(_xlfn.XLOOKUP($E70,[1]Sheet2!$A:$A,[1]Sheet2!U:U,"N/A",0,1)))</f>
        <v>1</v>
      </c>
      <c r="M70" s="34">
        <f>IF($F70="unclassified","N/A",(_xlfn.XLOOKUP($E70,[1]Sheet2!$A:$A,[1]Sheet2!V:V,"N/A",0,1)))</f>
        <v>1</v>
      </c>
      <c r="N70" s="7"/>
      <c r="O70" s="7">
        <f>IF($F70="unclassified","N/A",(_xlfn.XLOOKUP($E70,[1]Sheet2!$A:$A,[1]Sheet2!W:W,"N/A",0,1)))</f>
        <v>1</v>
      </c>
      <c r="P70" s="7">
        <f>IF($F70="unclassified","N/A",(_xlfn.XLOOKUP($E70,[1]Sheet2!$A:$A,[1]Sheet2!X:X,"N/A",0,1)))</f>
        <v>1</v>
      </c>
      <c r="Q70" s="7">
        <f>IF($F70="unclassified","N/A",(_xlfn.XLOOKUP($E70,[1]Sheet2!$A:$A,[1]Sheet2!Y:Y,"N/A",0,1)))</f>
        <v>1</v>
      </c>
      <c r="R70" s="7">
        <f>IF($F70="unclassified","N/A",(_xlfn.XLOOKUP($E70,[1]Sheet2!$A:$A,[1]Sheet2!Z:Z,"N/A",0,1)))</f>
        <v>1</v>
      </c>
      <c r="S70" s="7">
        <f>IF($F70="unclassified","N/A",(_xlfn.XLOOKUP($E70,[1]Sheet2!$A:$A,[1]Sheet2!AA:AA,"N/A",0,1)))</f>
        <v>1</v>
      </c>
      <c r="T70" s="7">
        <f>IF($F70="unclassified","N/A",(_xlfn.XLOOKUP($E70,[1]Sheet2!$A:$A,[1]Sheet2!AB:AB,"N/A",0,1)))</f>
        <v>1</v>
      </c>
      <c r="U70" s="35">
        <f>IF($F70="unclassified","N/A",(AVERAGE(Table325[[#This Row],[PO nr]:[Delivery Date]])))</f>
        <v>1</v>
      </c>
      <c r="V70" s="38"/>
      <c r="W70" s="38"/>
      <c r="X70" s="38"/>
      <c r="Y70" s="38"/>
      <c r="Z70" s="38"/>
    </row>
    <row r="71" spans="3:26" ht="15" customHeight="1" x14ac:dyDescent="0.3">
      <c r="C71" t="str">
        <f>_xlfn.XLOOKUP(Table325[[#This Row],[Customer]],'[1]Top 300'!C:C,'[1]Top 300'!A:A,"0",2,1)</f>
        <v>0</v>
      </c>
      <c r="D71" s="39" t="str">
        <f>_xlfn.XLOOKUP(Table325[[#This Row],[File Name]],'[1]Analyse 2 Detail 02-03'!A:A,'[1]Analyse 2 Detail 02-03'!R:R,"Not Found",0,1)</f>
        <v>Duomed Belgium NV/SA</v>
      </c>
      <c r="E71" s="31" t="s">
        <v>114</v>
      </c>
      <c r="F71" s="40" t="s">
        <v>31</v>
      </c>
      <c r="G71" s="41">
        <v>0</v>
      </c>
      <c r="H71" s="7">
        <f>IF($F71="unclassified","N/A",(_xlfn.XLOOKUP($E71,[1]Sheet2!$A:$A,[1]Sheet2!Q:Q,"N/A",0,1)))</f>
        <v>1</v>
      </c>
      <c r="I71" s="7">
        <f>IF($F71="unclassified","N/A",(_xlfn.XLOOKUP($E71,[1]Sheet2!$A:$A,[1]Sheet2!R:R,"N/A",0,1)))</f>
        <v>1</v>
      </c>
      <c r="J71" s="7">
        <f>IF($F71="unclassified","N/A",(_xlfn.XLOOKUP($E71,[1]Sheet2!$A:$A,[1]Sheet2!S:S,"N/A",0,1)))</f>
        <v>1</v>
      </c>
      <c r="K71" s="7">
        <f>IF($F71="unclassified","N/A",(_xlfn.XLOOKUP($E71,[1]Sheet2!$A:$A,[1]Sheet2!T:T,"N/A",0,1)))</f>
        <v>1</v>
      </c>
      <c r="L71" s="7">
        <f>IF($F71="unclassified","N/A",(_xlfn.XLOOKUP($E71,[1]Sheet2!$A:$A,[1]Sheet2!U:U,"N/A",0,1)))</f>
        <v>1</v>
      </c>
      <c r="M71" s="34">
        <f>IF($F71="unclassified","N/A",(_xlfn.XLOOKUP($E71,[1]Sheet2!$A:$A,[1]Sheet2!V:V,"N/A",0,1)))</f>
        <v>1</v>
      </c>
      <c r="N71" s="7"/>
      <c r="O71" s="7">
        <f>IF($F71="unclassified","N/A",(_xlfn.XLOOKUP($E71,[1]Sheet2!$A:$A,[1]Sheet2!W:W,"N/A",0,1)))</f>
        <v>1</v>
      </c>
      <c r="P71" s="7">
        <f>IF($F71="unclassified","N/A",(_xlfn.XLOOKUP($E71,[1]Sheet2!$A:$A,[1]Sheet2!X:X,"N/A",0,1)))</f>
        <v>1</v>
      </c>
      <c r="Q71" s="7">
        <f>IF($F71="unclassified","N/A",(_xlfn.XLOOKUP($E71,[1]Sheet2!$A:$A,[1]Sheet2!Y:Y,"N/A",0,1)))</f>
        <v>1</v>
      </c>
      <c r="R71" s="7">
        <f>IF($F71="unclassified","N/A",(_xlfn.XLOOKUP($E71,[1]Sheet2!$A:$A,[1]Sheet2!Z:Z,"N/A",0,1)))</f>
        <v>1</v>
      </c>
      <c r="S71" s="7">
        <f>IF($F71="unclassified","N/A",(_xlfn.XLOOKUP($E71,[1]Sheet2!$A:$A,[1]Sheet2!AA:AA,"N/A",0,1)))</f>
        <v>1</v>
      </c>
      <c r="T71" s="7">
        <f>IF($F71="unclassified","N/A",(_xlfn.XLOOKUP($E71,[1]Sheet2!$A:$A,[1]Sheet2!AB:AB,"N/A",0,1)))</f>
        <v>1</v>
      </c>
      <c r="U71" s="35">
        <f>IF($F71="unclassified","N/A",(AVERAGE(Table325[[#This Row],[PO nr]:[Delivery Date]])))</f>
        <v>1</v>
      </c>
      <c r="V71" s="38"/>
      <c r="W71" s="38"/>
      <c r="X71" s="38"/>
      <c r="Y71" s="38"/>
      <c r="Z71" s="38"/>
    </row>
    <row r="72" spans="3:26" ht="15" customHeight="1" x14ac:dyDescent="0.3">
      <c r="C72" t="str">
        <f>_xlfn.XLOOKUP(Table325[[#This Row],[Customer]],'[1]Top 300'!C:C,'[1]Top 300'!A:A,"0",2,1)</f>
        <v>0</v>
      </c>
      <c r="D72" s="39" t="str">
        <f>_xlfn.XLOOKUP(Table325[[#This Row],[File Name]],'[1]Analyse 2 Detail 02-03'!A:A,'[1]Analyse 2 Detail 02-03'!R:R,"Not Found",0,1)</f>
        <v>Duomed Belgium NV/SA</v>
      </c>
      <c r="E72" s="31" t="s">
        <v>115</v>
      </c>
      <c r="F72" s="40" t="s">
        <v>31</v>
      </c>
      <c r="G72" s="41">
        <v>0</v>
      </c>
      <c r="H72" s="7">
        <f>IF($F72="unclassified","N/A",(_xlfn.XLOOKUP($E72,[1]Sheet2!$A:$A,[1]Sheet2!Q:Q,"N/A",0,1)))</f>
        <v>1</v>
      </c>
      <c r="I72" s="7">
        <f>IF($F72="unclassified","N/A",(_xlfn.XLOOKUP($E72,[1]Sheet2!$A:$A,[1]Sheet2!R:R,"N/A",0,1)))</f>
        <v>1</v>
      </c>
      <c r="J72" s="7">
        <f>IF($F72="unclassified","N/A",(_xlfn.XLOOKUP($E72,[1]Sheet2!$A:$A,[1]Sheet2!S:S,"N/A",0,1)))</f>
        <v>1</v>
      </c>
      <c r="K72" s="7">
        <f>IF($F72="unclassified","N/A",(_xlfn.XLOOKUP($E72,[1]Sheet2!$A:$A,[1]Sheet2!T:T,"N/A",0,1)))</f>
        <v>1</v>
      </c>
      <c r="L72" s="7">
        <f>IF($F72="unclassified","N/A",(_xlfn.XLOOKUP($E72,[1]Sheet2!$A:$A,[1]Sheet2!U:U,"N/A",0,1)))</f>
        <v>1</v>
      </c>
      <c r="M72" s="34">
        <f>IF($F72="unclassified","N/A",(_xlfn.XLOOKUP($E72,[1]Sheet2!$A:$A,[1]Sheet2!V:V,"N/A",0,1)))</f>
        <v>1</v>
      </c>
      <c r="N72" s="7"/>
      <c r="O72" s="7">
        <f>IF($F72="unclassified","N/A",(_xlfn.XLOOKUP($E72,[1]Sheet2!$A:$A,[1]Sheet2!W:W,"N/A",0,1)))</f>
        <v>1</v>
      </c>
      <c r="P72" s="7">
        <f>IF($F72="unclassified","N/A",(_xlfn.XLOOKUP($E72,[1]Sheet2!$A:$A,[1]Sheet2!X:X,"N/A",0,1)))</f>
        <v>1</v>
      </c>
      <c r="Q72" s="7">
        <f>IF($F72="unclassified","N/A",(_xlfn.XLOOKUP($E72,[1]Sheet2!$A:$A,[1]Sheet2!Y:Y,"N/A",0,1)))</f>
        <v>1</v>
      </c>
      <c r="R72" s="7">
        <f>IF($F72="unclassified","N/A",(_xlfn.XLOOKUP($E72,[1]Sheet2!$A:$A,[1]Sheet2!Z:Z,"N/A",0,1)))</f>
        <v>1</v>
      </c>
      <c r="S72" s="7">
        <f>IF($F72="unclassified","N/A",(_xlfn.XLOOKUP($E72,[1]Sheet2!$A:$A,[1]Sheet2!AA:AA,"N/A",0,1)))</f>
        <v>1</v>
      </c>
      <c r="T72" s="7">
        <f>IF($F72="unclassified","N/A",(_xlfn.XLOOKUP($E72,[1]Sheet2!$A:$A,[1]Sheet2!AB:AB,"N/A",0,1)))</f>
        <v>1</v>
      </c>
      <c r="U72" s="35">
        <f>IF($F72="unclassified","N/A",(AVERAGE(Table325[[#This Row],[PO nr]:[Delivery Date]])))</f>
        <v>1</v>
      </c>
      <c r="V72" s="38"/>
      <c r="W72" s="38"/>
      <c r="X72" s="38"/>
      <c r="Y72" s="38"/>
      <c r="Z72" s="38"/>
    </row>
    <row r="73" spans="3:26" ht="15" customHeight="1" x14ac:dyDescent="0.3">
      <c r="C73" t="str">
        <f>_xlfn.XLOOKUP(Table325[[#This Row],[Customer]],'[1]Top 300'!C:C,'[1]Top 300'!A:A,"0",2,1)</f>
        <v>0</v>
      </c>
      <c r="D73" s="39" t="str">
        <f>_xlfn.XLOOKUP(Table325[[#This Row],[File Name]],'[1]Analyse 2 Detail 02-03'!A:A,'[1]Analyse 2 Detail 02-03'!R:R,"Not Found",0,1)</f>
        <v>Duomed Belgium NV/SA</v>
      </c>
      <c r="E73" s="31" t="s">
        <v>116</v>
      </c>
      <c r="F73" s="40" t="s">
        <v>31</v>
      </c>
      <c r="G73" s="41">
        <v>0</v>
      </c>
      <c r="H73" s="7">
        <f>IF($F73="unclassified","N/A",(_xlfn.XLOOKUP($E73,[1]Sheet2!$A:$A,[1]Sheet2!Q:Q,"N/A",0,1)))</f>
        <v>1</v>
      </c>
      <c r="I73" s="7">
        <f>IF($F73="unclassified","N/A",(_xlfn.XLOOKUP($E73,[1]Sheet2!$A:$A,[1]Sheet2!R:R,"N/A",0,1)))</f>
        <v>1</v>
      </c>
      <c r="J73" s="7">
        <f>IF($F73="unclassified","N/A",(_xlfn.XLOOKUP($E73,[1]Sheet2!$A:$A,[1]Sheet2!S:S,"N/A",0,1)))</f>
        <v>1</v>
      </c>
      <c r="K73" s="7">
        <f>IF($F73="unclassified","N/A",(_xlfn.XLOOKUP($E73,[1]Sheet2!$A:$A,[1]Sheet2!T:T,"N/A",0,1)))</f>
        <v>1</v>
      </c>
      <c r="L73" s="7">
        <f>IF($F73="unclassified","N/A",(_xlfn.XLOOKUP($E73,[1]Sheet2!$A:$A,[1]Sheet2!U:U,"N/A",0,1)))</f>
        <v>1</v>
      </c>
      <c r="M73" s="34">
        <f>IF($F73="unclassified","N/A",(_xlfn.XLOOKUP($E73,[1]Sheet2!$A:$A,[1]Sheet2!V:V,"N/A",0,1)))</f>
        <v>1</v>
      </c>
      <c r="N73" s="7"/>
      <c r="O73" s="7">
        <f>IF($F73="unclassified","N/A",(_xlfn.XLOOKUP($E73,[1]Sheet2!$A:$A,[1]Sheet2!W:W,"N/A",0,1)))</f>
        <v>1</v>
      </c>
      <c r="P73" s="7">
        <f>IF($F73="unclassified","N/A",(_xlfn.XLOOKUP($E73,[1]Sheet2!$A:$A,[1]Sheet2!X:X,"N/A",0,1)))</f>
        <v>1</v>
      </c>
      <c r="Q73" s="7">
        <f>IF($F73="unclassified","N/A",(_xlfn.XLOOKUP($E73,[1]Sheet2!$A:$A,[1]Sheet2!Y:Y,"N/A",0,1)))</f>
        <v>1</v>
      </c>
      <c r="R73" s="7">
        <f>IF($F73="unclassified","N/A",(_xlfn.XLOOKUP($E73,[1]Sheet2!$A:$A,[1]Sheet2!Z:Z,"N/A",0,1)))</f>
        <v>1</v>
      </c>
      <c r="S73" s="7">
        <f>IF($F73="unclassified","N/A",(_xlfn.XLOOKUP($E73,[1]Sheet2!$A:$A,[1]Sheet2!AA:AA,"N/A",0,1)))</f>
        <v>1</v>
      </c>
      <c r="T73" s="7">
        <f>IF($F73="unclassified","N/A",(_xlfn.XLOOKUP($E73,[1]Sheet2!$A:$A,[1]Sheet2!AB:AB,"N/A",0,1)))</f>
        <v>1</v>
      </c>
      <c r="U73" s="35">
        <f>IF($F73="unclassified","N/A",(AVERAGE(Table325[[#This Row],[PO nr]:[Delivery Date]])))</f>
        <v>1</v>
      </c>
      <c r="V73" s="38"/>
      <c r="W73" s="38"/>
      <c r="X73" s="38"/>
      <c r="Y73" s="38"/>
      <c r="Z73" s="38"/>
    </row>
    <row r="74" spans="3:26" ht="15" customHeight="1" x14ac:dyDescent="0.3">
      <c r="C74" t="str">
        <f>_xlfn.XLOOKUP(Table325[[#This Row],[Customer]],'[1]Top 300'!C:C,'[1]Top 300'!A:A,"0",2,1)</f>
        <v>0</v>
      </c>
      <c r="D74" s="39">
        <f>_xlfn.XLOOKUP(Table325[[#This Row],[File Name]],'[1]Analyse 2 Detail 02-03'!A:A,'[1]Analyse 2 Detail 02-03'!R:R,"Not Found",0,1)</f>
        <v>0</v>
      </c>
      <c r="E74" s="31" t="s">
        <v>117</v>
      </c>
      <c r="F74" s="40" t="s">
        <v>31</v>
      </c>
      <c r="G74" s="41">
        <v>0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34">
        <v>1</v>
      </c>
      <c r="N74" s="7"/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35">
        <f>IF($F74="unclassified","N/A",(AVERAGE(Table325[[#This Row],[PO nr]:[Delivery Date]])))</f>
        <v>1</v>
      </c>
      <c r="V74" s="38"/>
      <c r="W74" s="38"/>
      <c r="X74" s="38"/>
      <c r="Y74" s="38"/>
      <c r="Z74" s="38"/>
    </row>
    <row r="75" spans="3:26" ht="15" customHeight="1" x14ac:dyDescent="0.3">
      <c r="C75" t="str">
        <f>_xlfn.XLOOKUP(Table325[[#This Row],[Customer]],'[1]Top 300'!C:C,'[1]Top 300'!A:A,"0",2,1)</f>
        <v>0</v>
      </c>
      <c r="D75" s="39" t="str">
        <f>_xlfn.XLOOKUP(Table325[[#This Row],[File Name]],'[1]Analyse 2 Detail 02-03'!A:A,'[1]Analyse 2 Detail 02-03'!R:R,"Not Found",0,1)</f>
        <v>Medica Europe B.V.</v>
      </c>
      <c r="E75" s="31" t="s">
        <v>118</v>
      </c>
      <c r="F75" s="40" t="s">
        <v>31</v>
      </c>
      <c r="G75" s="41">
        <v>0</v>
      </c>
      <c r="H75" s="7">
        <f>IF($F75="unclassified","N/A",(_xlfn.XLOOKUP($E75,[1]Sheet2!$A:$A,[1]Sheet2!Q:Q,"N/A",0,1)))</f>
        <v>1</v>
      </c>
      <c r="I75" s="7">
        <f>IF($F75="unclassified","N/A",(_xlfn.XLOOKUP($E75,[1]Sheet2!$A:$A,[1]Sheet2!R:R,"N/A",0,1)))</f>
        <v>1</v>
      </c>
      <c r="J75" s="7">
        <f>IF($F75="unclassified","N/A",(_xlfn.XLOOKUP($E75,[1]Sheet2!$A:$A,[1]Sheet2!S:S,"N/A",0,1)))</f>
        <v>1</v>
      </c>
      <c r="K75" s="7">
        <f>IF($F75="unclassified","N/A",(_xlfn.XLOOKUP($E75,[1]Sheet2!$A:$A,[1]Sheet2!T:T,"N/A",0,1)))</f>
        <v>1</v>
      </c>
      <c r="L75" s="7">
        <f>IF($F75="unclassified","N/A",(_xlfn.XLOOKUP($E75,[1]Sheet2!$A:$A,[1]Sheet2!U:U,"N/A",0,1)))</f>
        <v>1</v>
      </c>
      <c r="M75" s="34">
        <f>IF($F75="unclassified","N/A",(_xlfn.XLOOKUP($E75,[1]Sheet2!$A:$A,[1]Sheet2!V:V,"N/A",0,1)))</f>
        <v>1</v>
      </c>
      <c r="N75" s="7"/>
      <c r="O75" s="7">
        <f>IF($F75="unclassified","N/A",(_xlfn.XLOOKUP($E75,[1]Sheet2!$A:$A,[1]Sheet2!W:W,"N/A",0,1)))</f>
        <v>1</v>
      </c>
      <c r="P75" s="7">
        <f>IF($F75="unclassified","N/A",(_xlfn.XLOOKUP($E75,[1]Sheet2!$A:$A,[1]Sheet2!X:X,"N/A",0,1)))</f>
        <v>1</v>
      </c>
      <c r="Q75" s="7">
        <f>IF($F75="unclassified","N/A",(_xlfn.XLOOKUP($E75,[1]Sheet2!$A:$A,[1]Sheet2!Y:Y,"N/A",0,1)))</f>
        <v>1</v>
      </c>
      <c r="R75" s="7">
        <f>IF($F75="unclassified","N/A",(_xlfn.XLOOKUP($E75,[1]Sheet2!$A:$A,[1]Sheet2!Z:Z,"N/A",0,1)))</f>
        <v>1</v>
      </c>
      <c r="S75" s="7">
        <f>IF($F75="unclassified","N/A",(_xlfn.XLOOKUP($E75,[1]Sheet2!$A:$A,[1]Sheet2!AA:AA,"N/A",0,1)))</f>
        <v>1</v>
      </c>
      <c r="T75" s="7">
        <f>IF($F75="unclassified","N/A",(_xlfn.XLOOKUP($E75,[1]Sheet2!$A:$A,[1]Sheet2!AB:AB,"N/A",0,1)))</f>
        <v>1</v>
      </c>
      <c r="U75" s="35">
        <f>IF($F75="unclassified","N/A",(AVERAGE(Table325[[#This Row],[PO nr]:[Delivery Date]])))</f>
        <v>1</v>
      </c>
      <c r="V75" s="38"/>
      <c r="W75" s="38"/>
      <c r="X75" s="38"/>
      <c r="Y75" s="38"/>
      <c r="Z75" s="38"/>
    </row>
    <row r="76" spans="3:26" ht="15" customHeight="1" x14ac:dyDescent="0.3">
      <c r="C76" t="str">
        <f>_xlfn.XLOOKUP(Table325[[#This Row],[Customer]],'[1]Top 300'!C:C,'[1]Top 300'!A:A,"0",2,1)</f>
        <v>0</v>
      </c>
      <c r="D76" s="39" t="str">
        <f>_xlfn.XLOOKUP(Table325[[#This Row],[File Name]],'[1]Analyse 2 Detail 02-03'!A:A,'[1]Analyse 2 Detail 02-03'!R:R,"Not Found",0,1)</f>
        <v>Medica Europe B.V.</v>
      </c>
      <c r="E76" s="31" t="s">
        <v>118</v>
      </c>
      <c r="F76" s="40" t="s">
        <v>31</v>
      </c>
      <c r="G76" s="41">
        <v>0</v>
      </c>
      <c r="H76" s="7">
        <f>IF($F76="unclassified","N/A",(_xlfn.XLOOKUP($E76,[1]Sheet2!$A:$A,[1]Sheet2!Q:Q,"N/A",0,1)))</f>
        <v>1</v>
      </c>
      <c r="I76" s="7">
        <f>IF($F76="unclassified","N/A",(_xlfn.XLOOKUP($E76,[1]Sheet2!$A:$A,[1]Sheet2!R:R,"N/A",0,1)))</f>
        <v>1</v>
      </c>
      <c r="J76" s="7">
        <f>IF($F76="unclassified","N/A",(_xlfn.XLOOKUP($E76,[1]Sheet2!$A:$A,[1]Sheet2!S:S,"N/A",0,1)))</f>
        <v>1</v>
      </c>
      <c r="K76" s="7">
        <f>IF($F76="unclassified","N/A",(_xlfn.XLOOKUP($E76,[1]Sheet2!$A:$A,[1]Sheet2!T:T,"N/A",0,1)))</f>
        <v>1</v>
      </c>
      <c r="L76" s="7">
        <f>IF($F76="unclassified","N/A",(_xlfn.XLOOKUP($E76,[1]Sheet2!$A:$A,[1]Sheet2!U:U,"N/A",0,1)))</f>
        <v>1</v>
      </c>
      <c r="M76" s="34">
        <f>IF($F76="unclassified","N/A",(_xlfn.XLOOKUP($E76,[1]Sheet2!$A:$A,[1]Sheet2!V:V,"N/A",0,1)))</f>
        <v>1</v>
      </c>
      <c r="N76" s="7"/>
      <c r="O76" s="7">
        <f>IF($F76="unclassified","N/A",(_xlfn.XLOOKUP($E76,[1]Sheet2!$A:$A,[1]Sheet2!W:W,"N/A",0,1)))</f>
        <v>1</v>
      </c>
      <c r="P76" s="7">
        <f>IF($F76="unclassified","N/A",(_xlfn.XLOOKUP($E76,[1]Sheet2!$A:$A,[1]Sheet2!X:X,"N/A",0,1)))</f>
        <v>1</v>
      </c>
      <c r="Q76" s="7">
        <f>IF($F76="unclassified","N/A",(_xlfn.XLOOKUP($E76,[1]Sheet2!$A:$A,[1]Sheet2!Y:Y,"N/A",0,1)))</f>
        <v>1</v>
      </c>
      <c r="R76" s="7">
        <f>IF($F76="unclassified","N/A",(_xlfn.XLOOKUP($E76,[1]Sheet2!$A:$A,[1]Sheet2!Z:Z,"N/A",0,1)))</f>
        <v>1</v>
      </c>
      <c r="S76" s="7">
        <f>IF($F76="unclassified","N/A",(_xlfn.XLOOKUP($E76,[1]Sheet2!$A:$A,[1]Sheet2!AA:AA,"N/A",0,1)))</f>
        <v>1</v>
      </c>
      <c r="T76" s="7">
        <f>IF($F76="unclassified","N/A",(_xlfn.XLOOKUP($E76,[1]Sheet2!$A:$A,[1]Sheet2!AB:AB,"N/A",0,1)))</f>
        <v>1</v>
      </c>
      <c r="U76" s="35">
        <f>IF($F76="unclassified","N/A",(AVERAGE(Table325[[#This Row],[PO nr]:[Delivery Date]])))</f>
        <v>1</v>
      </c>
      <c r="V76" s="38"/>
      <c r="W76" s="38"/>
      <c r="X76" s="38"/>
      <c r="Y76" s="38"/>
      <c r="Z76" s="38"/>
    </row>
    <row r="77" spans="3:26" ht="15" customHeight="1" x14ac:dyDescent="0.3">
      <c r="C77" t="str">
        <f>_xlfn.XLOOKUP(Table325[[#This Row],[Customer]],'[1]Top 300'!C:C,'[1]Top 300'!A:A,"0",2,1)</f>
        <v>0</v>
      </c>
      <c r="D77" s="39" t="str">
        <f>_xlfn.XLOOKUP(Table325[[#This Row],[File Name]],'[1]Analyse 2 Detail 02-03'!A:A,'[1]Analyse 2 Detail 02-03'!R:R,"Not Found",0,1)</f>
        <v>Fresenius Medical Care Nederland BV</v>
      </c>
      <c r="E77" s="31" t="s">
        <v>119</v>
      </c>
      <c r="F77" s="40" t="s">
        <v>31</v>
      </c>
      <c r="G77" s="41">
        <v>5</v>
      </c>
      <c r="H77" s="7">
        <f>IF($F77="unclassified","N/A",(_xlfn.XLOOKUP($E77,[1]Sheet2!$A:$A,[1]Sheet2!Q:Q,"N/A",0,1)))</f>
        <v>1</v>
      </c>
      <c r="I77" s="7">
        <f>IF($F77="unclassified","N/A",(_xlfn.XLOOKUP($E77,[1]Sheet2!$A:$A,[1]Sheet2!R:R,"N/A",0,1)))</f>
        <v>1</v>
      </c>
      <c r="J77" s="7">
        <f>IF($F77="unclassified","N/A",(_xlfn.XLOOKUP($E77,[1]Sheet2!$A:$A,[1]Sheet2!S:S,"N/A",0,1)))</f>
        <v>1</v>
      </c>
      <c r="K77" s="7">
        <f>IF($F77="unclassified","N/A",(_xlfn.XLOOKUP($E77,[1]Sheet2!$A:$A,[1]Sheet2!T:T,"N/A",0,1)))</f>
        <v>1</v>
      </c>
      <c r="L77" s="7">
        <f>IF($F77="unclassified","N/A",(_xlfn.XLOOKUP($E77,[1]Sheet2!$A:$A,[1]Sheet2!U:U,"N/A",0,1)))</f>
        <v>1</v>
      </c>
      <c r="M77" s="7">
        <f>IF($F77="unclassified","N/A",(_xlfn.XLOOKUP($E77,[1]Sheet2!$A:$A,[1]Sheet2!V:V,"N/A",0,1)))</f>
        <v>1</v>
      </c>
      <c r="N77" s="7"/>
      <c r="O77" s="7">
        <f>IF($F77="unclassified","N/A",(_xlfn.XLOOKUP($E77,[1]Sheet2!$A:$A,[1]Sheet2!W:W,"N/A",0,1)))</f>
        <v>1</v>
      </c>
      <c r="P77" s="7">
        <f>IF($F77="unclassified","N/A",(_xlfn.XLOOKUP($E77,[1]Sheet2!$A:$A,[1]Sheet2!X:X,"N/A",0,1)))</f>
        <v>1</v>
      </c>
      <c r="Q77" s="7">
        <f>IF($F77="unclassified","N/A",(_xlfn.XLOOKUP($E77,[1]Sheet2!$A:$A,[1]Sheet2!Y:Y,"N/A",0,1)))</f>
        <v>1</v>
      </c>
      <c r="R77" s="7">
        <f>IF($F77="unclassified","N/A",(_xlfn.XLOOKUP($E77,[1]Sheet2!$A:$A,[1]Sheet2!Z:Z,"N/A",0,1)))</f>
        <v>1</v>
      </c>
      <c r="S77" s="7">
        <f>IF($F77="unclassified","N/A",(_xlfn.XLOOKUP($E77,[1]Sheet2!$A:$A,[1]Sheet2!AA:AA,"N/A",0,1)))</f>
        <v>0.83333333333333337</v>
      </c>
      <c r="T77" s="7">
        <f>IF($F77="unclassified","N/A",(_xlfn.XLOOKUP($E77,[1]Sheet2!$A:$A,[1]Sheet2!AB:AB,"N/A",0,1)))</f>
        <v>0.33333333333333331</v>
      </c>
      <c r="U77" s="35">
        <f>IF($F77="unclassified","N/A",(AVERAGE(Table325[[#This Row],[PO nr]:[Delivery Date]])))</f>
        <v>0.93055555555555569</v>
      </c>
      <c r="V77" s="38" t="s">
        <v>120</v>
      </c>
      <c r="W77" s="38" t="s">
        <v>121</v>
      </c>
      <c r="X77" s="38"/>
      <c r="Y77" s="38"/>
      <c r="Z77" s="38"/>
    </row>
    <row r="78" spans="3:26" ht="15" customHeight="1" x14ac:dyDescent="0.3">
      <c r="C78" t="str">
        <f>_xlfn.XLOOKUP(Table325[[#This Row],[Customer]],'[1]Top 300'!C:C,'[1]Top 300'!A:A,"0",2,1)</f>
        <v>0</v>
      </c>
      <c r="D78" s="39">
        <f>_xlfn.XLOOKUP(Table325[[#This Row],[File Name]],'[1]Analyse 2 Detail 02-03'!A:A,'[1]Analyse 2 Detail 02-03'!R:R,"Not Found",0,1)</f>
        <v>0</v>
      </c>
      <c r="E78" s="31" t="s">
        <v>122</v>
      </c>
      <c r="F78" s="40" t="s">
        <v>31</v>
      </c>
      <c r="G78" s="41">
        <v>0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34">
        <v>1</v>
      </c>
      <c r="N78" s="7"/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35">
        <f>IF($F78="unclassified","N/A",(AVERAGE(Table325[[#This Row],[PO nr]:[Delivery Date]])))</f>
        <v>1</v>
      </c>
      <c r="V78" s="38"/>
      <c r="W78" s="38"/>
      <c r="X78" s="38"/>
      <c r="Y78" s="38"/>
      <c r="Z78" s="38"/>
    </row>
    <row r="79" spans="3:26" ht="15" customHeight="1" x14ac:dyDescent="0.3">
      <c r="C79" t="str">
        <f>_xlfn.XLOOKUP(Table325[[#This Row],[Customer]],'[1]Top 300'!C:C,'[1]Top 300'!A:A,"0",2,1)</f>
        <v>0</v>
      </c>
      <c r="D79" s="39" t="str">
        <f>_xlfn.XLOOKUP(Table325[[#This Row],[File Name]],'[1]Analyse 2 Detail 02-03'!A:A,'[1]Analyse 2 Detail 02-03'!R:R,"Not Found",0,1)</f>
        <v>Fresenius Medical Care Nederland BV</v>
      </c>
      <c r="E79" s="31" t="s">
        <v>123</v>
      </c>
      <c r="F79" s="40" t="s">
        <v>31</v>
      </c>
      <c r="G79" s="41">
        <v>3</v>
      </c>
      <c r="H79" s="7">
        <f>IF($F79="unclassified","N/A",(_xlfn.XLOOKUP($E79,[1]Sheet2!$A:$A,[1]Sheet2!Q:Q,"N/A",0,1)))</f>
        <v>1</v>
      </c>
      <c r="I79" s="7">
        <f>IF($F79="unclassified","N/A",(_xlfn.XLOOKUP($E79,[1]Sheet2!$A:$A,[1]Sheet2!R:R,"N/A",0,1)))</f>
        <v>1</v>
      </c>
      <c r="J79" s="7">
        <f>IF($F79="unclassified","N/A",(_xlfn.XLOOKUP($E79,[1]Sheet2!$A:$A,[1]Sheet2!S:S,"N/A",0,1)))</f>
        <v>1</v>
      </c>
      <c r="K79" s="7">
        <f>IF($F79="unclassified","N/A",(_xlfn.XLOOKUP($E79,[1]Sheet2!$A:$A,[1]Sheet2!T:T,"N/A",0,1)))</f>
        <v>1</v>
      </c>
      <c r="L79" s="7">
        <f>IF($F79="unclassified","N/A",(_xlfn.XLOOKUP($E79,[1]Sheet2!$A:$A,[1]Sheet2!U:U,"N/A",0,1)))</f>
        <v>1</v>
      </c>
      <c r="M79" s="7">
        <f>IF($F79="unclassified","N/A",(_xlfn.XLOOKUP($E79,[1]Sheet2!$A:$A,[1]Sheet2!V:V,"N/A",0,1)))</f>
        <v>1</v>
      </c>
      <c r="N79" s="7"/>
      <c r="O79" s="7">
        <f>IF($F79="unclassified","N/A",(_xlfn.XLOOKUP($E79,[1]Sheet2!$A:$A,[1]Sheet2!W:W,"N/A",0,1)))</f>
        <v>1</v>
      </c>
      <c r="P79" s="7">
        <f>IF($F79="unclassified","N/A",(_xlfn.XLOOKUP($E79,[1]Sheet2!$A:$A,[1]Sheet2!X:X,"N/A",0,1)))</f>
        <v>1</v>
      </c>
      <c r="Q79" s="7">
        <f>IF($F79="unclassified","N/A",(_xlfn.XLOOKUP($E79,[1]Sheet2!$A:$A,[1]Sheet2!Y:Y,"N/A",0,1)))</f>
        <v>1</v>
      </c>
      <c r="R79" s="7">
        <f>IF($F79="unclassified","N/A",(_xlfn.XLOOKUP($E79,[1]Sheet2!$A:$A,[1]Sheet2!Z:Z,"N/A",0,1)))</f>
        <v>1</v>
      </c>
      <c r="S79" s="7">
        <f>IF($F79="unclassified","N/A",(_xlfn.XLOOKUP($E79,[1]Sheet2!$A:$A,[1]Sheet2!AA:AA,"N/A",0,1)))</f>
        <v>1</v>
      </c>
      <c r="T79" s="7">
        <f>IF($F79="unclassified","N/A",(_xlfn.XLOOKUP($E79,[1]Sheet2!$A:$A,[1]Sheet2!AB:AB,"N/A",0,1)))</f>
        <v>0</v>
      </c>
      <c r="U79" s="35">
        <f>IF($F79="unclassified","N/A",(AVERAGE(Table325[[#This Row],[PO nr]:[Delivery Date]])))</f>
        <v>0.91666666666666663</v>
      </c>
      <c r="V79" s="38" t="s">
        <v>124</v>
      </c>
      <c r="W79" s="38"/>
      <c r="X79" s="38"/>
      <c r="Y79" s="38"/>
      <c r="Z79" s="38"/>
    </row>
    <row r="80" spans="3:26" ht="15" customHeight="1" x14ac:dyDescent="0.3">
      <c r="C80" t="str">
        <f>_xlfn.XLOOKUP(Table325[[#This Row],[Customer]],'[1]Top 300'!C:C,'[1]Top 300'!A:A,"0",2,1)</f>
        <v>0</v>
      </c>
      <c r="D80" s="39" t="str">
        <f>_xlfn.XLOOKUP(Table325[[#This Row],[File Name]],'[1]Analyse 2 Detail 02-03'!A:A,'[1]Analyse 2 Detail 02-03'!R:R,"Not Found",0,1)</f>
        <v>Fresenius Medical Care Nederland BV</v>
      </c>
      <c r="E80" s="31" t="s">
        <v>125</v>
      </c>
      <c r="F80" s="40" t="s">
        <v>31</v>
      </c>
      <c r="G80" s="41">
        <v>1</v>
      </c>
      <c r="H80" s="7">
        <f>IF($F80="unclassified","N/A",(_xlfn.XLOOKUP($E80,[1]Sheet2!$A:$A,[1]Sheet2!Q:Q,"N/A",0,1)))</f>
        <v>1</v>
      </c>
      <c r="I80" s="7">
        <f>IF($F80="unclassified","N/A",(_xlfn.XLOOKUP($E80,[1]Sheet2!$A:$A,[1]Sheet2!R:R,"N/A",0,1)))</f>
        <v>1</v>
      </c>
      <c r="J80" s="7">
        <f>IF($F80="unclassified","N/A",(_xlfn.XLOOKUP($E80,[1]Sheet2!$A:$A,[1]Sheet2!S:S,"N/A",0,1)))</f>
        <v>1</v>
      </c>
      <c r="K80" s="7">
        <f>IF($F80="unclassified","N/A",(_xlfn.XLOOKUP($E80,[1]Sheet2!$A:$A,[1]Sheet2!T:T,"N/A",0,1)))</f>
        <v>1</v>
      </c>
      <c r="L80" s="7">
        <f>IF($F80="unclassified","N/A",(_xlfn.XLOOKUP($E80,[1]Sheet2!$A:$A,[1]Sheet2!U:U,"N/A",0,1)))</f>
        <v>1</v>
      </c>
      <c r="M80" s="7">
        <f>IF($F80="unclassified","N/A",(_xlfn.XLOOKUP($E80,[1]Sheet2!$A:$A,[1]Sheet2!V:V,"N/A",0,1)))</f>
        <v>1</v>
      </c>
      <c r="N80" s="7"/>
      <c r="O80" s="7">
        <f>IF($F80="unclassified","N/A",(_xlfn.XLOOKUP($E80,[1]Sheet2!$A:$A,[1]Sheet2!W:W,"N/A",0,1)))</f>
        <v>1</v>
      </c>
      <c r="P80" s="7">
        <f>IF($F80="unclassified","N/A",(_xlfn.XLOOKUP($E80,[1]Sheet2!$A:$A,[1]Sheet2!X:X,"N/A",0,1)))</f>
        <v>1</v>
      </c>
      <c r="Q80" s="7">
        <f>IF($F80="unclassified","N/A",(_xlfn.XLOOKUP($E80,[1]Sheet2!$A:$A,[1]Sheet2!Y:Y,"N/A",0,1)))</f>
        <v>1</v>
      </c>
      <c r="R80" s="7">
        <f>IF($F80="unclassified","N/A",(_xlfn.XLOOKUP($E80,[1]Sheet2!$A:$A,[1]Sheet2!Z:Z,"N/A",0,1)))</f>
        <v>1</v>
      </c>
      <c r="S80" s="7">
        <f>IF($F80="unclassified","N/A",(_xlfn.XLOOKUP($E80,[1]Sheet2!$A:$A,[1]Sheet2!AA:AA,"N/A",0,1)))</f>
        <v>0.53846153846153844</v>
      </c>
      <c r="T80" s="7">
        <f>IF($F80="unclassified","N/A",(_xlfn.XLOOKUP($E80,[1]Sheet2!$A:$A,[1]Sheet2!AB:AB,"N/A",0,1)))</f>
        <v>0</v>
      </c>
      <c r="U80" s="35">
        <f>IF($F80="unclassified","N/A",(AVERAGE(Table325[[#This Row],[PO nr]:[Delivery Date]])))</f>
        <v>0.87820512820512819</v>
      </c>
      <c r="V80" s="38" t="s">
        <v>126</v>
      </c>
      <c r="W80" s="38" t="s">
        <v>121</v>
      </c>
      <c r="X80" s="38"/>
      <c r="Y80" s="38"/>
      <c r="Z80" s="38"/>
    </row>
    <row r="81" spans="3:26" ht="15" customHeight="1" x14ac:dyDescent="0.3">
      <c r="C81" t="str">
        <f>_xlfn.XLOOKUP(Table325[[#This Row],[Customer]],'[1]Top 300'!C:C,'[1]Top 300'!A:A,"0",2,1)</f>
        <v>0</v>
      </c>
      <c r="D81" s="39">
        <f>_xlfn.XLOOKUP(Table325[[#This Row],[File Name]],'[1]Analyse 2 Detail 02-03'!A:A,'[1]Analyse 2 Detail 02-03'!R:R,"Not Found",0,1)</f>
        <v>0</v>
      </c>
      <c r="E81" s="31" t="s">
        <v>127</v>
      </c>
      <c r="F81" s="40" t="s">
        <v>37</v>
      </c>
      <c r="G81" s="41">
        <v>0</v>
      </c>
      <c r="H81" s="7" t="str">
        <f>IF($F81="unclassified","N/A",(_xlfn.XLOOKUP($E81,[1]Sheet2!$A:$A,[1]Sheet2!Q:Q,"N/A",0,1)))</f>
        <v>N/A</v>
      </c>
      <c r="I81" s="7" t="str">
        <f>IF($F81="unclassified","N/A",(_xlfn.XLOOKUP($E81,[1]Sheet2!$A:$A,[1]Sheet2!R:R,"N/A",0,1)))</f>
        <v>N/A</v>
      </c>
      <c r="J81" s="7" t="str">
        <f>IF($F81="unclassified","N/A",(_xlfn.XLOOKUP($E81,[1]Sheet2!$A:$A,[1]Sheet2!S:S,"N/A",0,1)))</f>
        <v>N/A</v>
      </c>
      <c r="K81" s="7" t="str">
        <f>IF($F81="unclassified","N/A",(_xlfn.XLOOKUP($E81,[1]Sheet2!$A:$A,[1]Sheet2!T:T,"N/A",0,1)))</f>
        <v>N/A</v>
      </c>
      <c r="L81" s="7" t="str">
        <f>IF($F81="unclassified","N/A",(_xlfn.XLOOKUP($E81,[1]Sheet2!$A:$A,[1]Sheet2!U:U,"N/A",0,1)))</f>
        <v>N/A</v>
      </c>
      <c r="M81" s="34" t="str">
        <f>IF($F81="unclassified","N/A",(_xlfn.XLOOKUP($E81,[1]Sheet2!$A:$A,[1]Sheet2!V:V,"N/A",0,1)))</f>
        <v>N/A</v>
      </c>
      <c r="N81" s="7"/>
      <c r="O81" s="7" t="str">
        <f>IF($F81="unclassified","N/A",(_xlfn.XLOOKUP($E81,[1]Sheet2!$A:$A,[1]Sheet2!W:W,"N/A",0,1)))</f>
        <v>N/A</v>
      </c>
      <c r="P81" s="7" t="str">
        <f>IF($F81="unclassified","N/A",(_xlfn.XLOOKUP($E81,[1]Sheet2!$A:$A,[1]Sheet2!X:X,"N/A",0,1)))</f>
        <v>N/A</v>
      </c>
      <c r="Q81" s="7" t="str">
        <f>IF($F81="unclassified","N/A",(_xlfn.XLOOKUP($E81,[1]Sheet2!$A:$A,[1]Sheet2!Y:Y,"N/A",0,1)))</f>
        <v>N/A</v>
      </c>
      <c r="R81" s="7" t="str">
        <f>IF($F81="unclassified","N/A",(_xlfn.XLOOKUP($E81,[1]Sheet2!$A:$A,[1]Sheet2!Z:Z,"N/A",0,1)))</f>
        <v>N/A</v>
      </c>
      <c r="S81" s="7" t="str">
        <f>IF($F81="unclassified","N/A",(_xlfn.XLOOKUP($E81,[1]Sheet2!$A:$A,[1]Sheet2!AA:AA,"N/A",0,1)))</f>
        <v>N/A</v>
      </c>
      <c r="T81" s="7" t="str">
        <f>IF($F81="unclassified","N/A",(_xlfn.XLOOKUP($E81,[1]Sheet2!$A:$A,[1]Sheet2!AB:AB,"N/A",0,1)))</f>
        <v>N/A</v>
      </c>
      <c r="U81" s="35" t="str">
        <f>IF($F81="unclassified","N/A",(AVERAGE(Table325[[#This Row],[PO nr]:[Delivery Date]])))</f>
        <v>N/A</v>
      </c>
      <c r="V81" s="38"/>
      <c r="W81" s="38"/>
      <c r="X81" s="38"/>
      <c r="Y81" s="38"/>
      <c r="Z81" s="38"/>
    </row>
    <row r="82" spans="3:26" ht="15" customHeight="1" x14ac:dyDescent="0.3">
      <c r="C82" t="str">
        <f>_xlfn.XLOOKUP(Table325[[#This Row],[Customer]],'[1]Top 300'!C:C,'[1]Top 300'!A:A,"0",2,1)</f>
        <v>0</v>
      </c>
      <c r="D82" s="39">
        <f>_xlfn.XLOOKUP(Table325[[#This Row],[File Name]],'[1]Analyse 2 Detail 02-03'!A:A,'[1]Analyse 2 Detail 02-03'!R:R,"Not Found",0,1)</f>
        <v>0</v>
      </c>
      <c r="E82" s="31" t="s">
        <v>128</v>
      </c>
      <c r="F82" s="40" t="s">
        <v>37</v>
      </c>
      <c r="G82" s="41">
        <v>0</v>
      </c>
      <c r="H82" s="7" t="str">
        <f>IF($F82="unclassified","N/A",(_xlfn.XLOOKUP($E82,[1]Sheet2!$A:$A,[1]Sheet2!Q:Q,"N/A",0,1)))</f>
        <v>N/A</v>
      </c>
      <c r="I82" s="7" t="str">
        <f>IF($F82="unclassified","N/A",(_xlfn.XLOOKUP($E82,[1]Sheet2!$A:$A,[1]Sheet2!R:R,"N/A",0,1)))</f>
        <v>N/A</v>
      </c>
      <c r="J82" s="7" t="str">
        <f>IF($F82="unclassified","N/A",(_xlfn.XLOOKUP($E82,[1]Sheet2!$A:$A,[1]Sheet2!S:S,"N/A",0,1)))</f>
        <v>N/A</v>
      </c>
      <c r="K82" s="7" t="str">
        <f>IF($F82="unclassified","N/A",(_xlfn.XLOOKUP($E82,[1]Sheet2!$A:$A,[1]Sheet2!T:T,"N/A",0,1)))</f>
        <v>N/A</v>
      </c>
      <c r="L82" s="7" t="str">
        <f>IF($F82="unclassified","N/A",(_xlfn.XLOOKUP($E82,[1]Sheet2!$A:$A,[1]Sheet2!U:U,"N/A",0,1)))</f>
        <v>N/A</v>
      </c>
      <c r="M82" s="34" t="str">
        <f>IF($F82="unclassified","N/A",(_xlfn.XLOOKUP($E82,[1]Sheet2!$A:$A,[1]Sheet2!V:V,"N/A",0,1)))</f>
        <v>N/A</v>
      </c>
      <c r="N82" s="7"/>
      <c r="O82" s="7" t="str">
        <f>IF($F82="unclassified","N/A",(_xlfn.XLOOKUP($E82,[1]Sheet2!$A:$A,[1]Sheet2!W:W,"N/A",0,1)))</f>
        <v>N/A</v>
      </c>
      <c r="P82" s="7" t="str">
        <f>IF($F82="unclassified","N/A",(_xlfn.XLOOKUP($E82,[1]Sheet2!$A:$A,[1]Sheet2!X:X,"N/A",0,1)))</f>
        <v>N/A</v>
      </c>
      <c r="Q82" s="7" t="str">
        <f>IF($F82="unclassified","N/A",(_xlfn.XLOOKUP($E82,[1]Sheet2!$A:$A,[1]Sheet2!Y:Y,"N/A",0,1)))</f>
        <v>N/A</v>
      </c>
      <c r="R82" s="7" t="str">
        <f>IF($F82="unclassified","N/A",(_xlfn.XLOOKUP($E82,[1]Sheet2!$A:$A,[1]Sheet2!Z:Z,"N/A",0,1)))</f>
        <v>N/A</v>
      </c>
      <c r="S82" s="7" t="str">
        <f>IF($F82="unclassified","N/A",(_xlfn.XLOOKUP($E82,[1]Sheet2!$A:$A,[1]Sheet2!AA:AA,"N/A",0,1)))</f>
        <v>N/A</v>
      </c>
      <c r="T82" s="7" t="str">
        <f>IF($F82="unclassified","N/A",(_xlfn.XLOOKUP($E82,[1]Sheet2!$A:$A,[1]Sheet2!AB:AB,"N/A",0,1)))</f>
        <v>N/A</v>
      </c>
      <c r="U82" s="35" t="str">
        <f>IF($F82="unclassified","N/A",(AVERAGE(Table325[[#This Row],[PO nr]:[Delivery Date]])))</f>
        <v>N/A</v>
      </c>
      <c r="V82" s="38"/>
      <c r="W82" s="38"/>
      <c r="X82" s="38"/>
      <c r="Y82" s="38"/>
      <c r="Z82" s="38"/>
    </row>
    <row r="83" spans="3:26" ht="15" customHeight="1" x14ac:dyDescent="0.3">
      <c r="C83" t="str">
        <f>_xlfn.XLOOKUP(Table325[[#This Row],[Customer]],'[1]Top 300'!C:C,'[1]Top 300'!A:A,"0",2,1)</f>
        <v>0</v>
      </c>
      <c r="D83" s="39">
        <f>_xlfn.XLOOKUP(Table325[[#This Row],[File Name]],'[1]Analyse 2 Detail 02-03'!A:A,'[1]Analyse 2 Detail 02-03'!R:R,"Not Found",0,1)</f>
        <v>0</v>
      </c>
      <c r="E83" s="31" t="s">
        <v>129</v>
      </c>
      <c r="F83" s="40" t="s">
        <v>37</v>
      </c>
      <c r="G83" s="41">
        <v>0</v>
      </c>
      <c r="H83" s="7" t="str">
        <f>IF($F83="unclassified","N/A",(_xlfn.XLOOKUP($E83,[1]Sheet2!$A:$A,[1]Sheet2!Q:Q,"N/A",0,1)))</f>
        <v>N/A</v>
      </c>
      <c r="I83" s="7" t="str">
        <f>IF($F83="unclassified","N/A",(_xlfn.XLOOKUP($E83,[1]Sheet2!$A:$A,[1]Sheet2!R:R,"N/A",0,1)))</f>
        <v>N/A</v>
      </c>
      <c r="J83" s="7" t="str">
        <f>IF($F83="unclassified","N/A",(_xlfn.XLOOKUP($E83,[1]Sheet2!$A:$A,[1]Sheet2!S:S,"N/A",0,1)))</f>
        <v>N/A</v>
      </c>
      <c r="K83" s="7" t="str">
        <f>IF($F83="unclassified","N/A",(_xlfn.XLOOKUP($E83,[1]Sheet2!$A:$A,[1]Sheet2!T:T,"N/A",0,1)))</f>
        <v>N/A</v>
      </c>
      <c r="L83" s="7" t="str">
        <f>IF($F83="unclassified","N/A",(_xlfn.XLOOKUP($E83,[1]Sheet2!$A:$A,[1]Sheet2!U:U,"N/A",0,1)))</f>
        <v>N/A</v>
      </c>
      <c r="M83" s="34" t="str">
        <f>IF($F83="unclassified","N/A",(_xlfn.XLOOKUP($E83,[1]Sheet2!$A:$A,[1]Sheet2!V:V,"N/A",0,1)))</f>
        <v>N/A</v>
      </c>
      <c r="N83" s="7"/>
      <c r="O83" s="7" t="str">
        <f>IF($F83="unclassified","N/A",(_xlfn.XLOOKUP($E83,[1]Sheet2!$A:$A,[1]Sheet2!W:W,"N/A",0,1)))</f>
        <v>N/A</v>
      </c>
      <c r="P83" s="7" t="str">
        <f>IF($F83="unclassified","N/A",(_xlfn.XLOOKUP($E83,[1]Sheet2!$A:$A,[1]Sheet2!X:X,"N/A",0,1)))</f>
        <v>N/A</v>
      </c>
      <c r="Q83" s="7" t="str">
        <f>IF($F83="unclassified","N/A",(_xlfn.XLOOKUP($E83,[1]Sheet2!$A:$A,[1]Sheet2!Y:Y,"N/A",0,1)))</f>
        <v>N/A</v>
      </c>
      <c r="R83" s="7" t="str">
        <f>IF($F83="unclassified","N/A",(_xlfn.XLOOKUP($E83,[1]Sheet2!$A:$A,[1]Sheet2!Z:Z,"N/A",0,1)))</f>
        <v>N/A</v>
      </c>
      <c r="S83" s="7" t="str">
        <f>IF($F83="unclassified","N/A",(_xlfn.XLOOKUP($E83,[1]Sheet2!$A:$A,[1]Sheet2!AA:AA,"N/A",0,1)))</f>
        <v>N/A</v>
      </c>
      <c r="T83" s="7" t="str">
        <f>IF($F83="unclassified","N/A",(_xlfn.XLOOKUP($E83,[1]Sheet2!$A:$A,[1]Sheet2!AB:AB,"N/A",0,1)))</f>
        <v>N/A</v>
      </c>
      <c r="U83" s="35" t="str">
        <f>IF($F83="unclassified","N/A",(AVERAGE(Table325[[#This Row],[PO nr]:[Delivery Date]])))</f>
        <v>N/A</v>
      </c>
      <c r="V83" s="38"/>
      <c r="W83" s="38"/>
      <c r="X83" s="38"/>
      <c r="Y83" s="38"/>
      <c r="Z83" s="38"/>
    </row>
    <row r="84" spans="3:26" ht="15" customHeight="1" x14ac:dyDescent="0.3">
      <c r="C84" t="str">
        <f>_xlfn.XLOOKUP(Table325[[#This Row],[Customer]],'[1]Top 300'!C:C,'[1]Top 300'!A:A,"0",2,1)</f>
        <v>0</v>
      </c>
      <c r="D84" s="39">
        <f>_xlfn.XLOOKUP(Table325[[#This Row],[File Name]],'[1]Analyse 2 Detail 02-03'!A:A,'[1]Analyse 2 Detail 02-03'!R:R,"Not Found",0,1)</f>
        <v>0</v>
      </c>
      <c r="E84" s="31" t="s">
        <v>130</v>
      </c>
      <c r="F84" s="40" t="s">
        <v>37</v>
      </c>
      <c r="G84" s="41">
        <v>0</v>
      </c>
      <c r="H84" s="7" t="str">
        <f>IF($F84="unclassified","N/A",(_xlfn.XLOOKUP($E84,[1]Sheet2!$A:$A,[1]Sheet2!Q:Q,"N/A",0,1)))</f>
        <v>N/A</v>
      </c>
      <c r="I84" s="7" t="str">
        <f>IF($F84="unclassified","N/A",(_xlfn.XLOOKUP($E84,[1]Sheet2!$A:$A,[1]Sheet2!R:R,"N/A",0,1)))</f>
        <v>N/A</v>
      </c>
      <c r="J84" s="7" t="str">
        <f>IF($F84="unclassified","N/A",(_xlfn.XLOOKUP($E84,[1]Sheet2!$A:$A,[1]Sheet2!S:S,"N/A",0,1)))</f>
        <v>N/A</v>
      </c>
      <c r="K84" s="7" t="str">
        <f>IF($F84="unclassified","N/A",(_xlfn.XLOOKUP($E84,[1]Sheet2!$A:$A,[1]Sheet2!T:T,"N/A",0,1)))</f>
        <v>N/A</v>
      </c>
      <c r="L84" s="7" t="str">
        <f>IF($F84="unclassified","N/A",(_xlfn.XLOOKUP($E84,[1]Sheet2!$A:$A,[1]Sheet2!U:U,"N/A",0,1)))</f>
        <v>N/A</v>
      </c>
      <c r="M84" s="34" t="str">
        <f>IF($F84="unclassified","N/A",(_xlfn.XLOOKUP($E84,[1]Sheet2!$A:$A,[1]Sheet2!V:V,"N/A",0,1)))</f>
        <v>N/A</v>
      </c>
      <c r="N84" s="7"/>
      <c r="O84" s="7" t="str">
        <f>IF($F84="unclassified","N/A",(_xlfn.XLOOKUP($E84,[1]Sheet2!$A:$A,[1]Sheet2!W:W,"N/A",0,1)))</f>
        <v>N/A</v>
      </c>
      <c r="P84" s="7" t="str">
        <f>IF($F84="unclassified","N/A",(_xlfn.XLOOKUP($E84,[1]Sheet2!$A:$A,[1]Sheet2!X:X,"N/A",0,1)))</f>
        <v>N/A</v>
      </c>
      <c r="Q84" s="7" t="str">
        <f>IF($F84="unclassified","N/A",(_xlfn.XLOOKUP($E84,[1]Sheet2!$A:$A,[1]Sheet2!Y:Y,"N/A",0,1)))</f>
        <v>N/A</v>
      </c>
      <c r="R84" s="7" t="str">
        <f>IF($F84="unclassified","N/A",(_xlfn.XLOOKUP($E84,[1]Sheet2!$A:$A,[1]Sheet2!Z:Z,"N/A",0,1)))</f>
        <v>N/A</v>
      </c>
      <c r="S84" s="7" t="str">
        <f>IF($F84="unclassified","N/A",(_xlfn.XLOOKUP($E84,[1]Sheet2!$A:$A,[1]Sheet2!AA:AA,"N/A",0,1)))</f>
        <v>N/A</v>
      </c>
      <c r="T84" s="7" t="str">
        <f>IF($F84="unclassified","N/A",(_xlfn.XLOOKUP($E84,[1]Sheet2!$A:$A,[1]Sheet2!AB:AB,"N/A",0,1)))</f>
        <v>N/A</v>
      </c>
      <c r="U84" s="35" t="str">
        <f>IF($F84="unclassified","N/A",(AVERAGE(Table325[[#This Row],[PO nr]:[Delivery Date]])))</f>
        <v>N/A</v>
      </c>
      <c r="V84" s="38"/>
      <c r="W84" s="38"/>
      <c r="X84" s="38"/>
      <c r="Y84" s="38"/>
      <c r="Z84" s="38"/>
    </row>
    <row r="85" spans="3:26" ht="15" customHeight="1" x14ac:dyDescent="0.3">
      <c r="C85" t="str">
        <f>_xlfn.XLOOKUP(Table325[[#This Row],[Customer]],'[1]Top 300'!C:C,'[1]Top 300'!A:A,"0",2,1)</f>
        <v>0</v>
      </c>
      <c r="D85" s="39">
        <f>_xlfn.XLOOKUP(Table325[[#This Row],[File Name]],'[1]Analyse 2 Detail 02-03'!A:A,'[1]Analyse 2 Detail 02-03'!R:R,"Not Found",0,1)</f>
        <v>0</v>
      </c>
      <c r="E85" s="31" t="s">
        <v>131</v>
      </c>
      <c r="F85" s="40" t="s">
        <v>37</v>
      </c>
      <c r="G85" s="41">
        <v>0</v>
      </c>
      <c r="H85" s="7" t="str">
        <f>IF($F85="unclassified","N/A",(_xlfn.XLOOKUP($E85,[1]Sheet2!$A:$A,[1]Sheet2!Q:Q,"N/A",0,1)))</f>
        <v>N/A</v>
      </c>
      <c r="I85" s="7" t="str">
        <f>IF($F85="unclassified","N/A",(_xlfn.XLOOKUP($E85,[1]Sheet2!$A:$A,[1]Sheet2!R:R,"N/A",0,1)))</f>
        <v>N/A</v>
      </c>
      <c r="J85" s="7" t="str">
        <f>IF($F85="unclassified","N/A",(_xlfn.XLOOKUP($E85,[1]Sheet2!$A:$A,[1]Sheet2!S:S,"N/A",0,1)))</f>
        <v>N/A</v>
      </c>
      <c r="K85" s="7" t="str">
        <f>IF($F85="unclassified","N/A",(_xlfn.XLOOKUP($E85,[1]Sheet2!$A:$A,[1]Sheet2!T:T,"N/A",0,1)))</f>
        <v>N/A</v>
      </c>
      <c r="L85" s="7" t="str">
        <f>IF($F85="unclassified","N/A",(_xlfn.XLOOKUP($E85,[1]Sheet2!$A:$A,[1]Sheet2!U:U,"N/A",0,1)))</f>
        <v>N/A</v>
      </c>
      <c r="M85" s="34" t="str">
        <f>IF($F85="unclassified","N/A",(_xlfn.XLOOKUP($E85,[1]Sheet2!$A:$A,[1]Sheet2!V:V,"N/A",0,1)))</f>
        <v>N/A</v>
      </c>
      <c r="N85" s="7"/>
      <c r="O85" s="7" t="str">
        <f>IF($F85="unclassified","N/A",(_xlfn.XLOOKUP($E85,[1]Sheet2!$A:$A,[1]Sheet2!W:W,"N/A",0,1)))</f>
        <v>N/A</v>
      </c>
      <c r="P85" s="7" t="str">
        <f>IF($F85="unclassified","N/A",(_xlfn.XLOOKUP($E85,[1]Sheet2!$A:$A,[1]Sheet2!X:X,"N/A",0,1)))</f>
        <v>N/A</v>
      </c>
      <c r="Q85" s="7" t="str">
        <f>IF($F85="unclassified","N/A",(_xlfn.XLOOKUP($E85,[1]Sheet2!$A:$A,[1]Sheet2!Y:Y,"N/A",0,1)))</f>
        <v>N/A</v>
      </c>
      <c r="R85" s="7" t="str">
        <f>IF($F85="unclassified","N/A",(_xlfn.XLOOKUP($E85,[1]Sheet2!$A:$A,[1]Sheet2!Z:Z,"N/A",0,1)))</f>
        <v>N/A</v>
      </c>
      <c r="S85" s="7" t="str">
        <f>IF($F85="unclassified","N/A",(_xlfn.XLOOKUP($E85,[1]Sheet2!$A:$A,[1]Sheet2!AA:AA,"N/A",0,1)))</f>
        <v>N/A</v>
      </c>
      <c r="T85" s="7" t="str">
        <f>IF($F85="unclassified","N/A",(_xlfn.XLOOKUP($E85,[1]Sheet2!$A:$A,[1]Sheet2!AB:AB,"N/A",0,1)))</f>
        <v>N/A</v>
      </c>
      <c r="U85" s="35" t="str">
        <f>IF($F85="unclassified","N/A",(AVERAGE(Table325[[#This Row],[PO nr]:[Delivery Date]])))</f>
        <v>N/A</v>
      </c>
      <c r="V85" s="38"/>
      <c r="W85" s="38"/>
      <c r="X85" s="38"/>
      <c r="Y85" s="38"/>
      <c r="Z85" s="38"/>
    </row>
    <row r="86" spans="3:26" ht="15" customHeight="1" x14ac:dyDescent="0.3">
      <c r="C86" t="str">
        <f>_xlfn.XLOOKUP(Table325[[#This Row],[Customer]],'[1]Top 300'!C:C,'[1]Top 300'!A:A,"0",2,1)</f>
        <v>0</v>
      </c>
      <c r="D86" s="39">
        <f>_xlfn.XLOOKUP(Table325[[#This Row],[File Name]],'[1]Analyse 2 Detail 02-03'!A:A,'[1]Analyse 2 Detail 02-03'!R:R,"Not Found",0,1)</f>
        <v>0</v>
      </c>
      <c r="E86" s="31" t="s">
        <v>132</v>
      </c>
      <c r="F86" s="40" t="s">
        <v>37</v>
      </c>
      <c r="G86" s="41">
        <v>0</v>
      </c>
      <c r="H86" s="7" t="str">
        <f>IF($F86="unclassified","N/A",(_xlfn.XLOOKUP($E86,[1]Sheet2!$A:$A,[1]Sheet2!Q:Q,"N/A",0,1)))</f>
        <v>N/A</v>
      </c>
      <c r="I86" s="7" t="str">
        <f>IF($F86="unclassified","N/A",(_xlfn.XLOOKUP($E86,[1]Sheet2!$A:$A,[1]Sheet2!R:R,"N/A",0,1)))</f>
        <v>N/A</v>
      </c>
      <c r="J86" s="7" t="str">
        <f>IF($F86="unclassified","N/A",(_xlfn.XLOOKUP($E86,[1]Sheet2!$A:$A,[1]Sheet2!S:S,"N/A",0,1)))</f>
        <v>N/A</v>
      </c>
      <c r="K86" s="7" t="str">
        <f>IF($F86="unclassified","N/A",(_xlfn.XLOOKUP($E86,[1]Sheet2!$A:$A,[1]Sheet2!T:T,"N/A",0,1)))</f>
        <v>N/A</v>
      </c>
      <c r="L86" s="7" t="str">
        <f>IF($F86="unclassified","N/A",(_xlfn.XLOOKUP($E86,[1]Sheet2!$A:$A,[1]Sheet2!U:U,"N/A",0,1)))</f>
        <v>N/A</v>
      </c>
      <c r="M86" s="34" t="str">
        <f>IF($F86="unclassified","N/A",(_xlfn.XLOOKUP($E86,[1]Sheet2!$A:$A,[1]Sheet2!V:V,"N/A",0,1)))</f>
        <v>N/A</v>
      </c>
      <c r="N86" s="7"/>
      <c r="O86" s="7" t="str">
        <f>IF($F86="unclassified","N/A",(_xlfn.XLOOKUP($E86,[1]Sheet2!$A:$A,[1]Sheet2!W:W,"N/A",0,1)))</f>
        <v>N/A</v>
      </c>
      <c r="P86" s="7" t="str">
        <f>IF($F86="unclassified","N/A",(_xlfn.XLOOKUP($E86,[1]Sheet2!$A:$A,[1]Sheet2!X:X,"N/A",0,1)))</f>
        <v>N/A</v>
      </c>
      <c r="Q86" s="7" t="str">
        <f>IF($F86="unclassified","N/A",(_xlfn.XLOOKUP($E86,[1]Sheet2!$A:$A,[1]Sheet2!Y:Y,"N/A",0,1)))</f>
        <v>N/A</v>
      </c>
      <c r="R86" s="7" t="str">
        <f>IF($F86="unclassified","N/A",(_xlfn.XLOOKUP($E86,[1]Sheet2!$A:$A,[1]Sheet2!Z:Z,"N/A",0,1)))</f>
        <v>N/A</v>
      </c>
      <c r="S86" s="7" t="str">
        <f>IF($F86="unclassified","N/A",(_xlfn.XLOOKUP($E86,[1]Sheet2!$A:$A,[1]Sheet2!AA:AA,"N/A",0,1)))</f>
        <v>N/A</v>
      </c>
      <c r="T86" s="7" t="str">
        <f>IF($F86="unclassified","N/A",(_xlfn.XLOOKUP($E86,[1]Sheet2!$A:$A,[1]Sheet2!AB:AB,"N/A",0,1)))</f>
        <v>N/A</v>
      </c>
      <c r="U86" s="35" t="str">
        <f>IF($F86="unclassified","N/A",(AVERAGE(Table325[[#This Row],[PO nr]:[Delivery Date]])))</f>
        <v>N/A</v>
      </c>
      <c r="V86" s="38"/>
      <c r="W86" s="38"/>
      <c r="X86" s="38"/>
      <c r="Y86" s="38"/>
      <c r="Z86" s="38"/>
    </row>
    <row r="87" spans="3:26" ht="15" customHeight="1" x14ac:dyDescent="0.3">
      <c r="C87" t="str">
        <f>_xlfn.XLOOKUP(Table325[[#This Row],[Customer]],'[1]Top 300'!C:C,'[1]Top 300'!A:A,"0",2,1)</f>
        <v>0</v>
      </c>
      <c r="D87" s="39">
        <f>_xlfn.XLOOKUP(Table325[[#This Row],[File Name]],'[1]Analyse 2 Detail 02-03'!A:A,'[1]Analyse 2 Detail 02-03'!R:R,"Not Found",0,1)</f>
        <v>0</v>
      </c>
      <c r="E87" s="31" t="s">
        <v>132</v>
      </c>
      <c r="F87" s="40" t="s">
        <v>37</v>
      </c>
      <c r="G87" s="41">
        <v>0</v>
      </c>
      <c r="H87" s="7" t="str">
        <f>IF($F87="unclassified","N/A",(_xlfn.XLOOKUP($E87,[1]Sheet2!$A:$A,[1]Sheet2!Q:Q,"N/A",0,1)))</f>
        <v>N/A</v>
      </c>
      <c r="I87" s="7" t="str">
        <f>IF($F87="unclassified","N/A",(_xlfn.XLOOKUP($E87,[1]Sheet2!$A:$A,[1]Sheet2!R:R,"N/A",0,1)))</f>
        <v>N/A</v>
      </c>
      <c r="J87" s="7" t="str">
        <f>IF($F87="unclassified","N/A",(_xlfn.XLOOKUP($E87,[1]Sheet2!$A:$A,[1]Sheet2!S:S,"N/A",0,1)))</f>
        <v>N/A</v>
      </c>
      <c r="K87" s="7" t="str">
        <f>IF($F87="unclassified","N/A",(_xlfn.XLOOKUP($E87,[1]Sheet2!$A:$A,[1]Sheet2!T:T,"N/A",0,1)))</f>
        <v>N/A</v>
      </c>
      <c r="L87" s="7" t="str">
        <f>IF($F87="unclassified","N/A",(_xlfn.XLOOKUP($E87,[1]Sheet2!$A:$A,[1]Sheet2!U:U,"N/A",0,1)))</f>
        <v>N/A</v>
      </c>
      <c r="M87" s="34" t="str">
        <f>IF($F87="unclassified","N/A",(_xlfn.XLOOKUP($E87,[1]Sheet2!$A:$A,[1]Sheet2!V:V,"N/A",0,1)))</f>
        <v>N/A</v>
      </c>
      <c r="N87" s="7"/>
      <c r="O87" s="7" t="str">
        <f>IF($F87="unclassified","N/A",(_xlfn.XLOOKUP($E87,[1]Sheet2!$A:$A,[1]Sheet2!W:W,"N/A",0,1)))</f>
        <v>N/A</v>
      </c>
      <c r="P87" s="7" t="str">
        <f>IF($F87="unclassified","N/A",(_xlfn.XLOOKUP($E87,[1]Sheet2!$A:$A,[1]Sheet2!X:X,"N/A",0,1)))</f>
        <v>N/A</v>
      </c>
      <c r="Q87" s="7" t="str">
        <f>IF($F87="unclassified","N/A",(_xlfn.XLOOKUP($E87,[1]Sheet2!$A:$A,[1]Sheet2!Y:Y,"N/A",0,1)))</f>
        <v>N/A</v>
      </c>
      <c r="R87" s="7" t="str">
        <f>IF($F87="unclassified","N/A",(_xlfn.XLOOKUP($E87,[1]Sheet2!$A:$A,[1]Sheet2!Z:Z,"N/A",0,1)))</f>
        <v>N/A</v>
      </c>
      <c r="S87" s="7" t="str">
        <f>IF($F87="unclassified","N/A",(_xlfn.XLOOKUP($E87,[1]Sheet2!$A:$A,[1]Sheet2!AA:AA,"N/A",0,1)))</f>
        <v>N/A</v>
      </c>
      <c r="T87" s="7" t="str">
        <f>IF($F87="unclassified","N/A",(_xlfn.XLOOKUP($E87,[1]Sheet2!$A:$A,[1]Sheet2!AB:AB,"N/A",0,1)))</f>
        <v>N/A</v>
      </c>
      <c r="U87" s="35" t="str">
        <f>IF($F87="unclassified","N/A",(AVERAGE(Table325[[#This Row],[PO nr]:[Delivery Date]])))</f>
        <v>N/A</v>
      </c>
      <c r="V87" s="38"/>
      <c r="W87" s="38"/>
      <c r="X87" s="38"/>
      <c r="Y87" s="38"/>
      <c r="Z87" s="38"/>
    </row>
    <row r="88" spans="3:26" ht="15" customHeight="1" x14ac:dyDescent="0.3">
      <c r="C88" t="str">
        <f>_xlfn.XLOOKUP(Table325[[#This Row],[Customer]],'[1]Top 300'!C:C,'[1]Top 300'!A:A,"0",2,1)</f>
        <v>0</v>
      </c>
      <c r="D88" s="39">
        <f>_xlfn.XLOOKUP(Table325[[#This Row],[File Name]],'[1]Analyse 2 Detail 02-03'!A:A,'[1]Analyse 2 Detail 02-03'!R:R,"Not Found",0,1)</f>
        <v>0</v>
      </c>
      <c r="E88" s="31" t="s">
        <v>133</v>
      </c>
      <c r="F88" s="40" t="s">
        <v>37</v>
      </c>
      <c r="G88" s="41">
        <v>0</v>
      </c>
      <c r="H88" s="7" t="str">
        <f>IF($F88="unclassified","N/A",(_xlfn.XLOOKUP($E88,[1]Sheet2!$A:$A,[1]Sheet2!Q:Q,"N/A",0,1)))</f>
        <v>N/A</v>
      </c>
      <c r="I88" s="7" t="str">
        <f>IF($F88="unclassified","N/A",(_xlfn.XLOOKUP($E88,[1]Sheet2!$A:$A,[1]Sheet2!R:R,"N/A",0,1)))</f>
        <v>N/A</v>
      </c>
      <c r="J88" s="7" t="str">
        <f>IF($F88="unclassified","N/A",(_xlfn.XLOOKUP($E88,[1]Sheet2!$A:$A,[1]Sheet2!S:S,"N/A",0,1)))</f>
        <v>N/A</v>
      </c>
      <c r="K88" s="7" t="str">
        <f>IF($F88="unclassified","N/A",(_xlfn.XLOOKUP($E88,[1]Sheet2!$A:$A,[1]Sheet2!T:T,"N/A",0,1)))</f>
        <v>N/A</v>
      </c>
      <c r="L88" s="7" t="str">
        <f>IF($F88="unclassified","N/A",(_xlfn.XLOOKUP($E88,[1]Sheet2!$A:$A,[1]Sheet2!U:U,"N/A",0,1)))</f>
        <v>N/A</v>
      </c>
      <c r="M88" s="34" t="str">
        <f>IF($F88="unclassified","N/A",(_xlfn.XLOOKUP($E88,[1]Sheet2!$A:$A,[1]Sheet2!V:V,"N/A",0,1)))</f>
        <v>N/A</v>
      </c>
      <c r="N88" s="7"/>
      <c r="O88" s="7" t="str">
        <f>IF($F88="unclassified","N/A",(_xlfn.XLOOKUP($E88,[1]Sheet2!$A:$A,[1]Sheet2!W:W,"N/A",0,1)))</f>
        <v>N/A</v>
      </c>
      <c r="P88" s="7" t="str">
        <f>IF($F88="unclassified","N/A",(_xlfn.XLOOKUP($E88,[1]Sheet2!$A:$A,[1]Sheet2!X:X,"N/A",0,1)))</f>
        <v>N/A</v>
      </c>
      <c r="Q88" s="7" t="str">
        <f>IF($F88="unclassified","N/A",(_xlfn.XLOOKUP($E88,[1]Sheet2!$A:$A,[1]Sheet2!Y:Y,"N/A",0,1)))</f>
        <v>N/A</v>
      </c>
      <c r="R88" s="7" t="str">
        <f>IF($F88="unclassified","N/A",(_xlfn.XLOOKUP($E88,[1]Sheet2!$A:$A,[1]Sheet2!Z:Z,"N/A",0,1)))</f>
        <v>N/A</v>
      </c>
      <c r="S88" s="7" t="str">
        <f>IF($F88="unclassified","N/A",(_xlfn.XLOOKUP($E88,[1]Sheet2!$A:$A,[1]Sheet2!AA:AA,"N/A",0,1)))</f>
        <v>N/A</v>
      </c>
      <c r="T88" s="7" t="str">
        <f>IF($F88="unclassified","N/A",(_xlfn.XLOOKUP($E88,[1]Sheet2!$A:$A,[1]Sheet2!AB:AB,"N/A",0,1)))</f>
        <v>N/A</v>
      </c>
      <c r="U88" s="35" t="str">
        <f>IF($F88="unclassified","N/A",(AVERAGE(Table325[[#This Row],[PO nr]:[Delivery Date]])))</f>
        <v>N/A</v>
      </c>
      <c r="V88" s="38"/>
      <c r="W88" s="38"/>
      <c r="X88" s="38"/>
      <c r="Y88" s="38"/>
      <c r="Z88" s="38"/>
    </row>
    <row r="89" spans="3:26" ht="15" customHeight="1" x14ac:dyDescent="0.3">
      <c r="C89" t="str">
        <f>_xlfn.XLOOKUP(Table325[[#This Row],[Customer]],'[1]Top 300'!C:C,'[1]Top 300'!A:A,"0",2,1)</f>
        <v>0</v>
      </c>
      <c r="D89" s="39">
        <f>_xlfn.XLOOKUP(Table325[[#This Row],[File Name]],'[1]Analyse 2 Detail 02-03'!A:A,'[1]Analyse 2 Detail 02-03'!R:R,"Not Found",0,1)</f>
        <v>0</v>
      </c>
      <c r="E89" s="31" t="s">
        <v>134</v>
      </c>
      <c r="F89" s="40" t="s">
        <v>37</v>
      </c>
      <c r="G89" s="41">
        <v>0</v>
      </c>
      <c r="H89" s="7" t="str">
        <f>IF($F89="unclassified","N/A",(_xlfn.XLOOKUP($E89,[1]Sheet2!$A:$A,[1]Sheet2!Q:Q,"N/A",0,1)))</f>
        <v>N/A</v>
      </c>
      <c r="I89" s="7" t="str">
        <f>IF($F89="unclassified","N/A",(_xlfn.XLOOKUP($E89,[1]Sheet2!$A:$A,[1]Sheet2!R:R,"N/A",0,1)))</f>
        <v>N/A</v>
      </c>
      <c r="J89" s="7" t="str">
        <f>IF($F89="unclassified","N/A",(_xlfn.XLOOKUP($E89,[1]Sheet2!$A:$A,[1]Sheet2!S:S,"N/A",0,1)))</f>
        <v>N/A</v>
      </c>
      <c r="K89" s="7" t="str">
        <f>IF($F89="unclassified","N/A",(_xlfn.XLOOKUP($E89,[1]Sheet2!$A:$A,[1]Sheet2!T:T,"N/A",0,1)))</f>
        <v>N/A</v>
      </c>
      <c r="L89" s="7" t="str">
        <f>IF($F89="unclassified","N/A",(_xlfn.XLOOKUP($E89,[1]Sheet2!$A:$A,[1]Sheet2!U:U,"N/A",0,1)))</f>
        <v>N/A</v>
      </c>
      <c r="M89" s="34" t="str">
        <f>IF($F89="unclassified","N/A",(_xlfn.XLOOKUP($E89,[1]Sheet2!$A:$A,[1]Sheet2!V:V,"N/A",0,1)))</f>
        <v>N/A</v>
      </c>
      <c r="N89" s="7"/>
      <c r="O89" s="7" t="str">
        <f>IF($F89="unclassified","N/A",(_xlfn.XLOOKUP($E89,[1]Sheet2!$A:$A,[1]Sheet2!W:W,"N/A",0,1)))</f>
        <v>N/A</v>
      </c>
      <c r="P89" s="7" t="str">
        <f>IF($F89="unclassified","N/A",(_xlfn.XLOOKUP($E89,[1]Sheet2!$A:$A,[1]Sheet2!X:X,"N/A",0,1)))</f>
        <v>N/A</v>
      </c>
      <c r="Q89" s="7" t="str">
        <f>IF($F89="unclassified","N/A",(_xlfn.XLOOKUP($E89,[1]Sheet2!$A:$A,[1]Sheet2!Y:Y,"N/A",0,1)))</f>
        <v>N/A</v>
      </c>
      <c r="R89" s="7" t="str">
        <f>IF($F89="unclassified","N/A",(_xlfn.XLOOKUP($E89,[1]Sheet2!$A:$A,[1]Sheet2!Z:Z,"N/A",0,1)))</f>
        <v>N/A</v>
      </c>
      <c r="S89" s="7" t="str">
        <f>IF($F89="unclassified","N/A",(_xlfn.XLOOKUP($E89,[1]Sheet2!$A:$A,[1]Sheet2!AA:AA,"N/A",0,1)))</f>
        <v>N/A</v>
      </c>
      <c r="T89" s="7" t="str">
        <f>IF($F89="unclassified","N/A",(_xlfn.XLOOKUP($E89,[1]Sheet2!$A:$A,[1]Sheet2!AB:AB,"N/A",0,1)))</f>
        <v>N/A</v>
      </c>
      <c r="U89" s="35" t="str">
        <f>IF($F89="unclassified","N/A",(AVERAGE(Table325[[#This Row],[PO nr]:[Delivery Date]])))</f>
        <v>N/A</v>
      </c>
      <c r="V89" s="38"/>
      <c r="W89" s="38"/>
      <c r="X89" s="38"/>
      <c r="Y89" s="38"/>
      <c r="Z89" s="38"/>
    </row>
    <row r="90" spans="3:26" ht="15" customHeight="1" x14ac:dyDescent="0.3">
      <c r="C90" t="str">
        <f>_xlfn.XLOOKUP(Table325[[#This Row],[Customer]],'[1]Top 300'!C:C,'[1]Top 300'!A:A,"0",2,1)</f>
        <v>X</v>
      </c>
      <c r="D90" s="39" t="str">
        <f>_xlfn.XLOOKUP(Table325[[#This Row],[File Name]],'[1]Analyse 2 Detail 02-03'!A:A,'[1]Analyse 2 Detail 02-03'!R:R,"Not Found",0,1)</f>
        <v>QRS Healthcare BV</v>
      </c>
      <c r="E90" s="31" t="s">
        <v>135</v>
      </c>
      <c r="F90" s="40" t="s">
        <v>31</v>
      </c>
      <c r="G90" s="41">
        <v>0</v>
      </c>
      <c r="H90" s="7">
        <f>IF($F90="unclassified","N/A",(_xlfn.XLOOKUP($E90,[1]Sheet2!$A:$A,[1]Sheet2!Q:Q,"N/A",0,1)))</f>
        <v>1</v>
      </c>
      <c r="I90" s="7">
        <f>IF($F90="unclassified","N/A",(_xlfn.XLOOKUP($E90,[1]Sheet2!$A:$A,[1]Sheet2!R:R,"N/A",0,1)))</f>
        <v>1</v>
      </c>
      <c r="J90" s="7">
        <f>IF($F90="unclassified","N/A",(_xlfn.XLOOKUP($E90,[1]Sheet2!$A:$A,[1]Sheet2!S:S,"N/A",0,1)))</f>
        <v>1</v>
      </c>
      <c r="K90" s="7">
        <f>IF($F90="unclassified","N/A",(_xlfn.XLOOKUP($E90,[1]Sheet2!$A:$A,[1]Sheet2!T:T,"N/A",0,1)))</f>
        <v>1</v>
      </c>
      <c r="L90" s="7">
        <f>IF($F90="unclassified","N/A",(_xlfn.XLOOKUP($E90,[1]Sheet2!$A:$A,[1]Sheet2!U:U,"N/A",0,1)))</f>
        <v>1</v>
      </c>
      <c r="M90" s="34">
        <f>IF($F90="unclassified","N/A",(_xlfn.XLOOKUP($E90,[1]Sheet2!$A:$A,[1]Sheet2!V:V,"N/A",0,1)))</f>
        <v>1</v>
      </c>
      <c r="N90" s="7"/>
      <c r="O90" s="7">
        <f>IF($F90="unclassified","N/A",(_xlfn.XLOOKUP($E90,[1]Sheet2!$A:$A,[1]Sheet2!W:W,"N/A",0,1)))</f>
        <v>1</v>
      </c>
      <c r="P90" s="7">
        <f>IF($F90="unclassified","N/A",(_xlfn.XLOOKUP($E90,[1]Sheet2!$A:$A,[1]Sheet2!X:X,"N/A",0,1)))</f>
        <v>1</v>
      </c>
      <c r="Q90" s="7">
        <f>IF($F90="unclassified","N/A",(_xlfn.XLOOKUP($E90,[1]Sheet2!$A:$A,[1]Sheet2!Y:Y,"N/A",0,1)))</f>
        <v>1</v>
      </c>
      <c r="R90" s="7">
        <f>IF($F90="unclassified","N/A",(_xlfn.XLOOKUP($E90,[1]Sheet2!$A:$A,[1]Sheet2!Z:Z,"N/A",0,1)))</f>
        <v>1</v>
      </c>
      <c r="S90" s="7">
        <f>IF($F90="unclassified","N/A",(_xlfn.XLOOKUP($E90,[1]Sheet2!$A:$A,[1]Sheet2!AA:AA,"N/A",0,1)))</f>
        <v>1</v>
      </c>
      <c r="T90" s="7">
        <f>IF($F90="unclassified","N/A",(_xlfn.XLOOKUP($E90,[1]Sheet2!$A:$A,[1]Sheet2!AB:AB,"N/A",0,1)))</f>
        <v>1</v>
      </c>
      <c r="U90" s="35">
        <f>IF($F90="unclassified","N/A",(AVERAGE(Table325[[#This Row],[PO nr]:[Delivery Date]])))</f>
        <v>1</v>
      </c>
      <c r="V90" s="38"/>
      <c r="W90" s="38"/>
      <c r="X90" s="38"/>
      <c r="Y90" s="38"/>
      <c r="Z90" s="38"/>
    </row>
    <row r="91" spans="3:26" ht="15" customHeight="1" x14ac:dyDescent="0.3">
      <c r="C91" t="str">
        <f>_xlfn.XLOOKUP(Table325[[#This Row],[Customer]],'[1]Top 300'!C:C,'[1]Top 300'!A:A,"0",2,1)</f>
        <v>0</v>
      </c>
      <c r="D91" s="39" t="str">
        <f>_xlfn.XLOOKUP(Table325[[#This Row],[File Name]],'[1]Analyse 2 Detail 02-03'!A:A,'[1]Analyse 2 Detail 02-03'!R:R,"Not Found",0,1)</f>
        <v>Brocacef BV</v>
      </c>
      <c r="E91" s="31" t="s">
        <v>136</v>
      </c>
      <c r="F91" s="40" t="s">
        <v>31</v>
      </c>
      <c r="G91" s="41">
        <v>11</v>
      </c>
      <c r="H91" s="7">
        <f>IF($F91="unclassified","N/A",(_xlfn.XLOOKUP($E91,[1]Sheet2!$A:$A,[1]Sheet2!Q:Q,"N/A",0,1)))</f>
        <v>1</v>
      </c>
      <c r="I91" s="7">
        <f>IF($F91="unclassified","N/A",(_xlfn.XLOOKUP($E91,[1]Sheet2!$A:$A,[1]Sheet2!R:R,"N/A",0,1)))</f>
        <v>1</v>
      </c>
      <c r="J91" s="7">
        <f>IF($F91="unclassified","N/A",(_xlfn.XLOOKUP($E91,[1]Sheet2!$A:$A,[1]Sheet2!S:S,"N/A",0,1)))</f>
        <v>1</v>
      </c>
      <c r="K91" s="7">
        <f>IF($F91="unclassified","N/A",(_xlfn.XLOOKUP($E91,[1]Sheet2!$A:$A,[1]Sheet2!T:T,"N/A",0,1)))</f>
        <v>1</v>
      </c>
      <c r="L91" s="7">
        <f>IF($F91="unclassified","N/A",(_xlfn.XLOOKUP($E91,[1]Sheet2!$A:$A,[1]Sheet2!U:U,"N/A",0,1)))</f>
        <v>1</v>
      </c>
      <c r="M91" s="34">
        <f>IF($F91="unclassified","N/A",(_xlfn.XLOOKUP($E91,[1]Sheet2!$A:$A,[1]Sheet2!V:V,"N/A",0,1)))</f>
        <v>0</v>
      </c>
      <c r="N91" s="7"/>
      <c r="O91" s="7">
        <f>IF($F91="unclassified","N/A",(_xlfn.XLOOKUP($E91,[1]Sheet2!$A:$A,[1]Sheet2!W:W,"N/A",0,1)))</f>
        <v>1</v>
      </c>
      <c r="P91" s="7">
        <f>IF($F91="unclassified","N/A",(_xlfn.XLOOKUP($E91,[1]Sheet2!$A:$A,[1]Sheet2!X:X,"N/A",0,1)))</f>
        <v>1</v>
      </c>
      <c r="Q91" s="7">
        <f>IF($F91="unclassified","N/A",(_xlfn.XLOOKUP($E91,[1]Sheet2!$A:$A,[1]Sheet2!Y:Y,"N/A",0,1)))</f>
        <v>1</v>
      </c>
      <c r="R91" s="7">
        <f>IF($F91="unclassified","N/A",(_xlfn.XLOOKUP($E91,[1]Sheet2!$A:$A,[1]Sheet2!Z:Z,"N/A",0,1)))</f>
        <v>1</v>
      </c>
      <c r="S91" s="7">
        <f>IF($F91="unclassified","N/A",(_xlfn.XLOOKUP($E91,[1]Sheet2!$A:$A,[1]Sheet2!AA:AA,"N/A",0,1)))</f>
        <v>0</v>
      </c>
      <c r="T91" s="7">
        <f>IF($F91="unclassified","N/A",(_xlfn.XLOOKUP($E91,[1]Sheet2!$A:$A,[1]Sheet2!AB:AB,"N/A",0,1)))</f>
        <v>0.25</v>
      </c>
      <c r="U91" s="35">
        <f>IF($F91="unclassified","N/A",(AVERAGE(Table325[[#This Row],[PO nr]:[Delivery Date]])))</f>
        <v>0.77083333333333337</v>
      </c>
      <c r="V91" s="38" t="s">
        <v>137</v>
      </c>
      <c r="W91" s="38"/>
      <c r="X91" s="38"/>
      <c r="Y91" s="38"/>
      <c r="Z91" s="38"/>
    </row>
    <row r="92" spans="3:26" ht="15" customHeight="1" x14ac:dyDescent="0.3">
      <c r="C92" t="str">
        <f>_xlfn.XLOOKUP(Table325[[#This Row],[Customer]],'[1]Top 300'!C:C,'[1]Top 300'!A:A,"0",2,1)</f>
        <v>0</v>
      </c>
      <c r="D92" s="39" t="str">
        <f>_xlfn.XLOOKUP(Table325[[#This Row],[File Name]],'[1]Analyse 2 Detail 02-03'!A:A,'[1]Analyse 2 Detail 02-03'!R:R,"Not Found",0,1)</f>
        <v>Brocacef</v>
      </c>
      <c r="E92" s="31" t="s">
        <v>138</v>
      </c>
      <c r="F92" s="40" t="s">
        <v>31</v>
      </c>
      <c r="G92" s="41">
        <v>2</v>
      </c>
      <c r="H92" s="7">
        <f>IF($F92="unclassified","N/A",(_xlfn.XLOOKUP($E92,[1]Sheet2!$A:$A,[1]Sheet2!Q:Q,"N/A",0,1)))</f>
        <v>1</v>
      </c>
      <c r="I92" s="7">
        <f>IF($F92="unclassified","N/A",(_xlfn.XLOOKUP($E92,[1]Sheet2!$A:$A,[1]Sheet2!R:R,"N/A",0,1)))</f>
        <v>1</v>
      </c>
      <c r="J92" s="7">
        <f>IF($F92="unclassified","N/A",(_xlfn.XLOOKUP($E92,[1]Sheet2!$A:$A,[1]Sheet2!S:S,"N/A",0,1)))</f>
        <v>1</v>
      </c>
      <c r="K92" s="7">
        <f>IF($F92="unclassified","N/A",(_xlfn.XLOOKUP($E92,[1]Sheet2!$A:$A,[1]Sheet2!T:T,"N/A",0,1)))</f>
        <v>1</v>
      </c>
      <c r="L92" s="7">
        <f>IF($F92="unclassified","N/A",(_xlfn.XLOOKUP($E92,[1]Sheet2!$A:$A,[1]Sheet2!U:U,"N/A",0,1)))</f>
        <v>1</v>
      </c>
      <c r="M92" s="34">
        <f>IF($F92="unclassified","N/A",(_xlfn.XLOOKUP($E92,[1]Sheet2!$A:$A,[1]Sheet2!V:V,"N/A",0,1)))</f>
        <v>0</v>
      </c>
      <c r="N92" s="7"/>
      <c r="O92" s="7">
        <f>IF($F92="unclassified","N/A",(_xlfn.XLOOKUP($E92,[1]Sheet2!$A:$A,[1]Sheet2!W:W,"N/A",0,1)))</f>
        <v>1</v>
      </c>
      <c r="P92" s="7">
        <f>IF($F92="unclassified","N/A",(_xlfn.XLOOKUP($E92,[1]Sheet2!$A:$A,[1]Sheet2!X:X,"N/A",0,1)))</f>
        <v>1</v>
      </c>
      <c r="Q92" s="7">
        <f>IF($F92="unclassified","N/A",(_xlfn.XLOOKUP($E92,[1]Sheet2!$A:$A,[1]Sheet2!Y:Y,"N/A",0,1)))</f>
        <v>1</v>
      </c>
      <c r="R92" s="7">
        <f>IF($F92="unclassified","N/A",(_xlfn.XLOOKUP($E92,[1]Sheet2!$A:$A,[1]Sheet2!Z:Z,"N/A",0,1)))</f>
        <v>1</v>
      </c>
      <c r="S92" s="7">
        <f>IF($F92="unclassified","N/A",(_xlfn.XLOOKUP($E92,[1]Sheet2!$A:$A,[1]Sheet2!AA:AA,"N/A",0,1)))</f>
        <v>0</v>
      </c>
      <c r="T92" s="7">
        <f>IF($F92="unclassified","N/A",(_xlfn.XLOOKUP($E92,[1]Sheet2!$A:$A,[1]Sheet2!AB:AB,"N/A",0,1)))</f>
        <v>1</v>
      </c>
      <c r="U92" s="35">
        <f>IF($F92="unclassified","N/A",(AVERAGE(Table325[[#This Row],[PO nr]:[Delivery Date]])))</f>
        <v>0.83333333333333337</v>
      </c>
      <c r="V92" s="38" t="s">
        <v>139</v>
      </c>
      <c r="W92" s="38"/>
      <c r="X92" s="38"/>
      <c r="Y92" s="38"/>
      <c r="Z92" s="38"/>
    </row>
    <row r="93" spans="3:26" ht="15" customHeight="1" x14ac:dyDescent="0.3">
      <c r="C93" t="str">
        <f>_xlfn.XLOOKUP(Table325[[#This Row],[Customer]],'[1]Top 300'!C:C,'[1]Top 300'!A:A,"0",2,1)</f>
        <v>0</v>
      </c>
      <c r="D93" s="39" t="str">
        <f>_xlfn.XLOOKUP(Table325[[#This Row],[File Name]],'[1]Analyse 2 Detail 02-03'!A:A,'[1]Analyse 2 Detail 02-03'!R:R,"Not Found",0,1)</f>
        <v>Van Hoeckel</v>
      </c>
      <c r="E93" s="31" t="s">
        <v>140</v>
      </c>
      <c r="F93" s="40" t="s">
        <v>31</v>
      </c>
      <c r="G93" s="41">
        <v>2</v>
      </c>
      <c r="H93" s="7">
        <f>IF($F93="unclassified","N/A",(_xlfn.XLOOKUP($E93,[1]Sheet2!$A:$A,[1]Sheet2!Q:Q,"N/A",0,1)))</f>
        <v>0</v>
      </c>
      <c r="I93" s="7">
        <f>IF($F93="unclassified","N/A",(_xlfn.XLOOKUP($E93,[1]Sheet2!$A:$A,[1]Sheet2!R:R,"N/A",0,1)))</f>
        <v>0</v>
      </c>
      <c r="J93" s="7">
        <f>IF($F93="unclassified","N/A",(_xlfn.XLOOKUP($E93,[1]Sheet2!$A:$A,[1]Sheet2!S:S,"N/A",0,1)))</f>
        <v>1</v>
      </c>
      <c r="K93" s="7">
        <f>IF($F93="unclassified","N/A",(_xlfn.XLOOKUP($E93,[1]Sheet2!$A:$A,[1]Sheet2!T:T,"N/A",0,1)))</f>
        <v>1</v>
      </c>
      <c r="L93" s="7">
        <f>IF($F93="unclassified","N/A",(_xlfn.XLOOKUP($E93,[1]Sheet2!$A:$A,[1]Sheet2!U:U,"N/A",0,1)))</f>
        <v>1</v>
      </c>
      <c r="M93" s="7">
        <f>IF($F93="unclassified","N/A",(_xlfn.XLOOKUP($E93,[1]Sheet2!$A:$A,[1]Sheet2!V:V,"N/A",0,1)))</f>
        <v>0</v>
      </c>
      <c r="N93" s="7"/>
      <c r="O93" s="7">
        <f>IF($F93="unclassified","N/A",(_xlfn.XLOOKUP($E93,[1]Sheet2!$A:$A,[1]Sheet2!W:W,"N/A",0,1)))</f>
        <v>1</v>
      </c>
      <c r="P93" s="7">
        <f>IF($F93="unclassified","N/A",(_xlfn.XLOOKUP($E93,[1]Sheet2!$A:$A,[1]Sheet2!X:X,"N/A",0,1)))</f>
        <v>1</v>
      </c>
      <c r="Q93" s="7">
        <f>IF($F93="unclassified","N/A",(_xlfn.XLOOKUP($E93,[1]Sheet2!$A:$A,[1]Sheet2!Y:Y,"N/A",0,1)))</f>
        <v>1</v>
      </c>
      <c r="R93" s="7">
        <f>IF($F93="unclassified","N/A",(_xlfn.XLOOKUP($E93,[1]Sheet2!$A:$A,[1]Sheet2!Z:Z,"N/A",0,1)))</f>
        <v>1</v>
      </c>
      <c r="S93" s="7">
        <f>IF($F93="unclassified","N/A",(_xlfn.XLOOKUP($E93,[1]Sheet2!$A:$A,[1]Sheet2!AA:AA,"N/A",0,1)))</f>
        <v>0</v>
      </c>
      <c r="T93" s="7">
        <f>IF($F93="unclassified","N/A",(_xlfn.XLOOKUP($E93,[1]Sheet2!$A:$A,[1]Sheet2!AB:AB,"N/A",0,1)))</f>
        <v>1</v>
      </c>
      <c r="U93" s="35">
        <f>IF($F93="unclassified","N/A",(AVERAGE(Table325[[#This Row],[PO nr]:[Delivery Date]])))</f>
        <v>0.66666666666666663</v>
      </c>
      <c r="V93" s="52" t="s">
        <v>141</v>
      </c>
      <c r="W93" s="38" t="s">
        <v>142</v>
      </c>
      <c r="X93" s="38"/>
      <c r="Y93" s="38"/>
      <c r="Z93" s="38"/>
    </row>
    <row r="94" spans="3:26" ht="15" customHeight="1" x14ac:dyDescent="0.3">
      <c r="C94" t="str">
        <f>_xlfn.XLOOKUP(Table325[[#This Row],[Customer]],'[1]Top 300'!C:C,'[1]Top 300'!A:A,"0",2,1)</f>
        <v>0</v>
      </c>
      <c r="D94" s="39" t="str">
        <f>_xlfn.XLOOKUP(Table325[[#This Row],[File Name]],'[1]Analyse 2 Detail 02-03'!A:A,'[1]Analyse 2 Detail 02-03'!R:R,"Not Found",0,1)</f>
        <v>Van Hoeckel</v>
      </c>
      <c r="E94" s="31" t="s">
        <v>143</v>
      </c>
      <c r="F94" s="40" t="s">
        <v>31</v>
      </c>
      <c r="G94" s="41">
        <v>3</v>
      </c>
      <c r="H94" s="7">
        <f>IF($F94="unclassified","N/A",(_xlfn.XLOOKUP($E94,[1]Sheet2!$A:$A,[1]Sheet2!Q:Q,"N/A",0,1)))</f>
        <v>1</v>
      </c>
      <c r="I94" s="7">
        <f>IF($F94="unclassified","N/A",(_xlfn.XLOOKUP($E94,[1]Sheet2!$A:$A,[1]Sheet2!R:R,"N/A",0,1)))</f>
        <v>0</v>
      </c>
      <c r="J94" s="7">
        <f>IF($F94="unclassified","N/A",(_xlfn.XLOOKUP($E94,[1]Sheet2!$A:$A,[1]Sheet2!S:S,"N/A",0,1)))</f>
        <v>1</v>
      </c>
      <c r="K94" s="7">
        <f>IF($F94="unclassified","N/A",(_xlfn.XLOOKUP($E94,[1]Sheet2!$A:$A,[1]Sheet2!T:T,"N/A",0,1)))</f>
        <v>1</v>
      </c>
      <c r="L94" s="7">
        <f>IF($F94="unclassified","N/A",(_xlfn.XLOOKUP($E94,[1]Sheet2!$A:$A,[1]Sheet2!U:U,"N/A",0,1)))</f>
        <v>1</v>
      </c>
      <c r="M94" s="34">
        <f>IF($F94="unclassified","N/A",(_xlfn.XLOOKUP($E94,[1]Sheet2!$A:$A,[1]Sheet2!V:V,"N/A",0,1)))</f>
        <v>0</v>
      </c>
      <c r="N94" s="7"/>
      <c r="O94" s="7">
        <f>IF($F94="unclassified","N/A",(_xlfn.XLOOKUP($E94,[1]Sheet2!$A:$A,[1]Sheet2!W:W,"N/A",0,1)))</f>
        <v>1</v>
      </c>
      <c r="P94" s="7">
        <f>IF($F94="unclassified","N/A",(_xlfn.XLOOKUP($E94,[1]Sheet2!$A:$A,[1]Sheet2!X:X,"N/A",0,1)))</f>
        <v>1</v>
      </c>
      <c r="Q94" s="7">
        <f>IF($F94="unclassified","N/A",(_xlfn.XLOOKUP($E94,[1]Sheet2!$A:$A,[1]Sheet2!Y:Y,"N/A",0,1)))</f>
        <v>1</v>
      </c>
      <c r="R94" s="7">
        <f>IF($F94="unclassified","N/A",(_xlfn.XLOOKUP($E94,[1]Sheet2!$A:$A,[1]Sheet2!Z:Z,"N/A",0,1)))</f>
        <v>1</v>
      </c>
      <c r="S94" s="7">
        <f>IF($F94="unclassified","N/A",(_xlfn.XLOOKUP($E94,[1]Sheet2!$A:$A,[1]Sheet2!AA:AA,"N/A",0,1)))</f>
        <v>0</v>
      </c>
      <c r="T94" s="7">
        <f>IF($F94="unclassified","N/A",(_xlfn.XLOOKUP($E94,[1]Sheet2!$A:$A,[1]Sheet2!AB:AB,"N/A",0,1)))</f>
        <v>1</v>
      </c>
      <c r="U94" s="35">
        <f>IF($F94="unclassified","N/A",(AVERAGE(Table325[[#This Row],[PO nr]:[Delivery Date]])))</f>
        <v>0.75</v>
      </c>
      <c r="V94" s="52" t="s">
        <v>144</v>
      </c>
      <c r="W94" s="38" t="s">
        <v>142</v>
      </c>
      <c r="X94" s="38"/>
      <c r="Y94" s="38"/>
      <c r="Z94" s="38"/>
    </row>
    <row r="95" spans="3:26" ht="15" customHeight="1" x14ac:dyDescent="0.3">
      <c r="C95" t="str">
        <f>_xlfn.XLOOKUP(Table325[[#This Row],[Customer]],'[1]Top 300'!C:C,'[1]Top 300'!A:A,"0",2,1)</f>
        <v>0</v>
      </c>
      <c r="D95" s="39" t="str">
        <f>_xlfn.XLOOKUP(Table325[[#This Row],[File Name]],'[1]Analyse 2 Detail 02-03'!A:A,'[1]Analyse 2 Detail 02-03'!R:R,"Not Found",0,1)</f>
        <v>Van Hoeckel</v>
      </c>
      <c r="E95" s="31" t="s">
        <v>145</v>
      </c>
      <c r="F95" s="40" t="s">
        <v>31</v>
      </c>
      <c r="G95" s="41">
        <v>4</v>
      </c>
      <c r="H95" s="7">
        <f>IF($F95="unclassified","N/A",(_xlfn.XLOOKUP($E95,[1]Sheet2!$A:$A,[1]Sheet2!Q:Q,"N/A",0,1)))</f>
        <v>1</v>
      </c>
      <c r="I95" s="7">
        <f>IF($F95="unclassified","N/A",(_xlfn.XLOOKUP($E95,[1]Sheet2!$A:$A,[1]Sheet2!R:R,"N/A",0,1)))</f>
        <v>0</v>
      </c>
      <c r="J95" s="7">
        <f>IF($F95="unclassified","N/A",(_xlfn.XLOOKUP($E95,[1]Sheet2!$A:$A,[1]Sheet2!S:S,"N/A",0,1)))</f>
        <v>1</v>
      </c>
      <c r="K95" s="7">
        <f>IF($F95="unclassified","N/A",(_xlfn.XLOOKUP($E95,[1]Sheet2!$A:$A,[1]Sheet2!T:T,"N/A",0,1)))</f>
        <v>1</v>
      </c>
      <c r="L95" s="7">
        <f>IF($F95="unclassified","N/A",(_xlfn.XLOOKUP($E95,[1]Sheet2!$A:$A,[1]Sheet2!U:U,"N/A",0,1)))</f>
        <v>1</v>
      </c>
      <c r="M95" s="34">
        <f>IF($F95="unclassified","N/A",(_xlfn.XLOOKUP($E95,[1]Sheet2!$A:$A,[1]Sheet2!V:V,"N/A",0,1)))</f>
        <v>0</v>
      </c>
      <c r="N95" s="7"/>
      <c r="O95" s="7">
        <f>IF($F95="unclassified","N/A",(_xlfn.XLOOKUP($E95,[1]Sheet2!$A:$A,[1]Sheet2!W:W,"N/A",0,1)))</f>
        <v>1</v>
      </c>
      <c r="P95" s="7">
        <f>IF($F95="unclassified","N/A",(_xlfn.XLOOKUP($E95,[1]Sheet2!$A:$A,[1]Sheet2!X:X,"N/A",0,1)))</f>
        <v>1</v>
      </c>
      <c r="Q95" s="7">
        <f>IF($F95="unclassified","N/A",(_xlfn.XLOOKUP($E95,[1]Sheet2!$A:$A,[1]Sheet2!Y:Y,"N/A",0,1)))</f>
        <v>1</v>
      </c>
      <c r="R95" s="7">
        <f>IF($F95="unclassified","N/A",(_xlfn.XLOOKUP($E95,[1]Sheet2!$A:$A,[1]Sheet2!Z:Z,"N/A",0,1)))</f>
        <v>0</v>
      </c>
      <c r="S95" s="7">
        <f>IF($F95="unclassified","N/A",(_xlfn.XLOOKUP($E95,[1]Sheet2!$A:$A,[1]Sheet2!AA:AA,"N/A",0,1)))</f>
        <v>0</v>
      </c>
      <c r="T95" s="7">
        <f>IF($F95="unclassified","N/A",(_xlfn.XLOOKUP($E95,[1]Sheet2!$A:$A,[1]Sheet2!AB:AB,"N/A",0,1)))</f>
        <v>1</v>
      </c>
      <c r="U95" s="35">
        <f>IF($F95="unclassified","N/A",(AVERAGE(Table325[[#This Row],[PO nr]:[Delivery Date]])))</f>
        <v>0.66666666666666663</v>
      </c>
      <c r="V95" s="52" t="s">
        <v>146</v>
      </c>
      <c r="W95" s="38" t="s">
        <v>142</v>
      </c>
      <c r="X95" s="38"/>
      <c r="Y95" s="38"/>
      <c r="Z95" s="38"/>
    </row>
    <row r="96" spans="3:26" ht="15" customHeight="1" x14ac:dyDescent="0.3">
      <c r="C96" t="str">
        <f>_xlfn.XLOOKUP(Table325[[#This Row],[Customer]],'[1]Top 300'!C:C,'[1]Top 300'!A:A,"0",2,1)</f>
        <v>0</v>
      </c>
      <c r="D96" s="39" t="str">
        <f>_xlfn.XLOOKUP(Table325[[#This Row],[File Name]],'[1]Analyse 2 Detail 02-03'!A:A,'[1]Analyse 2 Detail 02-03'!R:R,"Not Found",0,1)</f>
        <v>G3 Medical B.V.</v>
      </c>
      <c r="E96" s="31" t="s">
        <v>147</v>
      </c>
      <c r="F96" s="40" t="s">
        <v>31</v>
      </c>
      <c r="G96" s="41">
        <v>0</v>
      </c>
      <c r="H96" s="7">
        <f>IF($F96="unclassified","N/A",(_xlfn.XLOOKUP($E96,[1]Sheet2!$A:$A,[1]Sheet2!Q:Q,"N/A",0,1)))</f>
        <v>1</v>
      </c>
      <c r="I96" s="7">
        <f>IF($F96="unclassified","N/A",(_xlfn.XLOOKUP($E96,[1]Sheet2!$A:$A,[1]Sheet2!R:R,"N/A",0,1)))</f>
        <v>1</v>
      </c>
      <c r="J96" s="7">
        <f>IF($F96="unclassified","N/A",(_xlfn.XLOOKUP($E96,[1]Sheet2!$A:$A,[1]Sheet2!S:S,"N/A",0,1)))</f>
        <v>1</v>
      </c>
      <c r="K96" s="7">
        <f>IF($F96="unclassified","N/A",(_xlfn.XLOOKUP($E96,[1]Sheet2!$A:$A,[1]Sheet2!T:T,"N/A",0,1)))</f>
        <v>1</v>
      </c>
      <c r="L96" s="7">
        <f>IF($F96="unclassified","N/A",(_xlfn.XLOOKUP($E96,[1]Sheet2!$A:$A,[1]Sheet2!U:U,"N/A",0,1)))</f>
        <v>1</v>
      </c>
      <c r="M96" s="34">
        <f>IF($F96="unclassified","N/A",(_xlfn.XLOOKUP($E96,[1]Sheet2!$A:$A,[1]Sheet2!V:V,"N/A",0,1)))</f>
        <v>1</v>
      </c>
      <c r="N96" s="7"/>
      <c r="O96" s="7">
        <f>IF($F96="unclassified","N/A",(_xlfn.XLOOKUP($E96,[1]Sheet2!$A:$A,[1]Sheet2!W:W,"N/A",0,1)))</f>
        <v>1</v>
      </c>
      <c r="P96" s="7">
        <f>IF($F96="unclassified","N/A",(_xlfn.XLOOKUP($E96,[1]Sheet2!$A:$A,[1]Sheet2!X:X,"N/A",0,1)))</f>
        <v>1</v>
      </c>
      <c r="Q96" s="7">
        <f>IF($F96="unclassified","N/A",(_xlfn.XLOOKUP($E96,[1]Sheet2!$A:$A,[1]Sheet2!Y:Y,"N/A",0,1)))</f>
        <v>1</v>
      </c>
      <c r="R96" s="7">
        <f>IF($F96="unclassified","N/A",(_xlfn.XLOOKUP($E96,[1]Sheet2!$A:$A,[1]Sheet2!Z:Z,"N/A",0,1)))</f>
        <v>1</v>
      </c>
      <c r="S96" s="7">
        <f>IF($F96="unclassified","N/A",(_xlfn.XLOOKUP($E96,[1]Sheet2!$A:$A,[1]Sheet2!AA:AA,"N/A",0,1)))</f>
        <v>1</v>
      </c>
      <c r="T96" s="7">
        <f>IF($F96="unclassified","N/A",(_xlfn.XLOOKUP($E96,[1]Sheet2!$A:$A,[1]Sheet2!AB:AB,"N/A",0,1)))</f>
        <v>1</v>
      </c>
      <c r="U96" s="35">
        <f>IF($F96="unclassified","N/A",(AVERAGE(Table325[[#This Row],[PO nr]:[Delivery Date]])))</f>
        <v>1</v>
      </c>
      <c r="V96" s="38"/>
      <c r="W96" s="38"/>
      <c r="X96" s="38"/>
      <c r="Y96" s="38"/>
      <c r="Z96" s="38"/>
    </row>
    <row r="97" spans="3:26" ht="15" customHeight="1" x14ac:dyDescent="0.3">
      <c r="C97" t="str">
        <f>_xlfn.XLOOKUP(Table325[[#This Row],[Customer]],'[1]Top 300'!C:C,'[1]Top 300'!A:A,"0",2,1)</f>
        <v>0</v>
      </c>
      <c r="D97" s="39" t="str">
        <f>_xlfn.XLOOKUP(Table325[[#This Row],[File Name]],'[1]Analyse 2 Detail 02-03'!A:A,'[1]Analyse 2 Detail 02-03'!R:R,"Not Found",0,1)</f>
        <v>G3 Medical B.V.</v>
      </c>
      <c r="E97" s="31" t="s">
        <v>148</v>
      </c>
      <c r="F97" s="40" t="s">
        <v>31</v>
      </c>
      <c r="G97" s="41">
        <v>0</v>
      </c>
      <c r="H97" s="7">
        <f>IF($F97="unclassified","N/A",(_xlfn.XLOOKUP($E97,[1]Sheet2!$A:$A,[1]Sheet2!Q:Q,"N/A",0,1)))</f>
        <v>1</v>
      </c>
      <c r="I97" s="7">
        <f>IF($F97="unclassified","N/A",(_xlfn.XLOOKUP($E97,[1]Sheet2!$A:$A,[1]Sheet2!R:R,"N/A",0,1)))</f>
        <v>1</v>
      </c>
      <c r="J97" s="7">
        <f>IF($F97="unclassified","N/A",(_xlfn.XLOOKUP($E97,[1]Sheet2!$A:$A,[1]Sheet2!S:S,"N/A",0,1)))</f>
        <v>1</v>
      </c>
      <c r="K97" s="7">
        <f>IF($F97="unclassified","N/A",(_xlfn.XLOOKUP($E97,[1]Sheet2!$A:$A,[1]Sheet2!T:T,"N/A",0,1)))</f>
        <v>1</v>
      </c>
      <c r="L97" s="7">
        <f>IF($F97="unclassified","N/A",(_xlfn.XLOOKUP($E97,[1]Sheet2!$A:$A,[1]Sheet2!U:U,"N/A",0,1)))</f>
        <v>1</v>
      </c>
      <c r="M97" s="34">
        <f>IF($F97="unclassified","N/A",(_xlfn.XLOOKUP($E97,[1]Sheet2!$A:$A,[1]Sheet2!V:V,"N/A",0,1)))</f>
        <v>1</v>
      </c>
      <c r="N97" s="7"/>
      <c r="O97" s="7">
        <f>IF($F97="unclassified","N/A",(_xlfn.XLOOKUP($E97,[1]Sheet2!$A:$A,[1]Sheet2!W:W,"N/A",0,1)))</f>
        <v>1</v>
      </c>
      <c r="P97" s="7">
        <f>IF($F97="unclassified","N/A",(_xlfn.XLOOKUP($E97,[1]Sheet2!$A:$A,[1]Sheet2!X:X,"N/A",0,1)))</f>
        <v>1</v>
      </c>
      <c r="Q97" s="7">
        <f>IF($F97="unclassified","N/A",(_xlfn.XLOOKUP($E97,[1]Sheet2!$A:$A,[1]Sheet2!Y:Y,"N/A",0,1)))</f>
        <v>1</v>
      </c>
      <c r="R97" s="7">
        <f>IF($F97="unclassified","N/A",(_xlfn.XLOOKUP($E97,[1]Sheet2!$A:$A,[1]Sheet2!Z:Z,"N/A",0,1)))</f>
        <v>1</v>
      </c>
      <c r="S97" s="7">
        <f>IF($F97="unclassified","N/A",(_xlfn.XLOOKUP($E97,[1]Sheet2!$A:$A,[1]Sheet2!AA:AA,"N/A",0,1)))</f>
        <v>1</v>
      </c>
      <c r="T97" s="7">
        <f>IF($F97="unclassified","N/A",(_xlfn.XLOOKUP($E97,[1]Sheet2!$A:$A,[1]Sheet2!AB:AB,"N/A",0,1)))</f>
        <v>1</v>
      </c>
      <c r="U97" s="35">
        <f>IF($F97="unclassified","N/A",(AVERAGE(Table325[[#This Row],[PO nr]:[Delivery Date]])))</f>
        <v>1</v>
      </c>
      <c r="V97" s="38"/>
      <c r="W97" s="38"/>
      <c r="X97" s="38"/>
      <c r="Y97" s="38"/>
      <c r="Z97" s="38"/>
    </row>
    <row r="98" spans="3:26" ht="15" customHeight="1" x14ac:dyDescent="0.3">
      <c r="C98" t="str">
        <f>_xlfn.XLOOKUP(Table325[[#This Row],[Customer]],'[1]Top 300'!C:C,'[1]Top 300'!A:A,"0",2,1)</f>
        <v>0</v>
      </c>
      <c r="D98" s="39">
        <f>_xlfn.XLOOKUP(Table325[[#This Row],[File Name]],'[1]Analyse 2 Detail 02-03'!A:A,'[1]Analyse 2 Detail 02-03'!R:R,"Not Found",0,1)</f>
        <v>0</v>
      </c>
      <c r="E98" s="31" t="s">
        <v>149</v>
      </c>
      <c r="F98" s="40" t="s">
        <v>37</v>
      </c>
      <c r="G98" s="41">
        <v>0</v>
      </c>
      <c r="H98" s="7" t="str">
        <f>IF($F98="unclassified","N/A",(_xlfn.XLOOKUP($E98,[1]Sheet2!$A:$A,[1]Sheet2!Q:Q,"N/A",0,1)))</f>
        <v>N/A</v>
      </c>
      <c r="I98" s="7" t="str">
        <f>IF($F98="unclassified","N/A",(_xlfn.XLOOKUP($E98,[1]Sheet2!$A:$A,[1]Sheet2!R:R,"N/A",0,1)))</f>
        <v>N/A</v>
      </c>
      <c r="J98" s="7" t="str">
        <f>IF($F98="unclassified","N/A",(_xlfn.XLOOKUP($E98,[1]Sheet2!$A:$A,[1]Sheet2!S:S,"N/A",0,1)))</f>
        <v>N/A</v>
      </c>
      <c r="K98" s="7" t="str">
        <f>IF($F98="unclassified","N/A",(_xlfn.XLOOKUP($E98,[1]Sheet2!$A:$A,[1]Sheet2!T:T,"N/A",0,1)))</f>
        <v>N/A</v>
      </c>
      <c r="L98" s="7" t="str">
        <f>IF($F98="unclassified","N/A",(_xlfn.XLOOKUP($E98,[1]Sheet2!$A:$A,[1]Sheet2!U:U,"N/A",0,1)))</f>
        <v>N/A</v>
      </c>
      <c r="M98" s="34" t="str">
        <f>IF($F98="unclassified","N/A",(_xlfn.XLOOKUP($E98,[1]Sheet2!$A:$A,[1]Sheet2!V:V,"N/A",0,1)))</f>
        <v>N/A</v>
      </c>
      <c r="N98" s="7"/>
      <c r="O98" s="7" t="str">
        <f>IF($F98="unclassified","N/A",(_xlfn.XLOOKUP($E98,[1]Sheet2!$A:$A,[1]Sheet2!W:W,"N/A",0,1)))</f>
        <v>N/A</v>
      </c>
      <c r="P98" s="7" t="str">
        <f>IF($F98="unclassified","N/A",(_xlfn.XLOOKUP($E98,[1]Sheet2!$A:$A,[1]Sheet2!X:X,"N/A",0,1)))</f>
        <v>N/A</v>
      </c>
      <c r="Q98" s="7" t="str">
        <f>IF($F98="unclassified","N/A",(_xlfn.XLOOKUP($E98,[1]Sheet2!$A:$A,[1]Sheet2!Y:Y,"N/A",0,1)))</f>
        <v>N/A</v>
      </c>
      <c r="R98" s="7" t="str">
        <f>IF($F98="unclassified","N/A",(_xlfn.XLOOKUP($E98,[1]Sheet2!$A:$A,[1]Sheet2!Z:Z,"N/A",0,1)))</f>
        <v>N/A</v>
      </c>
      <c r="S98" s="7" t="str">
        <f>IF($F98="unclassified","N/A",(_xlfn.XLOOKUP($E98,[1]Sheet2!$A:$A,[1]Sheet2!AA:AA,"N/A",0,1)))</f>
        <v>N/A</v>
      </c>
      <c r="T98" s="7" t="str">
        <f>IF($F98="unclassified","N/A",(_xlfn.XLOOKUP($E98,[1]Sheet2!$A:$A,[1]Sheet2!AB:AB,"N/A",0,1)))</f>
        <v>N/A</v>
      </c>
      <c r="U98" s="35" t="str">
        <f>IF($F98="unclassified","N/A",(AVERAGE(Table325[[#This Row],[PO nr]:[Delivery Date]])))</f>
        <v>N/A</v>
      </c>
      <c r="V98" s="38"/>
      <c r="W98" s="38"/>
      <c r="X98" s="38"/>
      <c r="Y98" s="38"/>
      <c r="Z98" s="38"/>
    </row>
    <row r="99" spans="3:26" ht="15" customHeight="1" x14ac:dyDescent="0.3">
      <c r="C99" t="str">
        <f>_xlfn.XLOOKUP(Table325[[#This Row],[Customer]],'[1]Top 300'!C:C,'[1]Top 300'!A:A,"0",2,1)</f>
        <v>0</v>
      </c>
      <c r="D99" s="39" t="str">
        <f>_xlfn.XLOOKUP(Table325[[#This Row],[File Name]],'[1]Analyse 2 Detail 02-03'!A:A,'[1]Analyse 2 Detail 02-03'!R:R,"Not Found",0,1)</f>
        <v>G3 Medical B.V.</v>
      </c>
      <c r="E99" s="31" t="s">
        <v>150</v>
      </c>
      <c r="F99" s="40" t="s">
        <v>31</v>
      </c>
      <c r="G99" s="41">
        <v>0</v>
      </c>
      <c r="H99" s="7">
        <f>IF($F99="unclassified","N/A",(_xlfn.XLOOKUP($E99,[1]Sheet2!$A:$A,[1]Sheet2!Q:Q,"N/A",0,1)))</f>
        <v>1</v>
      </c>
      <c r="I99" s="7">
        <f>IF($F99="unclassified","N/A",(_xlfn.XLOOKUP($E99,[1]Sheet2!$A:$A,[1]Sheet2!R:R,"N/A",0,1)))</f>
        <v>1</v>
      </c>
      <c r="J99" s="7">
        <f>IF($F99="unclassified","N/A",(_xlfn.XLOOKUP($E99,[1]Sheet2!$A:$A,[1]Sheet2!S:S,"N/A",0,1)))</f>
        <v>1</v>
      </c>
      <c r="K99" s="7">
        <f>IF($F99="unclassified","N/A",(_xlfn.XLOOKUP($E99,[1]Sheet2!$A:$A,[1]Sheet2!T:T,"N/A",0,1)))</f>
        <v>1</v>
      </c>
      <c r="L99" s="7">
        <f>IF($F99="unclassified","N/A",(_xlfn.XLOOKUP($E99,[1]Sheet2!$A:$A,[1]Sheet2!U:U,"N/A",0,1)))</f>
        <v>1</v>
      </c>
      <c r="M99" s="34">
        <f>IF($F99="unclassified","N/A",(_xlfn.XLOOKUP($E99,[1]Sheet2!$A:$A,[1]Sheet2!V:V,"N/A",0,1)))</f>
        <v>1</v>
      </c>
      <c r="N99" s="7"/>
      <c r="O99" s="7">
        <f>IF($F99="unclassified","N/A",(_xlfn.XLOOKUP($E99,[1]Sheet2!$A:$A,[1]Sheet2!W:W,"N/A",0,1)))</f>
        <v>1</v>
      </c>
      <c r="P99" s="7">
        <f>IF($F99="unclassified","N/A",(_xlfn.XLOOKUP($E99,[1]Sheet2!$A:$A,[1]Sheet2!X:X,"N/A",0,1)))</f>
        <v>1</v>
      </c>
      <c r="Q99" s="7">
        <f>IF($F99="unclassified","N/A",(_xlfn.XLOOKUP($E99,[1]Sheet2!$A:$A,[1]Sheet2!Y:Y,"N/A",0,1)))</f>
        <v>1</v>
      </c>
      <c r="R99" s="7">
        <f>IF($F99="unclassified","N/A",(_xlfn.XLOOKUP($E99,[1]Sheet2!$A:$A,[1]Sheet2!Z:Z,"N/A",0,1)))</f>
        <v>1</v>
      </c>
      <c r="S99" s="7">
        <f>IF($F99="unclassified","N/A",(_xlfn.XLOOKUP($E99,[1]Sheet2!$A:$A,[1]Sheet2!AA:AA,"N/A",0,1)))</f>
        <v>1</v>
      </c>
      <c r="T99" s="7">
        <f>IF($F99="unclassified","N/A",(_xlfn.XLOOKUP($E99,[1]Sheet2!$A:$A,[1]Sheet2!AB:AB,"N/A",0,1)))</f>
        <v>1</v>
      </c>
      <c r="U99" s="35">
        <f>IF($F99="unclassified","N/A",(AVERAGE(Table325[[#This Row],[PO nr]:[Delivery Date]])))</f>
        <v>1</v>
      </c>
      <c r="V99" s="38"/>
      <c r="W99" s="38"/>
      <c r="X99" s="38"/>
      <c r="Y99" s="38"/>
      <c r="Z99" s="38"/>
    </row>
    <row r="100" spans="3:26" ht="15" customHeight="1" x14ac:dyDescent="0.3">
      <c r="C100" t="str">
        <f>_xlfn.XLOOKUP(Table325[[#This Row],[Customer]],'[1]Top 300'!C:C,'[1]Top 300'!A:A,"0",2,1)</f>
        <v>0</v>
      </c>
      <c r="D100" s="39" t="str">
        <f>_xlfn.XLOOKUP(Table325[[#This Row],[File Name]],'[1]Analyse 2 Detail 02-03'!A:A,'[1]Analyse 2 Detail 02-03'!R:R,"Not Found",0,1)</f>
        <v>G3 Medical B.V.</v>
      </c>
      <c r="E100" s="31" t="s">
        <v>151</v>
      </c>
      <c r="F100" s="40" t="s">
        <v>31</v>
      </c>
      <c r="G100" s="41">
        <v>0</v>
      </c>
      <c r="H100" s="7">
        <f>IF($F100="unclassified","N/A",(_xlfn.XLOOKUP($E100,[1]Sheet2!$A:$A,[1]Sheet2!Q:Q,"N/A",0,1)))</f>
        <v>1</v>
      </c>
      <c r="I100" s="7">
        <f>IF($F100="unclassified","N/A",(_xlfn.XLOOKUP($E100,[1]Sheet2!$A:$A,[1]Sheet2!R:R,"N/A",0,1)))</f>
        <v>1</v>
      </c>
      <c r="J100" s="7">
        <f>IF($F100="unclassified","N/A",(_xlfn.XLOOKUP($E100,[1]Sheet2!$A:$A,[1]Sheet2!S:S,"N/A",0,1)))</f>
        <v>1</v>
      </c>
      <c r="K100" s="7">
        <f>IF($F100="unclassified","N/A",(_xlfn.XLOOKUP($E100,[1]Sheet2!$A:$A,[1]Sheet2!T:T,"N/A",0,1)))</f>
        <v>1</v>
      </c>
      <c r="L100" s="7">
        <f>IF($F100="unclassified","N/A",(_xlfn.XLOOKUP($E100,[1]Sheet2!$A:$A,[1]Sheet2!U:U,"N/A",0,1)))</f>
        <v>1</v>
      </c>
      <c r="M100" s="34">
        <f>IF($F100="unclassified","N/A",(_xlfn.XLOOKUP($E100,[1]Sheet2!$A:$A,[1]Sheet2!V:V,"N/A",0,1)))</f>
        <v>1</v>
      </c>
      <c r="N100" s="7"/>
      <c r="O100" s="7">
        <f>IF($F100="unclassified","N/A",(_xlfn.XLOOKUP($E100,[1]Sheet2!$A:$A,[1]Sheet2!W:W,"N/A",0,1)))</f>
        <v>1</v>
      </c>
      <c r="P100" s="7">
        <f>IF($F100="unclassified","N/A",(_xlfn.XLOOKUP($E100,[1]Sheet2!$A:$A,[1]Sheet2!X:X,"N/A",0,1)))</f>
        <v>1</v>
      </c>
      <c r="Q100" s="7">
        <f>IF($F100="unclassified","N/A",(_xlfn.XLOOKUP($E100,[1]Sheet2!$A:$A,[1]Sheet2!Y:Y,"N/A",0,1)))</f>
        <v>1</v>
      </c>
      <c r="R100" s="7">
        <f>IF($F100="unclassified","N/A",(_xlfn.XLOOKUP($E100,[1]Sheet2!$A:$A,[1]Sheet2!Z:Z,"N/A",0,1)))</f>
        <v>1</v>
      </c>
      <c r="S100" s="7">
        <f>IF($F100="unclassified","N/A",(_xlfn.XLOOKUP($E100,[1]Sheet2!$A:$A,[1]Sheet2!AA:AA,"N/A",0,1)))</f>
        <v>1</v>
      </c>
      <c r="T100" s="7">
        <f>IF($F100="unclassified","N/A",(_xlfn.XLOOKUP($E100,[1]Sheet2!$A:$A,[1]Sheet2!AB:AB,"N/A",0,1)))</f>
        <v>1</v>
      </c>
      <c r="U100" s="35">
        <f>IF($F100="unclassified","N/A",(AVERAGE(Table325[[#This Row],[PO nr]:[Delivery Date]])))</f>
        <v>1</v>
      </c>
      <c r="V100" s="38"/>
      <c r="W100" s="38"/>
      <c r="X100" s="38"/>
      <c r="Y100" s="38"/>
      <c r="Z100" s="38"/>
    </row>
    <row r="101" spans="3:26" ht="15" customHeight="1" x14ac:dyDescent="0.3">
      <c r="C101" t="str">
        <f>_xlfn.XLOOKUP(Table325[[#This Row],[Customer]],'[1]Top 300'!C:C,'[1]Top 300'!A:A,"0",2,1)</f>
        <v>0</v>
      </c>
      <c r="D101" s="39">
        <f>_xlfn.XLOOKUP(Table325[[#This Row],[File Name]],'[1]Analyse 2 Detail 02-03'!A:A,'[1]Analyse 2 Detail 02-03'!R:R,"Not Found",0,1)</f>
        <v>0</v>
      </c>
      <c r="E101" s="31" t="s">
        <v>152</v>
      </c>
      <c r="F101" s="40" t="s">
        <v>37</v>
      </c>
      <c r="G101" s="41">
        <v>0</v>
      </c>
      <c r="H101" s="7" t="str">
        <f>IF($F101="unclassified","N/A",(_xlfn.XLOOKUP($E101,[1]Sheet2!$A:$A,[1]Sheet2!Q:Q,"N/A",0,1)))</f>
        <v>N/A</v>
      </c>
      <c r="I101" s="7" t="str">
        <f>IF($F101="unclassified","N/A",(_xlfn.XLOOKUP($E101,[1]Sheet2!$A:$A,[1]Sheet2!R:R,"N/A",0,1)))</f>
        <v>N/A</v>
      </c>
      <c r="J101" s="7" t="str">
        <f>IF($F101="unclassified","N/A",(_xlfn.XLOOKUP($E101,[1]Sheet2!$A:$A,[1]Sheet2!S:S,"N/A",0,1)))</f>
        <v>N/A</v>
      </c>
      <c r="K101" s="7" t="str">
        <f>IF($F101="unclassified","N/A",(_xlfn.XLOOKUP($E101,[1]Sheet2!$A:$A,[1]Sheet2!T:T,"N/A",0,1)))</f>
        <v>N/A</v>
      </c>
      <c r="L101" s="7" t="str">
        <f>IF($F101="unclassified","N/A",(_xlfn.XLOOKUP($E101,[1]Sheet2!$A:$A,[1]Sheet2!U:U,"N/A",0,1)))</f>
        <v>N/A</v>
      </c>
      <c r="M101" s="34" t="str">
        <f>IF($F101="unclassified","N/A",(_xlfn.XLOOKUP($E101,[1]Sheet2!$A:$A,[1]Sheet2!V:V,"N/A",0,1)))</f>
        <v>N/A</v>
      </c>
      <c r="N101" s="7"/>
      <c r="O101" s="7" t="str">
        <f>IF($F101="unclassified","N/A",(_xlfn.XLOOKUP($E101,[1]Sheet2!$A:$A,[1]Sheet2!W:W,"N/A",0,1)))</f>
        <v>N/A</v>
      </c>
      <c r="P101" s="7" t="str">
        <f>IF($F101="unclassified","N/A",(_xlfn.XLOOKUP($E101,[1]Sheet2!$A:$A,[1]Sheet2!X:X,"N/A",0,1)))</f>
        <v>N/A</v>
      </c>
      <c r="Q101" s="7" t="str">
        <f>IF($F101="unclassified","N/A",(_xlfn.XLOOKUP($E101,[1]Sheet2!$A:$A,[1]Sheet2!Y:Y,"N/A",0,1)))</f>
        <v>N/A</v>
      </c>
      <c r="R101" s="7" t="str">
        <f>IF($F101="unclassified","N/A",(_xlfn.XLOOKUP($E101,[1]Sheet2!$A:$A,[1]Sheet2!Z:Z,"N/A",0,1)))</f>
        <v>N/A</v>
      </c>
      <c r="S101" s="7" t="str">
        <f>IF($F101="unclassified","N/A",(_xlfn.XLOOKUP($E101,[1]Sheet2!$A:$A,[1]Sheet2!AA:AA,"N/A",0,1)))</f>
        <v>N/A</v>
      </c>
      <c r="T101" s="7" t="str">
        <f>IF($F101="unclassified","N/A",(_xlfn.XLOOKUP($E101,[1]Sheet2!$A:$A,[1]Sheet2!AB:AB,"N/A",0,1)))</f>
        <v>N/A</v>
      </c>
      <c r="U101" s="35" t="str">
        <f>IF($F101="unclassified","N/A",(AVERAGE(Table325[[#This Row],[PO nr]:[Delivery Date]])))</f>
        <v>N/A</v>
      </c>
      <c r="V101" s="38"/>
      <c r="W101" s="38"/>
      <c r="X101" s="38"/>
      <c r="Y101" s="38"/>
      <c r="Z101" s="38"/>
    </row>
    <row r="102" spans="3:26" ht="15" customHeight="1" x14ac:dyDescent="0.3">
      <c r="C102" t="str">
        <f>_xlfn.XLOOKUP(Table325[[#This Row],[Customer]],'[1]Top 300'!C:C,'[1]Top 300'!A:A,"0",2,1)</f>
        <v>0</v>
      </c>
      <c r="D102" s="39">
        <f>_xlfn.XLOOKUP(Table325[[#This Row],[File Name]],'[1]Analyse 2 Detail 02-03'!A:A,'[1]Analyse 2 Detail 02-03'!R:R,"Not Found",0,1)</f>
        <v>0</v>
      </c>
      <c r="E102" s="31" t="s">
        <v>153</v>
      </c>
      <c r="F102" s="40" t="s">
        <v>37</v>
      </c>
      <c r="G102" s="41">
        <v>0</v>
      </c>
      <c r="H102" s="7" t="str">
        <f>IF($F102="unclassified","N/A",(_xlfn.XLOOKUP($E102,[1]Sheet2!$A:$A,[1]Sheet2!Q:Q,"N/A",0,1)))</f>
        <v>N/A</v>
      </c>
      <c r="I102" s="7" t="str">
        <f>IF($F102="unclassified","N/A",(_xlfn.XLOOKUP($E102,[1]Sheet2!$A:$A,[1]Sheet2!R:R,"N/A",0,1)))</f>
        <v>N/A</v>
      </c>
      <c r="J102" s="7" t="str">
        <f>IF($F102="unclassified","N/A",(_xlfn.XLOOKUP($E102,[1]Sheet2!$A:$A,[1]Sheet2!S:S,"N/A",0,1)))</f>
        <v>N/A</v>
      </c>
      <c r="K102" s="7" t="str">
        <f>IF($F102="unclassified","N/A",(_xlfn.XLOOKUP($E102,[1]Sheet2!$A:$A,[1]Sheet2!T:T,"N/A",0,1)))</f>
        <v>N/A</v>
      </c>
      <c r="L102" s="7" t="str">
        <f>IF($F102="unclassified","N/A",(_xlfn.XLOOKUP($E102,[1]Sheet2!$A:$A,[1]Sheet2!U:U,"N/A",0,1)))</f>
        <v>N/A</v>
      </c>
      <c r="M102" s="34" t="str">
        <f>IF($F102="unclassified","N/A",(_xlfn.XLOOKUP($E102,[1]Sheet2!$A:$A,[1]Sheet2!V:V,"N/A",0,1)))</f>
        <v>N/A</v>
      </c>
      <c r="N102" s="7"/>
      <c r="O102" s="7" t="str">
        <f>IF($F102="unclassified","N/A",(_xlfn.XLOOKUP($E102,[1]Sheet2!$A:$A,[1]Sheet2!W:W,"N/A",0,1)))</f>
        <v>N/A</v>
      </c>
      <c r="P102" s="7" t="str">
        <f>IF($F102="unclassified","N/A",(_xlfn.XLOOKUP($E102,[1]Sheet2!$A:$A,[1]Sheet2!X:X,"N/A",0,1)))</f>
        <v>N/A</v>
      </c>
      <c r="Q102" s="7" t="str">
        <f>IF($F102="unclassified","N/A",(_xlfn.XLOOKUP($E102,[1]Sheet2!$A:$A,[1]Sheet2!Y:Y,"N/A",0,1)))</f>
        <v>N/A</v>
      </c>
      <c r="R102" s="7" t="str">
        <f>IF($F102="unclassified","N/A",(_xlfn.XLOOKUP($E102,[1]Sheet2!$A:$A,[1]Sheet2!Z:Z,"N/A",0,1)))</f>
        <v>N/A</v>
      </c>
      <c r="S102" s="7" t="str">
        <f>IF($F102="unclassified","N/A",(_xlfn.XLOOKUP($E102,[1]Sheet2!$A:$A,[1]Sheet2!AA:AA,"N/A",0,1)))</f>
        <v>N/A</v>
      </c>
      <c r="T102" s="7" t="str">
        <f>IF($F102="unclassified","N/A",(_xlfn.XLOOKUP($E102,[1]Sheet2!$A:$A,[1]Sheet2!AB:AB,"N/A",0,1)))</f>
        <v>N/A</v>
      </c>
      <c r="U102" s="35" t="str">
        <f>IF($F102="unclassified","N/A",(AVERAGE(Table325[[#This Row],[PO nr]:[Delivery Date]])))</f>
        <v>N/A</v>
      </c>
      <c r="V102" s="38"/>
      <c r="W102" s="38"/>
      <c r="X102" s="38"/>
      <c r="Y102" s="38"/>
      <c r="Z102" s="38"/>
    </row>
    <row r="103" spans="3:26" ht="15" customHeight="1" x14ac:dyDescent="0.3">
      <c r="C103" t="str">
        <f>_xlfn.XLOOKUP(Table325[[#This Row],[Customer]],'[1]Top 300'!C:C,'[1]Top 300'!A:A,"0",2,1)</f>
        <v>0</v>
      </c>
      <c r="D103" s="39" t="str">
        <f>_xlfn.XLOOKUP(Table325[[#This Row],[File Name]],'[1]Analyse 2 Detail 02-03'!A:A,'[1]Analyse 2 Detail 02-03'!R:R,"Not Found",0,1)</f>
        <v>G3 Medical B.V.</v>
      </c>
      <c r="E103" s="31" t="s">
        <v>154</v>
      </c>
      <c r="F103" s="40" t="s">
        <v>31</v>
      </c>
      <c r="G103" s="41">
        <v>0</v>
      </c>
      <c r="H103" s="7">
        <f>IF($F103="unclassified","N/A",(_xlfn.XLOOKUP($E103,[1]Sheet2!$A:$A,[1]Sheet2!Q:Q,"N/A",0,1)))</f>
        <v>1</v>
      </c>
      <c r="I103" s="7">
        <f>IF($F103="unclassified","N/A",(_xlfn.XLOOKUP($E103,[1]Sheet2!$A:$A,[1]Sheet2!R:R,"N/A",0,1)))</f>
        <v>1</v>
      </c>
      <c r="J103" s="7">
        <f>IF($F103="unclassified","N/A",(_xlfn.XLOOKUP($E103,[1]Sheet2!$A:$A,[1]Sheet2!S:S,"N/A",0,1)))</f>
        <v>1</v>
      </c>
      <c r="K103" s="7">
        <f>IF($F103="unclassified","N/A",(_xlfn.XLOOKUP($E103,[1]Sheet2!$A:$A,[1]Sheet2!T:T,"N/A",0,1)))</f>
        <v>1</v>
      </c>
      <c r="L103" s="7">
        <f>IF($F103="unclassified","N/A",(_xlfn.XLOOKUP($E103,[1]Sheet2!$A:$A,[1]Sheet2!U:U,"N/A",0,1)))</f>
        <v>1</v>
      </c>
      <c r="M103" s="34">
        <f>IF($F103="unclassified","N/A",(_xlfn.XLOOKUP($E103,[1]Sheet2!$A:$A,[1]Sheet2!V:V,"N/A",0,1)))</f>
        <v>1</v>
      </c>
      <c r="N103" s="7"/>
      <c r="O103" s="7">
        <f>IF($F103="unclassified","N/A",(_xlfn.XLOOKUP($E103,[1]Sheet2!$A:$A,[1]Sheet2!W:W,"N/A",0,1)))</f>
        <v>1</v>
      </c>
      <c r="P103" s="7">
        <f>IF($F103="unclassified","N/A",(_xlfn.XLOOKUP($E103,[1]Sheet2!$A:$A,[1]Sheet2!X:X,"N/A",0,1)))</f>
        <v>1</v>
      </c>
      <c r="Q103" s="7">
        <f>IF($F103="unclassified","N/A",(_xlfn.XLOOKUP($E103,[1]Sheet2!$A:$A,[1]Sheet2!Y:Y,"N/A",0,1)))</f>
        <v>1</v>
      </c>
      <c r="R103" s="7">
        <f>IF($F103="unclassified","N/A",(_xlfn.XLOOKUP($E103,[1]Sheet2!$A:$A,[1]Sheet2!Z:Z,"N/A",0,1)))</f>
        <v>1</v>
      </c>
      <c r="S103" s="7">
        <f>IF($F103="unclassified","N/A",(_xlfn.XLOOKUP($E103,[1]Sheet2!$A:$A,[1]Sheet2!AA:AA,"N/A",0,1)))</f>
        <v>1</v>
      </c>
      <c r="T103" s="7">
        <f>IF($F103="unclassified","N/A",(_xlfn.XLOOKUP($E103,[1]Sheet2!$A:$A,[1]Sheet2!AB:AB,"N/A",0,1)))</f>
        <v>1</v>
      </c>
      <c r="U103" s="35">
        <f>IF($F103="unclassified","N/A",(AVERAGE(Table325[[#This Row],[PO nr]:[Delivery Date]])))</f>
        <v>1</v>
      </c>
      <c r="V103" s="38"/>
      <c r="W103" s="38"/>
      <c r="X103" s="38"/>
      <c r="Y103" s="38"/>
      <c r="Z103" s="38"/>
    </row>
    <row r="104" spans="3:26" ht="15" customHeight="1" x14ac:dyDescent="0.3">
      <c r="C104" t="str">
        <f>_xlfn.XLOOKUP(Table325[[#This Row],[Customer]],'[1]Top 300'!C:C,'[1]Top 300'!A:A,"0",2,1)</f>
        <v>0</v>
      </c>
      <c r="D104" s="39" t="str">
        <f>_xlfn.XLOOKUP(Table325[[#This Row],[File Name]],'[1]Analyse 2 Detail 02-03'!A:A,'[1]Analyse 2 Detail 02-03'!R:R,"Not Found",0,1)</f>
        <v>G3 Medical B.V.</v>
      </c>
      <c r="E104" s="31" t="s">
        <v>155</v>
      </c>
      <c r="F104" s="40" t="s">
        <v>31</v>
      </c>
      <c r="G104" s="41">
        <v>0</v>
      </c>
      <c r="H104" s="7">
        <f>IF($F104="unclassified","N/A",(_xlfn.XLOOKUP($E104,[1]Sheet2!$A:$A,[1]Sheet2!Q:Q,"N/A",0,1)))</f>
        <v>1</v>
      </c>
      <c r="I104" s="7">
        <f>IF($F104="unclassified","N/A",(_xlfn.XLOOKUP($E104,[1]Sheet2!$A:$A,[1]Sheet2!R:R,"N/A",0,1)))</f>
        <v>1</v>
      </c>
      <c r="J104" s="7">
        <f>IF($F104="unclassified","N/A",(_xlfn.XLOOKUP($E104,[1]Sheet2!$A:$A,[1]Sheet2!S:S,"N/A",0,1)))</f>
        <v>1</v>
      </c>
      <c r="K104" s="7">
        <f>IF($F104="unclassified","N/A",(_xlfn.XLOOKUP($E104,[1]Sheet2!$A:$A,[1]Sheet2!T:T,"N/A",0,1)))</f>
        <v>1</v>
      </c>
      <c r="L104" s="7">
        <f>IF($F104="unclassified","N/A",(_xlfn.XLOOKUP($E104,[1]Sheet2!$A:$A,[1]Sheet2!U:U,"N/A",0,1)))</f>
        <v>1</v>
      </c>
      <c r="M104" s="34">
        <f>IF($F104="unclassified","N/A",(_xlfn.XLOOKUP($E104,[1]Sheet2!$A:$A,[1]Sheet2!V:V,"N/A",0,1)))</f>
        <v>1</v>
      </c>
      <c r="N104" s="7"/>
      <c r="O104" s="7">
        <f>IF($F104="unclassified","N/A",(_xlfn.XLOOKUP($E104,[1]Sheet2!$A:$A,[1]Sheet2!W:W,"N/A",0,1)))</f>
        <v>1</v>
      </c>
      <c r="P104" s="7">
        <f>IF($F104="unclassified","N/A",(_xlfn.XLOOKUP($E104,[1]Sheet2!$A:$A,[1]Sheet2!X:X,"N/A",0,1)))</f>
        <v>1</v>
      </c>
      <c r="Q104" s="7">
        <f>IF($F104="unclassified","N/A",(_xlfn.XLOOKUP($E104,[1]Sheet2!$A:$A,[1]Sheet2!Y:Y,"N/A",0,1)))</f>
        <v>1</v>
      </c>
      <c r="R104" s="7">
        <f>IF($F104="unclassified","N/A",(_xlfn.XLOOKUP($E104,[1]Sheet2!$A:$A,[1]Sheet2!Z:Z,"N/A",0,1)))</f>
        <v>1</v>
      </c>
      <c r="S104" s="7">
        <f>IF($F104="unclassified","N/A",(_xlfn.XLOOKUP($E104,[1]Sheet2!$A:$A,[1]Sheet2!AA:AA,"N/A",0,1)))</f>
        <v>1</v>
      </c>
      <c r="T104" s="7">
        <f>IF($F104="unclassified","N/A",(_xlfn.XLOOKUP($E104,[1]Sheet2!$A:$A,[1]Sheet2!AB:AB,"N/A",0,1)))</f>
        <v>1</v>
      </c>
      <c r="U104" s="35">
        <f>IF($F104="unclassified","N/A",(AVERAGE(Table325[[#This Row],[PO nr]:[Delivery Date]])))</f>
        <v>1</v>
      </c>
      <c r="V104" s="38"/>
      <c r="W104" s="38"/>
      <c r="X104" s="38"/>
      <c r="Y104" s="38"/>
      <c r="Z104" s="38"/>
    </row>
    <row r="105" spans="3:26" ht="15" customHeight="1" thickBot="1" x14ac:dyDescent="0.35">
      <c r="C105" t="str">
        <f>_xlfn.XLOOKUP(Table325[[#This Row],[Customer]],'[1]Top 300'!C:C,'[1]Top 300'!A:A,"0",2,1)</f>
        <v>0</v>
      </c>
      <c r="D105" s="55" t="str">
        <f>_xlfn.XLOOKUP(Table325[[#This Row],[File Name]],'[1]Analyse 2 Detail 02-03'!A:A,'[1]Analyse 2 Detail 02-03'!R:R,"Not Found",0,1)</f>
        <v>G3 Medical B.V.</v>
      </c>
      <c r="E105" s="56" t="s">
        <v>156</v>
      </c>
      <c r="F105" s="57" t="s">
        <v>31</v>
      </c>
      <c r="G105" s="58">
        <v>0</v>
      </c>
      <c r="H105" s="7">
        <f>IF($F105="unclassified","N/A",(_xlfn.XLOOKUP($E105,[1]Sheet2!$A:$A,[1]Sheet2!Q:Q,"N/A",0,1)))</f>
        <v>1</v>
      </c>
      <c r="I105" s="7">
        <f>IF($F105="unclassified","N/A",(_xlfn.XLOOKUP($E105,[1]Sheet2!$A:$A,[1]Sheet2!R:R,"N/A",0,1)))</f>
        <v>1</v>
      </c>
      <c r="J105" s="7">
        <f>IF($F105="unclassified","N/A",(_xlfn.XLOOKUP($E105,[1]Sheet2!$A:$A,[1]Sheet2!S:S,"N/A",0,1)))</f>
        <v>1</v>
      </c>
      <c r="K105" s="7">
        <f>IF($F105="unclassified","N/A",(_xlfn.XLOOKUP($E105,[1]Sheet2!$A:$A,[1]Sheet2!T:T,"N/A",0,1)))</f>
        <v>1</v>
      </c>
      <c r="L105" s="7">
        <f>IF($F105="unclassified","N/A",(_xlfn.XLOOKUP($E105,[1]Sheet2!$A:$A,[1]Sheet2!U:U,"N/A",0,1)))</f>
        <v>1</v>
      </c>
      <c r="M105" s="7">
        <f>IF($F105="unclassified","N/A",(_xlfn.XLOOKUP($E105,[1]Sheet2!$A:$A,[1]Sheet2!V:V,"N/A",0,1)))</f>
        <v>1</v>
      </c>
      <c r="N105" s="7"/>
      <c r="O105" s="7">
        <f>IF($F105="unclassified","N/A",(_xlfn.XLOOKUP($E105,[1]Sheet2!$A:$A,[1]Sheet2!W:W,"N/A",0,1)))</f>
        <v>1</v>
      </c>
      <c r="P105" s="7">
        <f>IF($F105="unclassified","N/A",(_xlfn.XLOOKUP($E105,[1]Sheet2!$A:$A,[1]Sheet2!X:X,"N/A",0,1)))</f>
        <v>1</v>
      </c>
      <c r="Q105" s="7">
        <f>IF($F105="unclassified","N/A",(_xlfn.XLOOKUP($E105,[1]Sheet2!$A:$A,[1]Sheet2!Y:Y,"N/A",0,1)))</f>
        <v>1</v>
      </c>
      <c r="R105" s="7">
        <f>IF($F105="unclassified","N/A",(_xlfn.XLOOKUP($E105,[1]Sheet2!$A:$A,[1]Sheet2!Z:Z,"N/A",0,1)))</f>
        <v>1</v>
      </c>
      <c r="S105" s="7">
        <f>IF($F105="unclassified","N/A",(_xlfn.XLOOKUP($E105,[1]Sheet2!$A:$A,[1]Sheet2!AA:AA,"N/A",0,1)))</f>
        <v>1</v>
      </c>
      <c r="T105" s="7">
        <f>IF($F105="unclassified","N/A",(_xlfn.XLOOKUP($E105,[1]Sheet2!$A:$A,[1]Sheet2!AB:AB,"N/A",0,1)))</f>
        <v>1</v>
      </c>
      <c r="U105" s="35">
        <f>IF($F105="unclassified","N/A",(AVERAGE(Table325[[#This Row],[PO nr]:[Delivery Date]])))</f>
        <v>1</v>
      </c>
      <c r="V105" s="59"/>
      <c r="W105" s="59"/>
      <c r="X105" s="59"/>
      <c r="Y105" s="59"/>
      <c r="Z105" s="38"/>
    </row>
    <row r="111" spans="3:26" ht="33.6" x14ac:dyDescent="0.65">
      <c r="D111" s="5" t="s">
        <v>157</v>
      </c>
    </row>
    <row r="112" spans="3:26" ht="15" customHeight="1" thickBot="1" x14ac:dyDescent="0.35">
      <c r="E112" s="6">
        <f>COUNTA(Table3253[File Name])</f>
        <v>99</v>
      </c>
      <c r="F112">
        <f>COUNTIF(Table3253[Recognised doc type],"extracted")</f>
        <v>76</v>
      </c>
      <c r="G112" s="2">
        <f>SUM(Table3253['# Missing fields])</f>
        <v>69</v>
      </c>
      <c r="H112" s="7">
        <f>AVERAGE(Table3253[PO nr])</f>
        <v>1</v>
      </c>
      <c r="I112" s="7">
        <f>AVERAGE(Table3253[Supplier Order Nr])</f>
        <v>1</v>
      </c>
      <c r="J112" s="7">
        <f>AVERAGE(Table3253[Order Date])</f>
        <v>1</v>
      </c>
      <c r="K112" s="7">
        <f>AVERAGE(Table3253[Supplier Name])</f>
        <v>1</v>
      </c>
      <c r="L112" s="7">
        <f>AVERAGE(Table3253[Customer name])</f>
        <v>1</v>
      </c>
      <c r="M112" s="7">
        <f>AVERAGE(Table3253[Currency])</f>
        <v>1</v>
      </c>
      <c r="N112" s="8"/>
      <c r="O112" s="7">
        <f>AVERAGE(Table3253[Article Number])</f>
        <v>1</v>
      </c>
      <c r="P112" s="7">
        <f>AVERAGE(Table3253[Description])</f>
        <v>1</v>
      </c>
      <c r="Q112" s="7">
        <f>AVERAGE(Table3253[Quantity])</f>
        <v>1</v>
      </c>
      <c r="R112" s="7">
        <f>AVERAGE(Table3253[UoM])</f>
        <v>1</v>
      </c>
      <c r="S112" s="7">
        <f>AVERAGE(Table3253[Unit Price])</f>
        <v>1</v>
      </c>
      <c r="T112" s="7">
        <f>AVERAGE(Table3253[Delivery Date])</f>
        <v>1</v>
      </c>
      <c r="U112" s="9">
        <f>AVERAGE(H112:T112)</f>
        <v>1</v>
      </c>
    </row>
    <row r="113" spans="4:26" ht="15" customHeight="1" thickBot="1" x14ac:dyDescent="0.35">
      <c r="D113" s="10"/>
      <c r="E113" s="11"/>
      <c r="F113" s="11"/>
      <c r="G113" s="12"/>
      <c r="H113" s="13" t="s">
        <v>6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11"/>
      <c r="V113" s="16"/>
      <c r="W113" s="16"/>
      <c r="X113" s="17"/>
      <c r="Y113" s="17"/>
      <c r="Z113" s="17"/>
    </row>
    <row r="114" spans="4:26" ht="15" customHeight="1" thickBot="1" x14ac:dyDescent="0.35">
      <c r="D114" s="18" t="s">
        <v>7</v>
      </c>
      <c r="E114" s="19" t="s">
        <v>8</v>
      </c>
      <c r="F114" s="20" t="s">
        <v>9</v>
      </c>
      <c r="G114" s="21" t="s">
        <v>10</v>
      </c>
      <c r="H114" s="22" t="s">
        <v>11</v>
      </c>
      <c r="I114" s="23" t="s">
        <v>12</v>
      </c>
      <c r="J114" s="22" t="s">
        <v>13</v>
      </c>
      <c r="K114" s="22" t="s">
        <v>14</v>
      </c>
      <c r="L114" s="22" t="s">
        <v>15</v>
      </c>
      <c r="M114" s="22" t="s">
        <v>16</v>
      </c>
      <c r="N114" s="24" t="s">
        <v>17</v>
      </c>
      <c r="O114" s="22" t="s">
        <v>18</v>
      </c>
      <c r="P114" s="22" t="s">
        <v>19</v>
      </c>
      <c r="Q114" s="22" t="s">
        <v>20</v>
      </c>
      <c r="R114" s="22" t="s">
        <v>21</v>
      </c>
      <c r="S114" s="22" t="s">
        <v>22</v>
      </c>
      <c r="T114" s="25" t="s">
        <v>23</v>
      </c>
      <c r="U114" s="26" t="s">
        <v>24</v>
      </c>
      <c r="V114" s="27" t="s">
        <v>25</v>
      </c>
      <c r="W114" s="27" t="s">
        <v>26</v>
      </c>
      <c r="X114" s="27" t="s">
        <v>27</v>
      </c>
      <c r="Y114" s="28" t="s">
        <v>28</v>
      </c>
      <c r="Z114" s="29" t="s">
        <v>29</v>
      </c>
    </row>
    <row r="115" spans="4:26" ht="15" customHeight="1" x14ac:dyDescent="0.3">
      <c r="D115" s="30" t="str">
        <f>_xlfn.XLOOKUP(Table3253[[#This Row],[File Name]],'[1]Analyse 2 Detail 02-03'!A:A,'[1]Analyse 2 Detail 02-03'!R:R,"Not Found",0,1)</f>
        <v>Mölnlycke Health Care NV</v>
      </c>
      <c r="E115" s="31" t="s">
        <v>30</v>
      </c>
      <c r="F115" s="32" t="s">
        <v>31</v>
      </c>
      <c r="G115" s="33">
        <v>0</v>
      </c>
      <c r="H115" s="7">
        <f>IF($F115="unclassified","N/A",(_xlfn.XLOOKUP($E115,[1]Sheet2!$A:$A,[1]Sheet2!Q:Q,"N/A",0,1)))</f>
        <v>1</v>
      </c>
      <c r="I115" s="7">
        <f>IF($F115="unclassified","N/A",(_xlfn.XLOOKUP($E115,[1]Sheet2!$A:$A,[1]Sheet2!R:R,"N/A",0,1)))</f>
        <v>1</v>
      </c>
      <c r="J115" s="7">
        <f>IF($F115="unclassified","N/A",(_xlfn.XLOOKUP($E115,[1]Sheet2!$A:$A,[1]Sheet2!S:S,"N/A",0,1)))</f>
        <v>1</v>
      </c>
      <c r="K115" s="7">
        <f>IF($F115="unclassified","N/A",(_xlfn.XLOOKUP($E115,[1]Sheet2!$A:$A,[1]Sheet2!T:T,"N/A",0,1)))</f>
        <v>1</v>
      </c>
      <c r="L115" s="7">
        <f>IF($F115="unclassified","N/A",(_xlfn.XLOOKUP($E115,[1]Sheet2!$A:$A,[1]Sheet2!U:U,"N/A",0,1)))</f>
        <v>1</v>
      </c>
      <c r="M115" s="7">
        <f>IF($F115="unclassified","N/A",(_xlfn.XLOOKUP($E115,[1]Sheet2!$A:$A,[1]Sheet2!V:V,"N/A",0,1)))</f>
        <v>1</v>
      </c>
      <c r="N115" s="7"/>
      <c r="O115" s="7">
        <f>IF($F115="unclassified","N/A",(_xlfn.XLOOKUP($E115,[1]Sheet2!$A:$A,[1]Sheet2!W:W,"N/A",0,1)))</f>
        <v>1</v>
      </c>
      <c r="P115" s="7">
        <f>IF($F115="unclassified","N/A",(_xlfn.XLOOKUP($E115,[1]Sheet2!$A:$A,[1]Sheet2!X:X,"N/A",0,1)))</f>
        <v>1</v>
      </c>
      <c r="Q115" s="7">
        <f>IF($F115="unclassified","N/A",(_xlfn.XLOOKUP($E115,[1]Sheet2!$A:$A,[1]Sheet2!Y:Y,"N/A",0,1)))</f>
        <v>1</v>
      </c>
      <c r="R115" s="7">
        <f>IF($F115="unclassified","N/A",(_xlfn.XLOOKUP($E115,[1]Sheet2!$A:$A,[1]Sheet2!Z:Z,"N/A",0,1)))</f>
        <v>1</v>
      </c>
      <c r="S115" s="7">
        <f>IF($F115="unclassified","N/A",(_xlfn.XLOOKUP($E115,[1]Sheet2!$A:$A,[1]Sheet2!AA:AA,"N/A",0,1)))</f>
        <v>1</v>
      </c>
      <c r="T115" s="7">
        <f>IF($F115="unclassified","N/A",(_xlfn.XLOOKUP($E115,[1]Sheet2!$A:$A,[1]Sheet2!AB:AB,"N/A",0,1)))</f>
        <v>1</v>
      </c>
      <c r="U115" s="35">
        <f>IF($F115="unclassified","N/A",(AVERAGE(Table3253[[#This Row],[PO nr]:[Delivery Date]])))</f>
        <v>1</v>
      </c>
      <c r="V115" s="36"/>
      <c r="W115" s="37"/>
      <c r="X115" s="37"/>
      <c r="Y115" s="36"/>
      <c r="Z115" s="38"/>
    </row>
    <row r="116" spans="4:26" ht="15" customHeight="1" x14ac:dyDescent="0.3">
      <c r="D116" s="39" t="str">
        <f>_xlfn.XLOOKUP(Table3253[[#This Row],[File Name]],'[1]Analyse 2 Detail 02-03'!A:A,'[1]Analyse 2 Detail 02-03'!R:R,"Not Found",0,1)</f>
        <v>Mölnlycke Health Care B.V.</v>
      </c>
      <c r="E116" s="31" t="s">
        <v>32</v>
      </c>
      <c r="F116" s="40" t="s">
        <v>31</v>
      </c>
      <c r="G116" s="41">
        <v>0</v>
      </c>
      <c r="H116" s="7">
        <f>IF($F116="unclassified","N/A",(_xlfn.XLOOKUP($E116,[1]Sheet2!$A:$A,[1]Sheet2!Q:Q,"N/A",0,1)))</f>
        <v>1</v>
      </c>
      <c r="I116" s="7">
        <f>IF($F116="unclassified","N/A",(_xlfn.XLOOKUP($E116,[1]Sheet2!$A:$A,[1]Sheet2!R:R,"N/A",0,1)))</f>
        <v>1</v>
      </c>
      <c r="J116" s="7">
        <f>IF($F116="unclassified","N/A",(_xlfn.XLOOKUP($E116,[1]Sheet2!$A:$A,[1]Sheet2!S:S,"N/A",0,1)))</f>
        <v>1</v>
      </c>
      <c r="K116" s="7">
        <f>IF($F116="unclassified","N/A",(_xlfn.XLOOKUP($E116,[1]Sheet2!$A:$A,[1]Sheet2!T:T,"N/A",0,1)))</f>
        <v>1</v>
      </c>
      <c r="L116" s="7">
        <f>IF($F116="unclassified","N/A",(_xlfn.XLOOKUP($E116,[1]Sheet2!$A:$A,[1]Sheet2!U:U,"N/A",0,1)))</f>
        <v>1</v>
      </c>
      <c r="M116" s="7">
        <f>IF($F116="unclassified","N/A",(_xlfn.XLOOKUP($E116,[1]Sheet2!$A:$A,[1]Sheet2!V:V,"N/A",0,1)))</f>
        <v>1</v>
      </c>
      <c r="N116" s="7"/>
      <c r="O116" s="7">
        <f>IF($F116="unclassified","N/A",(_xlfn.XLOOKUP($E116,[1]Sheet2!$A:$A,[1]Sheet2!W:W,"N/A",0,1)))</f>
        <v>1</v>
      </c>
      <c r="P116" s="7">
        <f>IF($F116="unclassified","N/A",(_xlfn.XLOOKUP($E116,[1]Sheet2!$A:$A,[1]Sheet2!X:X,"N/A",0,1)))</f>
        <v>1</v>
      </c>
      <c r="Q116" s="7">
        <f>IF($F116="unclassified","N/A",(_xlfn.XLOOKUP($E116,[1]Sheet2!$A:$A,[1]Sheet2!Y:Y,"N/A",0,1)))</f>
        <v>1</v>
      </c>
      <c r="R116" s="7">
        <f>IF($F116="unclassified","N/A",(_xlfn.XLOOKUP($E116,[1]Sheet2!$A:$A,[1]Sheet2!Z:Z,"N/A",0,1)))</f>
        <v>1</v>
      </c>
      <c r="S116" s="7">
        <f>IF($F116="unclassified","N/A",(_xlfn.XLOOKUP($E116,[1]Sheet2!$A:$A,[1]Sheet2!AA:AA,"N/A",0,1)))</f>
        <v>1</v>
      </c>
      <c r="T116" s="7">
        <f>IF($F116="unclassified","N/A",(_xlfn.XLOOKUP($E116,[1]Sheet2!$A:$A,[1]Sheet2!AB:AB,"N/A",0,1)))</f>
        <v>1</v>
      </c>
      <c r="U116" s="35">
        <f>IF($F116="unclassified","N/A",(AVERAGE(Table3253[[#This Row],[PO nr]:[Delivery Date]])))</f>
        <v>1</v>
      </c>
      <c r="V116" s="38"/>
      <c r="X116" s="42"/>
      <c r="Y116" s="43"/>
      <c r="Z116" s="43"/>
    </row>
    <row r="117" spans="4:26" ht="15" customHeight="1" x14ac:dyDescent="0.3">
      <c r="D117" s="39" t="str">
        <f>_xlfn.XLOOKUP(Table3253[[#This Row],[File Name]],'[1]Analyse 2 Detail 02-03'!A:A,'[1]Analyse 2 Detail 02-03'!R:R,"Not Found",0,1)</f>
        <v>Mölnlycke Health Care B.V.</v>
      </c>
      <c r="E117" s="31" t="s">
        <v>33</v>
      </c>
      <c r="F117" s="40" t="s">
        <v>31</v>
      </c>
      <c r="G117" s="41">
        <v>0</v>
      </c>
      <c r="H117" s="7">
        <f>IF($F117="unclassified","N/A",(_xlfn.XLOOKUP($E117,[1]Sheet2!$A:$A,[1]Sheet2!Q:Q,"N/A",0,1)))</f>
        <v>1</v>
      </c>
      <c r="I117" s="7">
        <f>IF($F117="unclassified","N/A",(_xlfn.XLOOKUP($E117,[1]Sheet2!$A:$A,[1]Sheet2!R:R,"N/A",0,1)))</f>
        <v>1</v>
      </c>
      <c r="J117" s="7">
        <f>IF($F117="unclassified","N/A",(_xlfn.XLOOKUP($E117,[1]Sheet2!$A:$A,[1]Sheet2!S:S,"N/A",0,1)))</f>
        <v>1</v>
      </c>
      <c r="K117" s="7">
        <f>IF($F117="unclassified","N/A",(_xlfn.XLOOKUP($E117,[1]Sheet2!$A:$A,[1]Sheet2!T:T,"N/A",0,1)))</f>
        <v>1</v>
      </c>
      <c r="L117" s="7">
        <f>IF($F117="unclassified","N/A",(_xlfn.XLOOKUP($E117,[1]Sheet2!$A:$A,[1]Sheet2!U:U,"N/A",0,1)))</f>
        <v>1</v>
      </c>
      <c r="M117" s="7">
        <f>IF($F117="unclassified","N/A",(_xlfn.XLOOKUP($E117,[1]Sheet2!$A:$A,[1]Sheet2!V:V,"N/A",0,1)))</f>
        <v>1</v>
      </c>
      <c r="N117" s="7"/>
      <c r="O117" s="7">
        <f>IF($F117="unclassified","N/A",(_xlfn.XLOOKUP($E117,[1]Sheet2!$A:$A,[1]Sheet2!W:W,"N/A",0,1)))</f>
        <v>1</v>
      </c>
      <c r="P117" s="7">
        <f>IF($F117="unclassified","N/A",(_xlfn.XLOOKUP($E117,[1]Sheet2!$A:$A,[1]Sheet2!X:X,"N/A",0,1)))</f>
        <v>1</v>
      </c>
      <c r="Q117" s="7">
        <f>IF($F117="unclassified","N/A",(_xlfn.XLOOKUP($E117,[1]Sheet2!$A:$A,[1]Sheet2!Y:Y,"N/A",0,1)))</f>
        <v>1</v>
      </c>
      <c r="R117" s="7">
        <f>IF($F117="unclassified","N/A",(_xlfn.XLOOKUP($E117,[1]Sheet2!$A:$A,[1]Sheet2!Z:Z,"N/A",0,1)))</f>
        <v>1</v>
      </c>
      <c r="S117" s="7">
        <f>IF($F117="unclassified","N/A",(_xlfn.XLOOKUP($E117,[1]Sheet2!$A:$A,[1]Sheet2!AA:AA,"N/A",0,1)))</f>
        <v>1</v>
      </c>
      <c r="T117" s="7">
        <f>IF($F117="unclassified","N/A",(_xlfn.XLOOKUP($E117,[1]Sheet2!$A:$A,[1]Sheet2!AB:AB,"N/A",0,1)))</f>
        <v>1</v>
      </c>
      <c r="U117" s="35">
        <f>IF($F117="unclassified","N/A",(AVERAGE(Table3253[[#This Row],[PO nr]:[Delivery Date]])))</f>
        <v>1</v>
      </c>
      <c r="V117" s="38"/>
      <c r="W117" s="37"/>
      <c r="X117" s="37"/>
      <c r="Y117" s="38"/>
      <c r="Z117" s="38"/>
    </row>
    <row r="118" spans="4:26" ht="15" customHeight="1" x14ac:dyDescent="0.3">
      <c r="D118" s="39" t="str">
        <f>_xlfn.XLOOKUP(Table3253[[#This Row],[File Name]],'[1]Analyse 2 Detail 02-03'!A:A,'[1]Analyse 2 Detail 02-03'!R:R,"Not Found",0,1)</f>
        <v>Mölnlycke Health Care B.V.</v>
      </c>
      <c r="E118" s="31" t="s">
        <v>34</v>
      </c>
      <c r="F118" s="40" t="s">
        <v>31</v>
      </c>
      <c r="G118" s="41">
        <v>0</v>
      </c>
      <c r="H118" s="7">
        <f>IF($F118="unclassified","N/A",(_xlfn.XLOOKUP($E118,[1]Sheet2!$A:$A,[1]Sheet2!Q:Q,"N/A",0,1)))</f>
        <v>1</v>
      </c>
      <c r="I118" s="7">
        <f>IF($F118="unclassified","N/A",(_xlfn.XLOOKUP($E118,[1]Sheet2!$A:$A,[1]Sheet2!R:R,"N/A",0,1)))</f>
        <v>1</v>
      </c>
      <c r="J118" s="7">
        <f>IF($F118="unclassified","N/A",(_xlfn.XLOOKUP($E118,[1]Sheet2!$A:$A,[1]Sheet2!S:S,"N/A",0,1)))</f>
        <v>1</v>
      </c>
      <c r="K118" s="7">
        <f>IF($F118="unclassified","N/A",(_xlfn.XLOOKUP($E118,[1]Sheet2!$A:$A,[1]Sheet2!T:T,"N/A",0,1)))</f>
        <v>1</v>
      </c>
      <c r="L118" s="7">
        <f>IF($F118="unclassified","N/A",(_xlfn.XLOOKUP($E118,[1]Sheet2!$A:$A,[1]Sheet2!U:U,"N/A",0,1)))</f>
        <v>1</v>
      </c>
      <c r="M118" s="7">
        <f>IF($F118="unclassified","N/A",(_xlfn.XLOOKUP($E118,[1]Sheet2!$A:$A,[1]Sheet2!V:V,"N/A",0,1)))</f>
        <v>1</v>
      </c>
      <c r="N118" s="7"/>
      <c r="O118" s="7">
        <f>IF($F118="unclassified","N/A",(_xlfn.XLOOKUP($E118,[1]Sheet2!$A:$A,[1]Sheet2!W:W,"N/A",0,1)))</f>
        <v>1</v>
      </c>
      <c r="P118" s="7">
        <f>IF($F118="unclassified","N/A",(_xlfn.XLOOKUP($E118,[1]Sheet2!$A:$A,[1]Sheet2!X:X,"N/A",0,1)))</f>
        <v>1</v>
      </c>
      <c r="Q118" s="7">
        <f>IF($F118="unclassified","N/A",(_xlfn.XLOOKUP($E118,[1]Sheet2!$A:$A,[1]Sheet2!Y:Y,"N/A",0,1)))</f>
        <v>1</v>
      </c>
      <c r="R118" s="7">
        <f>IF($F118="unclassified","N/A",(_xlfn.XLOOKUP($E118,[1]Sheet2!$A:$A,[1]Sheet2!Z:Z,"N/A",0,1)))</f>
        <v>1</v>
      </c>
      <c r="S118" s="7">
        <f>IF($F118="unclassified","N/A",(_xlfn.XLOOKUP($E118,[1]Sheet2!$A:$A,[1]Sheet2!AA:AA,"N/A",0,1)))</f>
        <v>1</v>
      </c>
      <c r="T118" s="7">
        <f>IF($F118="unclassified","N/A",(_xlfn.XLOOKUP($E118,[1]Sheet2!$A:$A,[1]Sheet2!AB:AB,"N/A",0,1)))</f>
        <v>1</v>
      </c>
      <c r="U118" s="35">
        <f>IF($F118="unclassified","N/A",(AVERAGE(Table3253[[#This Row],[PO nr]:[Delivery Date]])))</f>
        <v>1</v>
      </c>
      <c r="V118" s="38"/>
      <c r="W118" s="37"/>
      <c r="X118" s="44"/>
      <c r="Y118" s="45"/>
      <c r="Z118" s="45"/>
    </row>
    <row r="119" spans="4:26" ht="15" customHeight="1" x14ac:dyDescent="0.3">
      <c r="D119" s="39" t="str">
        <f>_xlfn.XLOOKUP(Table3253[[#This Row],[File Name]],'[1]Analyse 2 Detail 02-03'!A:A,'[1]Analyse 2 Detail 02-03'!R:R,"Not Found",0,1)</f>
        <v>Mölnlycke Health Care B.V.</v>
      </c>
      <c r="E119" s="31" t="s">
        <v>35</v>
      </c>
      <c r="F119" s="40" t="s">
        <v>31</v>
      </c>
      <c r="G119" s="41">
        <v>0</v>
      </c>
      <c r="H119" s="7">
        <f>IF($F119="unclassified","N/A",(_xlfn.XLOOKUP($E119,[1]Sheet2!$A:$A,[1]Sheet2!Q:Q,"N/A",0,1)))</f>
        <v>1</v>
      </c>
      <c r="I119" s="7">
        <f>IF($F119="unclassified","N/A",(_xlfn.XLOOKUP($E119,[1]Sheet2!$A:$A,[1]Sheet2!R:R,"N/A",0,1)))</f>
        <v>1</v>
      </c>
      <c r="J119" s="7">
        <f>IF($F119="unclassified","N/A",(_xlfn.XLOOKUP($E119,[1]Sheet2!$A:$A,[1]Sheet2!S:S,"N/A",0,1)))</f>
        <v>1</v>
      </c>
      <c r="K119" s="7">
        <f>IF($F119="unclassified","N/A",(_xlfn.XLOOKUP($E119,[1]Sheet2!$A:$A,[1]Sheet2!T:T,"N/A",0,1)))</f>
        <v>1</v>
      </c>
      <c r="L119" s="7">
        <f>IF($F119="unclassified","N/A",(_xlfn.XLOOKUP($E119,[1]Sheet2!$A:$A,[1]Sheet2!U:U,"N/A",0,1)))</f>
        <v>1</v>
      </c>
      <c r="M119" s="7">
        <f>IF($F119="unclassified","N/A",(_xlfn.XLOOKUP($E119,[1]Sheet2!$A:$A,[1]Sheet2!V:V,"N/A",0,1)))</f>
        <v>1</v>
      </c>
      <c r="N119" s="7"/>
      <c r="O119" s="7">
        <f>IF($F119="unclassified","N/A",(_xlfn.XLOOKUP($E119,[1]Sheet2!$A:$A,[1]Sheet2!W:W,"N/A",0,1)))</f>
        <v>1</v>
      </c>
      <c r="P119" s="7">
        <f>IF($F119="unclassified","N/A",(_xlfn.XLOOKUP($E119,[1]Sheet2!$A:$A,[1]Sheet2!X:X,"N/A",0,1)))</f>
        <v>1</v>
      </c>
      <c r="Q119" s="7">
        <f>IF($F119="unclassified","N/A",(_xlfn.XLOOKUP($E119,[1]Sheet2!$A:$A,[1]Sheet2!Y:Y,"N/A",0,1)))</f>
        <v>1</v>
      </c>
      <c r="R119" s="7">
        <f>IF($F119="unclassified","N/A",(_xlfn.XLOOKUP($E119,[1]Sheet2!$A:$A,[1]Sheet2!Z:Z,"N/A",0,1)))</f>
        <v>1</v>
      </c>
      <c r="S119" s="7">
        <f>IF($F119="unclassified","N/A",(_xlfn.XLOOKUP($E119,[1]Sheet2!$A:$A,[1]Sheet2!AA:AA,"N/A",0,1)))</f>
        <v>1</v>
      </c>
      <c r="T119" s="7">
        <f>IF($F119="unclassified","N/A",(_xlfn.XLOOKUP($E119,[1]Sheet2!$A:$A,[1]Sheet2!AB:AB,"N/A",0,1)))</f>
        <v>1</v>
      </c>
      <c r="U119" s="35">
        <f>IF($F119="unclassified","N/A",(AVERAGE(Table3253[[#This Row],[PO nr]:[Delivery Date]])))</f>
        <v>1</v>
      </c>
      <c r="V119" s="38"/>
      <c r="X119" s="42"/>
      <c r="Y119" s="43"/>
      <c r="Z119" s="43"/>
    </row>
    <row r="120" spans="4:26" ht="15" customHeight="1" x14ac:dyDescent="0.3">
      <c r="D120" s="46">
        <f>_xlfn.XLOOKUP(Table3253[[#This Row],[File Name]],'[1]Analyse 2 Detail 02-03'!A:A,'[1]Analyse 2 Detail 02-03'!R:R,"Not Found",0,1)</f>
        <v>0</v>
      </c>
      <c r="E120" s="31" t="s">
        <v>36</v>
      </c>
      <c r="F120" s="40" t="s">
        <v>37</v>
      </c>
      <c r="G120" s="41">
        <v>0</v>
      </c>
      <c r="H120" s="7" t="str">
        <f>IF($F120="unclassified","N/A",(_xlfn.XLOOKUP($E120,[1]Sheet2!$A:$A,[1]Sheet2!Q:Q,"N/A",0,1)))</f>
        <v>N/A</v>
      </c>
      <c r="I120" s="7" t="str">
        <f>IF($F120="unclassified","N/A",(_xlfn.XLOOKUP($E120,[1]Sheet2!$A:$A,[1]Sheet2!R:R,"N/A",0,1)))</f>
        <v>N/A</v>
      </c>
      <c r="J120" s="7" t="str">
        <f>IF($F120="unclassified","N/A",(_xlfn.XLOOKUP($E120,[1]Sheet2!$A:$A,[1]Sheet2!S:S,"N/A",0,1)))</f>
        <v>N/A</v>
      </c>
      <c r="K120" s="7" t="str">
        <f>IF($F120="unclassified","N/A",(_xlfn.XLOOKUP($E120,[1]Sheet2!$A:$A,[1]Sheet2!T:T,"N/A",0,1)))</f>
        <v>N/A</v>
      </c>
      <c r="L120" s="7" t="str">
        <f>IF($F120="unclassified","N/A",(_xlfn.XLOOKUP($E120,[1]Sheet2!$A:$A,[1]Sheet2!U:U,"N/A",0,1)))</f>
        <v>N/A</v>
      </c>
      <c r="M120" s="7" t="str">
        <f>IF($F120="unclassified","N/A",(_xlfn.XLOOKUP($E120,[1]Sheet2!$A:$A,[1]Sheet2!V:V,"N/A",0,1)))</f>
        <v>N/A</v>
      </c>
      <c r="N120" s="7"/>
      <c r="O120" s="7" t="str">
        <f>IF($F120="unclassified","N/A",(_xlfn.XLOOKUP($E120,[1]Sheet2!$A:$A,[1]Sheet2!W:W,"N/A",0,1)))</f>
        <v>N/A</v>
      </c>
      <c r="P120" s="7" t="str">
        <f>IF($F120="unclassified","N/A",(_xlfn.XLOOKUP($E120,[1]Sheet2!$A:$A,[1]Sheet2!X:X,"N/A",0,1)))</f>
        <v>N/A</v>
      </c>
      <c r="Q120" s="7" t="str">
        <f>IF($F120="unclassified","N/A",(_xlfn.XLOOKUP($E120,[1]Sheet2!$A:$A,[1]Sheet2!Y:Y,"N/A",0,1)))</f>
        <v>N/A</v>
      </c>
      <c r="R120" s="7" t="str">
        <f>IF($F120="unclassified","N/A",(_xlfn.XLOOKUP($E120,[1]Sheet2!$A:$A,[1]Sheet2!Z:Z,"N/A",0,1)))</f>
        <v>N/A</v>
      </c>
      <c r="S120" s="7" t="str">
        <f>IF($F120="unclassified","N/A",(_xlfn.XLOOKUP($E120,[1]Sheet2!$A:$A,[1]Sheet2!AA:AA,"N/A",0,1)))</f>
        <v>N/A</v>
      </c>
      <c r="T120" s="7" t="str">
        <f>IF($F120="unclassified","N/A",(_xlfn.XLOOKUP($E120,[1]Sheet2!$A:$A,[1]Sheet2!AB:AB,"N/A",0,1)))</f>
        <v>N/A</v>
      </c>
      <c r="U120" s="35" t="str">
        <f>IF($F120="unclassified","N/A",(AVERAGE(Table3253[[#This Row],[PO nr]:[Delivery Date]])))</f>
        <v>N/A</v>
      </c>
      <c r="V120" s="47" t="s">
        <v>38</v>
      </c>
      <c r="W120" s="38" t="s">
        <v>39</v>
      </c>
      <c r="X120" s="48"/>
      <c r="Y120" s="49"/>
      <c r="Z120" s="49"/>
    </row>
    <row r="121" spans="4:26" ht="15" customHeight="1" x14ac:dyDescent="0.3">
      <c r="D121" s="46" t="str">
        <f>_xlfn.XLOOKUP(Table3253[[#This Row],[File Name]],'[1]Analyse 2 Detail 02-03'!A:A,'[1]Analyse 2 Detail 02-03'!R:R,"Not Found",0,1)</f>
        <v>Essity Belgium NV</v>
      </c>
      <c r="E121" s="31" t="s">
        <v>40</v>
      </c>
      <c r="F121" s="40" t="s">
        <v>31</v>
      </c>
      <c r="G121" s="41">
        <v>0</v>
      </c>
      <c r="H121" s="7">
        <f>IF($F121="unclassified","N/A",(_xlfn.XLOOKUP($E121,[1]Sheet2!$A:$A,[1]Sheet2!Q:Q,"N/A",0,1)))</f>
        <v>1</v>
      </c>
      <c r="I121" s="7">
        <f>IF($F121="unclassified","N/A",(_xlfn.XLOOKUP($E121,[1]Sheet2!$A:$A,[1]Sheet2!R:R,"N/A",0,1)))</f>
        <v>1</v>
      </c>
      <c r="J121" s="7">
        <f>IF($F121="unclassified","N/A",(_xlfn.XLOOKUP($E121,[1]Sheet2!$A:$A,[1]Sheet2!S:S,"N/A",0,1)))</f>
        <v>1</v>
      </c>
      <c r="K121" s="7">
        <f>IF($F121="unclassified","N/A",(_xlfn.XLOOKUP($E121,[1]Sheet2!$A:$A,[1]Sheet2!T:T,"N/A",0,1)))</f>
        <v>1</v>
      </c>
      <c r="L121" s="7">
        <f>IF($F121="unclassified","N/A",(_xlfn.XLOOKUP($E121,[1]Sheet2!$A:$A,[1]Sheet2!U:U,"N/A",0,1)))</f>
        <v>1</v>
      </c>
      <c r="M121" s="7">
        <f>IF($F121="unclassified","N/A",(_xlfn.XLOOKUP($E121,[1]Sheet2!$A:$A,[1]Sheet2!V:V,"N/A",0,1)))</f>
        <v>1</v>
      </c>
      <c r="N121" s="7"/>
      <c r="O121" s="7">
        <f>IF($F121="unclassified","N/A",(_xlfn.XLOOKUP($E121,[1]Sheet2!$A:$A,[1]Sheet2!W:W,"N/A",0,1)))</f>
        <v>1</v>
      </c>
      <c r="P121" s="7">
        <f>IF($F121="unclassified","N/A",(_xlfn.XLOOKUP($E121,[1]Sheet2!$A:$A,[1]Sheet2!X:X,"N/A",0,1)))</f>
        <v>1</v>
      </c>
      <c r="Q121" s="7">
        <f>IF($F121="unclassified","N/A",(_xlfn.XLOOKUP($E121,[1]Sheet2!$A:$A,[1]Sheet2!Y:Y,"N/A",0,1)))</f>
        <v>1</v>
      </c>
      <c r="R121" s="7">
        <f>IF($F121="unclassified","N/A",(_xlfn.XLOOKUP($E121,[1]Sheet2!$A:$A,[1]Sheet2!Z:Z,"N/A",0,1)))</f>
        <v>1</v>
      </c>
      <c r="S121" s="7">
        <v>1</v>
      </c>
      <c r="T121" s="7">
        <f>IF($F121="unclassified","N/A",(_xlfn.XLOOKUP($E121,[1]Sheet2!$A:$A,[1]Sheet2!AB:AB,"N/A",0,1)))</f>
        <v>1</v>
      </c>
      <c r="U121" s="35">
        <f>IF($F121="unclassified","N/A",(AVERAGE(Table3253[[#This Row],[PO nr]:[Delivery Date]])))</f>
        <v>1</v>
      </c>
      <c r="V121" s="47"/>
      <c r="W121" s="51"/>
      <c r="X121" s="48"/>
      <c r="Y121" s="49"/>
      <c r="Z121" s="49"/>
    </row>
    <row r="122" spans="4:26" ht="15" customHeight="1" x14ac:dyDescent="0.3">
      <c r="D122" s="39" t="str">
        <f>_xlfn.XLOOKUP(Table3253[[#This Row],[File Name]],'[1]Analyse 2 Detail 02-03'!A:A,'[1]Analyse 2 Detail 02-03'!R:R,"Not Found",0,1)</f>
        <v>Essity Belgium NV</v>
      </c>
      <c r="E122" s="31" t="s">
        <v>40</v>
      </c>
      <c r="F122" s="40" t="s">
        <v>31</v>
      </c>
      <c r="G122" s="41">
        <v>0</v>
      </c>
      <c r="H122" s="7">
        <f>IF($F122="unclassified","N/A",(_xlfn.XLOOKUP($E122,[1]Sheet2!$A:$A,[1]Sheet2!Q:Q,"N/A",0,1)))</f>
        <v>1</v>
      </c>
      <c r="I122" s="7">
        <f>IF($F122="unclassified","N/A",(_xlfn.XLOOKUP($E122,[1]Sheet2!$A:$A,[1]Sheet2!R:R,"N/A",0,1)))</f>
        <v>1</v>
      </c>
      <c r="J122" s="7">
        <f>IF($F122="unclassified","N/A",(_xlfn.XLOOKUP($E122,[1]Sheet2!$A:$A,[1]Sheet2!S:S,"N/A",0,1)))</f>
        <v>1</v>
      </c>
      <c r="K122" s="7">
        <f>IF($F122="unclassified","N/A",(_xlfn.XLOOKUP($E122,[1]Sheet2!$A:$A,[1]Sheet2!T:T,"N/A",0,1)))</f>
        <v>1</v>
      </c>
      <c r="L122" s="7">
        <f>IF($F122="unclassified","N/A",(_xlfn.XLOOKUP($E122,[1]Sheet2!$A:$A,[1]Sheet2!U:U,"N/A",0,1)))</f>
        <v>1</v>
      </c>
      <c r="M122" s="7">
        <f>IF($F122="unclassified","N/A",(_xlfn.XLOOKUP($E122,[1]Sheet2!$A:$A,[1]Sheet2!V:V,"N/A",0,1)))</f>
        <v>1</v>
      </c>
      <c r="N122" s="7"/>
      <c r="O122" s="7">
        <f>IF($F122="unclassified","N/A",(_xlfn.XLOOKUP($E122,[1]Sheet2!$A:$A,[1]Sheet2!W:W,"N/A",0,1)))</f>
        <v>1</v>
      </c>
      <c r="P122" s="7">
        <f>IF($F122="unclassified","N/A",(_xlfn.XLOOKUP($E122,[1]Sheet2!$A:$A,[1]Sheet2!X:X,"N/A",0,1)))</f>
        <v>1</v>
      </c>
      <c r="Q122" s="7">
        <f>IF($F122="unclassified","N/A",(_xlfn.XLOOKUP($E122,[1]Sheet2!$A:$A,[1]Sheet2!Y:Y,"N/A",0,1)))</f>
        <v>1</v>
      </c>
      <c r="R122" s="7">
        <f>IF($F122="unclassified","N/A",(_xlfn.XLOOKUP($E122,[1]Sheet2!$A:$A,[1]Sheet2!Z:Z,"N/A",0,1)))</f>
        <v>1</v>
      </c>
      <c r="S122" s="7">
        <v>1</v>
      </c>
      <c r="T122" s="7">
        <f>IF($F122="unclassified","N/A",(_xlfn.XLOOKUP($E122,[1]Sheet2!$A:$A,[1]Sheet2!AB:AB,"N/A",0,1)))</f>
        <v>1</v>
      </c>
      <c r="U122" s="35">
        <f>IF($F122="unclassified","N/A",(AVERAGE(Table3253[[#This Row],[PO nr]:[Delivery Date]])))</f>
        <v>1</v>
      </c>
      <c r="V122" s="38" t="s">
        <v>41</v>
      </c>
      <c r="X122" s="42"/>
      <c r="Y122" s="43"/>
      <c r="Z122" s="43"/>
    </row>
    <row r="123" spans="4:26" ht="15" customHeight="1" x14ac:dyDescent="0.3">
      <c r="D123" s="39" t="str">
        <f>_xlfn.XLOOKUP(Table3253[[#This Row],[File Name]],'[1]Analyse 2 Detail 02-03'!A:A,'[1]Analyse 2 Detail 02-03'!R:R,"Not Found",0,1)</f>
        <v>Essity Netherlands B.V.</v>
      </c>
      <c r="E123" s="31" t="s">
        <v>42</v>
      </c>
      <c r="F123" s="40" t="s">
        <v>31</v>
      </c>
      <c r="G123" s="41">
        <v>1</v>
      </c>
      <c r="H123" s="7">
        <f>IF($F123="unclassified","N/A",(_xlfn.XLOOKUP($E123,[1]Sheet2!$A:$A,[1]Sheet2!Q:Q,"N/A",0,1)))</f>
        <v>1</v>
      </c>
      <c r="I123" s="7">
        <f>IF($F123="unclassified","N/A",(_xlfn.XLOOKUP($E123,[1]Sheet2!$A:$A,[1]Sheet2!R:R,"N/A",0,1)))</f>
        <v>1</v>
      </c>
      <c r="J123" s="7">
        <f>IF($F123="unclassified","N/A",(_xlfn.XLOOKUP($E123,[1]Sheet2!$A:$A,[1]Sheet2!S:S,"N/A",0,1)))</f>
        <v>1</v>
      </c>
      <c r="K123" s="7">
        <f>IF($F123="unclassified","N/A",(_xlfn.XLOOKUP($E123,[1]Sheet2!$A:$A,[1]Sheet2!T:T,"N/A",0,1)))</f>
        <v>1</v>
      </c>
      <c r="L123" s="7">
        <f>IF($F123="unclassified","N/A",(_xlfn.XLOOKUP($E123,[1]Sheet2!$A:$A,[1]Sheet2!U:U,"N/A",0,1)))</f>
        <v>1</v>
      </c>
      <c r="M123" s="7">
        <f>IF($F123="unclassified","N/A",(_xlfn.XLOOKUP($E123,[1]Sheet2!$A:$A,[1]Sheet2!V:V,"N/A",0,1)))</f>
        <v>1</v>
      </c>
      <c r="N123" s="7"/>
      <c r="O123" s="7">
        <f>IF($F123="unclassified","N/A",(_xlfn.XLOOKUP($E123,[1]Sheet2!$A:$A,[1]Sheet2!W:W,"N/A",0,1)))</f>
        <v>1</v>
      </c>
      <c r="P123" s="7">
        <f>IF($F123="unclassified","N/A",(_xlfn.XLOOKUP($E123,[1]Sheet2!$A:$A,[1]Sheet2!X:X,"N/A",0,1)))</f>
        <v>1</v>
      </c>
      <c r="Q123" s="7">
        <f>IF($F123="unclassified","N/A",(_xlfn.XLOOKUP($E123,[1]Sheet2!$A:$A,[1]Sheet2!Y:Y,"N/A",0,1)))</f>
        <v>1</v>
      </c>
      <c r="R123" s="7">
        <f>IF($F123="unclassified","N/A",(_xlfn.XLOOKUP($E123,[1]Sheet2!$A:$A,[1]Sheet2!Z:Z,"N/A",0,1)))</f>
        <v>1</v>
      </c>
      <c r="S123" s="7">
        <f>IF($F123="unclassified","N/A",(_xlfn.XLOOKUP($E123,[1]Sheet2!$A:$A,[1]Sheet2!AA:AA,"N/A",0,1)))</f>
        <v>1</v>
      </c>
      <c r="T123" s="7">
        <v>1</v>
      </c>
      <c r="U123" s="35">
        <f>IF($F123="unclassified","N/A",(AVERAGE(Table3253[[#This Row],[PO nr]:[Delivery Date]])))</f>
        <v>1</v>
      </c>
      <c r="V123" s="52" t="s">
        <v>43</v>
      </c>
      <c r="W123" t="s">
        <v>44</v>
      </c>
      <c r="X123" s="42"/>
      <c r="Y123" s="45"/>
      <c r="Z123" s="45"/>
    </row>
    <row r="124" spans="4:26" ht="15" customHeight="1" x14ac:dyDescent="0.3">
      <c r="D124" s="39" t="str">
        <f>_xlfn.XLOOKUP(Table3253[[#This Row],[File Name]],'[1]Analyse 2 Detail 02-03'!A:A,'[1]Analyse 2 Detail 02-03'!R:R,"Not Found",0,1)</f>
        <v>Essity Netherlands B.V.</v>
      </c>
      <c r="E124" s="31" t="s">
        <v>45</v>
      </c>
      <c r="F124" s="40" t="s">
        <v>31</v>
      </c>
      <c r="G124" s="41">
        <v>2</v>
      </c>
      <c r="H124" s="7">
        <f>IF($F124="unclassified","N/A",(_xlfn.XLOOKUP($E124,[1]Sheet2!$A:$A,[1]Sheet2!Q:Q,"N/A",0,1)))</f>
        <v>1</v>
      </c>
      <c r="I124" s="7">
        <f>IF($F124="unclassified","N/A",(_xlfn.XLOOKUP($E124,[1]Sheet2!$A:$A,[1]Sheet2!R:R,"N/A",0,1)))</f>
        <v>1</v>
      </c>
      <c r="J124" s="7">
        <f>IF($F124="unclassified","N/A",(_xlfn.XLOOKUP($E124,[1]Sheet2!$A:$A,[1]Sheet2!S:S,"N/A",0,1)))</f>
        <v>1</v>
      </c>
      <c r="K124" s="7">
        <f>IF($F124="unclassified","N/A",(_xlfn.XLOOKUP($E124,[1]Sheet2!$A:$A,[1]Sheet2!T:T,"N/A",0,1)))</f>
        <v>1</v>
      </c>
      <c r="L124" s="7">
        <f>IF($F124="unclassified","N/A",(_xlfn.XLOOKUP($E124,[1]Sheet2!$A:$A,[1]Sheet2!U:U,"N/A",0,1)))</f>
        <v>1</v>
      </c>
      <c r="M124" s="7">
        <f>IF($F124="unclassified","N/A",(_xlfn.XLOOKUP($E124,[1]Sheet2!$A:$A,[1]Sheet2!V:V,"N/A",0,1)))</f>
        <v>1</v>
      </c>
      <c r="N124" s="7"/>
      <c r="O124" s="7">
        <f>IF($F124="unclassified","N/A",(_xlfn.XLOOKUP($E124,[1]Sheet2!$A:$A,[1]Sheet2!W:W,"N/A",0,1)))</f>
        <v>1</v>
      </c>
      <c r="P124" s="7">
        <f>IF($F124="unclassified","N/A",(_xlfn.XLOOKUP($E124,[1]Sheet2!$A:$A,[1]Sheet2!X:X,"N/A",0,1)))</f>
        <v>1</v>
      </c>
      <c r="Q124" s="7">
        <f>IF($F124="unclassified","N/A",(_xlfn.XLOOKUP($E124,[1]Sheet2!$A:$A,[1]Sheet2!Y:Y,"N/A",0,1)))</f>
        <v>1</v>
      </c>
      <c r="R124" s="7">
        <f>IF($F124="unclassified","N/A",(_xlfn.XLOOKUP($E124,[1]Sheet2!$A:$A,[1]Sheet2!Z:Z,"N/A",0,1)))</f>
        <v>1</v>
      </c>
      <c r="S124" s="7">
        <f>IF($F124="unclassified","N/A",(_xlfn.XLOOKUP($E124,[1]Sheet2!$A:$A,[1]Sheet2!AA:AA,"N/A",0,1)))</f>
        <v>1</v>
      </c>
      <c r="T124" s="7">
        <v>1</v>
      </c>
      <c r="U124" s="35">
        <f>IF($F124="unclassified","N/A",(AVERAGE(Table3253[[#This Row],[PO nr]:[Delivery Date]])))</f>
        <v>1</v>
      </c>
      <c r="V124" s="52" t="s">
        <v>43</v>
      </c>
      <c r="W124" t="s">
        <v>44</v>
      </c>
      <c r="X124" s="53"/>
      <c r="Y124" s="43"/>
      <c r="Z124" s="43"/>
    </row>
    <row r="125" spans="4:26" ht="15" customHeight="1" x14ac:dyDescent="0.3">
      <c r="D125" s="39" t="str">
        <f>_xlfn.XLOOKUP(Table3253[[#This Row],[File Name]],'[1]Analyse 2 Detail 02-03'!A:A,'[1]Analyse 2 Detail 02-03'!R:R,"Not Found",0,1)</f>
        <v>Essity Belgium NV</v>
      </c>
      <c r="E125" s="31" t="s">
        <v>46</v>
      </c>
      <c r="F125" s="40" t="s">
        <v>31</v>
      </c>
      <c r="G125" s="41">
        <v>4</v>
      </c>
      <c r="H125" s="7">
        <f>IF($F125="unclassified","N/A",(_xlfn.XLOOKUP($E125,[1]Sheet2!$A:$A,[1]Sheet2!Q:Q,"N/A",0,1)))</f>
        <v>1</v>
      </c>
      <c r="I125" s="7">
        <f>IF($F125="unclassified","N/A",(_xlfn.XLOOKUP($E125,[1]Sheet2!$A:$A,[1]Sheet2!R:R,"N/A",0,1)))</f>
        <v>1</v>
      </c>
      <c r="J125" s="7">
        <f>IF($F125="unclassified","N/A",(_xlfn.XLOOKUP($E125,[1]Sheet2!$A:$A,[1]Sheet2!S:S,"N/A",0,1)))</f>
        <v>1</v>
      </c>
      <c r="K125" s="7">
        <f>IF($F125="unclassified","N/A",(_xlfn.XLOOKUP($E125,[1]Sheet2!$A:$A,[1]Sheet2!T:T,"N/A",0,1)))</f>
        <v>1</v>
      </c>
      <c r="L125" s="7">
        <f>IF($F125="unclassified","N/A",(_xlfn.XLOOKUP($E125,[1]Sheet2!$A:$A,[1]Sheet2!U:U,"N/A",0,1)))</f>
        <v>1</v>
      </c>
      <c r="M125" s="7">
        <f>IF($F125="unclassified","N/A",(_xlfn.XLOOKUP($E125,[1]Sheet2!$A:$A,[1]Sheet2!V:V,"N/A",0,1)))</f>
        <v>1</v>
      </c>
      <c r="N125" s="7"/>
      <c r="O125" s="7">
        <f>IF($F125="unclassified","N/A",(_xlfn.XLOOKUP($E125,[1]Sheet2!$A:$A,[1]Sheet2!W:W,"N/A",0,1)))</f>
        <v>1</v>
      </c>
      <c r="P125" s="7">
        <f>IF($F125="unclassified","N/A",(_xlfn.XLOOKUP($E125,[1]Sheet2!$A:$A,[1]Sheet2!X:X,"N/A",0,1)))</f>
        <v>1</v>
      </c>
      <c r="Q125" s="7">
        <f>IF($F125="unclassified","N/A",(_xlfn.XLOOKUP($E125,[1]Sheet2!$A:$A,[1]Sheet2!Y:Y,"N/A",0,1)))</f>
        <v>1</v>
      </c>
      <c r="R125" s="7">
        <f>IF($F125="unclassified","N/A",(_xlfn.XLOOKUP($E125,[1]Sheet2!$A:$A,[1]Sheet2!Z:Z,"N/A",0,1)))</f>
        <v>1</v>
      </c>
      <c r="S125" s="7">
        <v>1</v>
      </c>
      <c r="T125" s="7">
        <v>1</v>
      </c>
      <c r="U125" s="35">
        <f>IF($F125="unclassified","N/A",(AVERAGE(Table3253[[#This Row],[PO nr]:[Delivery Date]])))</f>
        <v>1</v>
      </c>
      <c r="V125" s="38" t="s">
        <v>47</v>
      </c>
      <c r="W125" s="37" t="s">
        <v>48</v>
      </c>
      <c r="X125" s="37" t="s">
        <v>49</v>
      </c>
      <c r="Y125" s="38"/>
      <c r="Z125" s="38"/>
    </row>
    <row r="126" spans="4:26" ht="15" customHeight="1" x14ac:dyDescent="0.3">
      <c r="D126" s="39" t="str">
        <f>_xlfn.XLOOKUP(Table3253[[#This Row],[File Name]],'[1]Analyse 2 Detail 02-03'!A:A,'[1]Analyse 2 Detail 02-03'!R:R,"Not Found",0,1)</f>
        <v>Essity Belgium NV</v>
      </c>
      <c r="E126" s="31" t="s">
        <v>46</v>
      </c>
      <c r="F126" s="40" t="s">
        <v>31</v>
      </c>
      <c r="G126" s="41">
        <v>1</v>
      </c>
      <c r="H126" s="7">
        <f>IF($F126="unclassified","N/A",(_xlfn.XLOOKUP($E126,[1]Sheet2!$A:$A,[1]Sheet2!Q:Q,"N/A",0,1)))</f>
        <v>1</v>
      </c>
      <c r="I126" s="7">
        <f>IF($F126="unclassified","N/A",(_xlfn.XLOOKUP($E126,[1]Sheet2!$A:$A,[1]Sheet2!R:R,"N/A",0,1)))</f>
        <v>1</v>
      </c>
      <c r="J126" s="7">
        <f>IF($F126="unclassified","N/A",(_xlfn.XLOOKUP($E126,[1]Sheet2!$A:$A,[1]Sheet2!S:S,"N/A",0,1)))</f>
        <v>1</v>
      </c>
      <c r="K126" s="7">
        <f>IF($F126="unclassified","N/A",(_xlfn.XLOOKUP($E126,[1]Sheet2!$A:$A,[1]Sheet2!T:T,"N/A",0,1)))</f>
        <v>1</v>
      </c>
      <c r="L126" s="7">
        <f>IF($F126="unclassified","N/A",(_xlfn.XLOOKUP($E126,[1]Sheet2!$A:$A,[1]Sheet2!U:U,"N/A",0,1)))</f>
        <v>1</v>
      </c>
      <c r="M126" s="7">
        <f>IF($F126="unclassified","N/A",(_xlfn.XLOOKUP($E126,[1]Sheet2!$A:$A,[1]Sheet2!V:V,"N/A",0,1)))</f>
        <v>1</v>
      </c>
      <c r="N126" s="7"/>
      <c r="O126" s="7">
        <f>IF($F126="unclassified","N/A",(_xlfn.XLOOKUP($E126,[1]Sheet2!$A:$A,[1]Sheet2!W:W,"N/A",0,1)))</f>
        <v>1</v>
      </c>
      <c r="P126" s="7">
        <f>IF($F126="unclassified","N/A",(_xlfn.XLOOKUP($E126,[1]Sheet2!$A:$A,[1]Sheet2!X:X,"N/A",0,1)))</f>
        <v>1</v>
      </c>
      <c r="Q126" s="7">
        <f>IF($F126="unclassified","N/A",(_xlfn.XLOOKUP($E126,[1]Sheet2!$A:$A,[1]Sheet2!Y:Y,"N/A",0,1)))</f>
        <v>1</v>
      </c>
      <c r="R126" s="7">
        <f>IF($F126="unclassified","N/A",(_xlfn.XLOOKUP($E126,[1]Sheet2!$A:$A,[1]Sheet2!Z:Z,"N/A",0,1)))</f>
        <v>1</v>
      </c>
      <c r="S126" s="7">
        <v>1</v>
      </c>
      <c r="T126" s="7">
        <v>1</v>
      </c>
      <c r="U126" s="35">
        <f>IF($F126="unclassified","N/A",(AVERAGE(Table3253[[#This Row],[PO nr]:[Delivery Date]])))</f>
        <v>1</v>
      </c>
      <c r="V126" s="38" t="s">
        <v>50</v>
      </c>
      <c r="W126" s="37" t="s">
        <v>48</v>
      </c>
      <c r="X126" s="37" t="s">
        <v>49</v>
      </c>
      <c r="Y126" s="43"/>
      <c r="Z126" s="43"/>
    </row>
    <row r="127" spans="4:26" ht="15" customHeight="1" x14ac:dyDescent="0.3">
      <c r="D127" s="39" t="str">
        <f>_xlfn.XLOOKUP(Table3253[[#This Row],[File Name]],'[1]Analyse 2 Detail 02-03'!A:A,'[1]Analyse 2 Detail 02-03'!R:R,"Not Found",0,1)</f>
        <v>Essity Netherlands B.V. Health &amp; Medical</v>
      </c>
      <c r="E127" s="31" t="s">
        <v>51</v>
      </c>
      <c r="F127" s="40" t="s">
        <v>31</v>
      </c>
      <c r="G127" s="41">
        <v>0</v>
      </c>
      <c r="H127" s="7">
        <f>IF($F127="unclassified","N/A",(_xlfn.XLOOKUP($E127,[1]Sheet2!$A:$A,[1]Sheet2!Q:Q,"N/A",0,1)))</f>
        <v>1</v>
      </c>
      <c r="I127" s="7">
        <f>IF($F127="unclassified","N/A",(_xlfn.XLOOKUP($E127,[1]Sheet2!$A:$A,[1]Sheet2!R:R,"N/A",0,1)))</f>
        <v>1</v>
      </c>
      <c r="J127" s="7">
        <f>IF($F127="unclassified","N/A",(_xlfn.XLOOKUP($E127,[1]Sheet2!$A:$A,[1]Sheet2!S:S,"N/A",0,1)))</f>
        <v>1</v>
      </c>
      <c r="K127" s="7">
        <f>IF($F127="unclassified","N/A",(_xlfn.XLOOKUP($E127,[1]Sheet2!$A:$A,[1]Sheet2!T:T,"N/A",0,1)))</f>
        <v>1</v>
      </c>
      <c r="L127" s="7">
        <f>IF($F127="unclassified","N/A",(_xlfn.XLOOKUP($E127,[1]Sheet2!$A:$A,[1]Sheet2!U:U,"N/A",0,1)))</f>
        <v>1</v>
      </c>
      <c r="M127" s="7">
        <f>IF($F127="unclassified","N/A",(_xlfn.XLOOKUP($E127,[1]Sheet2!$A:$A,[1]Sheet2!V:V,"N/A",0,1)))</f>
        <v>1</v>
      </c>
      <c r="N127" s="7"/>
      <c r="O127" s="7">
        <f>IF($F127="unclassified","N/A",(_xlfn.XLOOKUP($E127,[1]Sheet2!$A:$A,[1]Sheet2!W:W,"N/A",0,1)))</f>
        <v>1</v>
      </c>
      <c r="P127" s="7">
        <f>IF($F127="unclassified","N/A",(_xlfn.XLOOKUP($E127,[1]Sheet2!$A:$A,[1]Sheet2!X:X,"N/A",0,1)))</f>
        <v>1</v>
      </c>
      <c r="Q127" s="7">
        <f>IF($F127="unclassified","N/A",(_xlfn.XLOOKUP($E127,[1]Sheet2!$A:$A,[1]Sheet2!Y:Y,"N/A",0,1)))</f>
        <v>1</v>
      </c>
      <c r="R127" s="7">
        <f>IF($F127="unclassified","N/A",(_xlfn.XLOOKUP($E127,[1]Sheet2!$A:$A,[1]Sheet2!Z:Z,"N/A",0,1)))</f>
        <v>1</v>
      </c>
      <c r="S127" s="7">
        <f>IF($F127="unclassified","N/A",(_xlfn.XLOOKUP($E127,[1]Sheet2!$A:$A,[1]Sheet2!AA:AA,"N/A",0,1)))</f>
        <v>1</v>
      </c>
      <c r="T127" s="7">
        <v>1</v>
      </c>
      <c r="U127" s="35">
        <f>IF($F127="unclassified","N/A",(AVERAGE(Table3253[[#This Row],[PO nr]:[Delivery Date]])))</f>
        <v>1</v>
      </c>
      <c r="V127" s="38" t="s">
        <v>52</v>
      </c>
      <c r="W127" s="37"/>
      <c r="X127" s="37"/>
      <c r="Y127" s="38"/>
      <c r="Z127" s="38"/>
    </row>
    <row r="128" spans="4:26" ht="15" customHeight="1" x14ac:dyDescent="0.3">
      <c r="D128" s="39" t="str">
        <f>_xlfn.XLOOKUP(Table3253[[#This Row],[File Name]],'[1]Analyse 2 Detail 02-03'!A:A,'[1]Analyse 2 Detail 02-03'!R:R,"Not Found",0,1)</f>
        <v>Essity Netherlands B.V.</v>
      </c>
      <c r="E128" s="31" t="s">
        <v>53</v>
      </c>
      <c r="F128" s="40" t="s">
        <v>31</v>
      </c>
      <c r="G128" s="41">
        <v>0</v>
      </c>
      <c r="H128" s="7">
        <f>IF($F128="unclassified","N/A",(_xlfn.XLOOKUP($E128,[1]Sheet2!$A:$A,[1]Sheet2!Q:Q,"N/A",0,1)))</f>
        <v>1</v>
      </c>
      <c r="I128" s="7">
        <f>IF($F128="unclassified","N/A",(_xlfn.XLOOKUP($E128,[1]Sheet2!$A:$A,[1]Sheet2!R:R,"N/A",0,1)))</f>
        <v>1</v>
      </c>
      <c r="J128" s="7">
        <f>IF($F128="unclassified","N/A",(_xlfn.XLOOKUP($E128,[1]Sheet2!$A:$A,[1]Sheet2!S:S,"N/A",0,1)))</f>
        <v>1</v>
      </c>
      <c r="K128" s="7">
        <f>IF($F128="unclassified","N/A",(_xlfn.XLOOKUP($E128,[1]Sheet2!$A:$A,[1]Sheet2!T:T,"N/A",0,1)))</f>
        <v>1</v>
      </c>
      <c r="L128" s="7">
        <f>IF($F128="unclassified","N/A",(_xlfn.XLOOKUP($E128,[1]Sheet2!$A:$A,[1]Sheet2!U:U,"N/A",0,1)))</f>
        <v>1</v>
      </c>
      <c r="M128" s="7">
        <f>IF($F128="unclassified","N/A",(_xlfn.XLOOKUP($E128,[1]Sheet2!$A:$A,[1]Sheet2!V:V,"N/A",0,1)))</f>
        <v>1</v>
      </c>
      <c r="N128" s="7"/>
      <c r="O128" s="7">
        <f>IF($F128="unclassified","N/A",(_xlfn.XLOOKUP($E128,[1]Sheet2!$A:$A,[1]Sheet2!W:W,"N/A",0,1)))</f>
        <v>1</v>
      </c>
      <c r="P128" s="7">
        <f>IF($F128="unclassified","N/A",(_xlfn.XLOOKUP($E128,[1]Sheet2!$A:$A,[1]Sheet2!X:X,"N/A",0,1)))</f>
        <v>1</v>
      </c>
      <c r="Q128" s="7">
        <f>IF($F128="unclassified","N/A",(_xlfn.XLOOKUP($E128,[1]Sheet2!$A:$A,[1]Sheet2!Y:Y,"N/A",0,1)))</f>
        <v>1</v>
      </c>
      <c r="R128" s="7">
        <f>IF($F128="unclassified","N/A",(_xlfn.XLOOKUP($E128,[1]Sheet2!$A:$A,[1]Sheet2!Z:Z,"N/A",0,1)))</f>
        <v>1</v>
      </c>
      <c r="S128" s="7">
        <f>IF($F128="unclassified","N/A",(_xlfn.XLOOKUP($E128,[1]Sheet2!$A:$A,[1]Sheet2!AA:AA,"N/A",0,1)))</f>
        <v>1</v>
      </c>
      <c r="T128" s="7">
        <f>IF($F128="unclassified","N/A",(_xlfn.XLOOKUP($E128,[1]Sheet2!$A:$A,[1]Sheet2!AB:AB,"N/A",0,1)))</f>
        <v>1</v>
      </c>
      <c r="U128" s="35">
        <f>IF($F128="unclassified","N/A",(AVERAGE(Table3253[[#This Row],[PO nr]:[Delivery Date]])))</f>
        <v>1</v>
      </c>
      <c r="V128" s="38"/>
      <c r="W128" s="37"/>
      <c r="X128" s="44"/>
      <c r="Y128" s="45"/>
      <c r="Z128" s="45"/>
    </row>
    <row r="129" spans="4:26" ht="15" customHeight="1" x14ac:dyDescent="0.3">
      <c r="D129" s="39" t="str">
        <f>_xlfn.XLOOKUP(Table3253[[#This Row],[File Name]],'[1]Analyse 2 Detail 02-03'!A:A,'[1]Analyse 2 Detail 02-03'!R:R,"Not Found",0,1)</f>
        <v>Essity Netherlands B.V.</v>
      </c>
      <c r="E129" s="31" t="s">
        <v>54</v>
      </c>
      <c r="F129" s="40" t="s">
        <v>31</v>
      </c>
      <c r="G129" s="41">
        <v>0</v>
      </c>
      <c r="H129" s="7">
        <f>IF($F129="unclassified","N/A",(_xlfn.XLOOKUP($E129,[1]Sheet2!$A:$A,[1]Sheet2!Q:Q,"N/A",0,1)))</f>
        <v>1</v>
      </c>
      <c r="I129" s="7">
        <f>IF($F129="unclassified","N/A",(_xlfn.XLOOKUP($E129,[1]Sheet2!$A:$A,[1]Sheet2!R:R,"N/A",0,1)))</f>
        <v>1</v>
      </c>
      <c r="J129" s="7">
        <f>IF($F129="unclassified","N/A",(_xlfn.XLOOKUP($E129,[1]Sheet2!$A:$A,[1]Sheet2!S:S,"N/A",0,1)))</f>
        <v>1</v>
      </c>
      <c r="K129" s="7">
        <f>IF($F129="unclassified","N/A",(_xlfn.XLOOKUP($E129,[1]Sheet2!$A:$A,[1]Sheet2!T:T,"N/A",0,1)))</f>
        <v>1</v>
      </c>
      <c r="L129" s="7">
        <f>IF($F129="unclassified","N/A",(_xlfn.XLOOKUP($E129,[1]Sheet2!$A:$A,[1]Sheet2!U:U,"N/A",0,1)))</f>
        <v>1</v>
      </c>
      <c r="M129" s="7">
        <f>IF($F129="unclassified","N/A",(_xlfn.XLOOKUP($E129,[1]Sheet2!$A:$A,[1]Sheet2!V:V,"N/A",0,1)))</f>
        <v>1</v>
      </c>
      <c r="N129" s="7"/>
      <c r="O129" s="7">
        <f>IF($F129="unclassified","N/A",(_xlfn.XLOOKUP($E129,[1]Sheet2!$A:$A,[1]Sheet2!W:W,"N/A",0,1)))</f>
        <v>1</v>
      </c>
      <c r="P129" s="7">
        <f>IF($F129="unclassified","N/A",(_xlfn.XLOOKUP($E129,[1]Sheet2!$A:$A,[1]Sheet2!X:X,"N/A",0,1)))</f>
        <v>1</v>
      </c>
      <c r="Q129" s="7">
        <f>IF($F129="unclassified","N/A",(_xlfn.XLOOKUP($E129,[1]Sheet2!$A:$A,[1]Sheet2!Y:Y,"N/A",0,1)))</f>
        <v>1</v>
      </c>
      <c r="R129" s="7">
        <f>IF($F129="unclassified","N/A",(_xlfn.XLOOKUP($E129,[1]Sheet2!$A:$A,[1]Sheet2!Z:Z,"N/A",0,1)))</f>
        <v>1</v>
      </c>
      <c r="S129" s="7">
        <f>IF($F129="unclassified","N/A",(_xlfn.XLOOKUP($E129,[1]Sheet2!$A:$A,[1]Sheet2!AA:AA,"N/A",0,1)))</f>
        <v>1</v>
      </c>
      <c r="T129" s="7">
        <f>IF($F129="unclassified","N/A",(_xlfn.XLOOKUP($E129,[1]Sheet2!$A:$A,[1]Sheet2!AB:AB,"N/A",0,1)))</f>
        <v>1</v>
      </c>
      <c r="U129" s="35">
        <f>IF($F129="unclassified","N/A",(AVERAGE(Table3253[[#This Row],[PO nr]:[Delivery Date]])))</f>
        <v>1</v>
      </c>
      <c r="V129" s="38"/>
      <c r="W129" s="37"/>
      <c r="X129" s="37"/>
      <c r="Y129" s="38"/>
      <c r="Z129" s="38"/>
    </row>
    <row r="130" spans="4:26" ht="15" customHeight="1" x14ac:dyDescent="0.3">
      <c r="D130" s="46" t="str">
        <f>_xlfn.XLOOKUP(Table3253[[#This Row],[File Name]],'[1]Analyse 2 Detail 02-03'!A:A,'[1]Analyse 2 Detail 02-03'!R:R,"Not Found",0,1)</f>
        <v>Essity Netherlands B.V.</v>
      </c>
      <c r="E130" s="31" t="s">
        <v>55</v>
      </c>
      <c r="F130" s="40" t="s">
        <v>31</v>
      </c>
      <c r="G130" s="41">
        <v>1</v>
      </c>
      <c r="H130" s="7">
        <f>IF($F130="unclassified","N/A",(_xlfn.XLOOKUP($E130,[1]Sheet2!$A:$A,[1]Sheet2!Q:Q,"N/A",0,1)))</f>
        <v>1</v>
      </c>
      <c r="I130" s="7">
        <f>IF($F130="unclassified","N/A",(_xlfn.XLOOKUP($E130,[1]Sheet2!$A:$A,[1]Sheet2!R:R,"N/A",0,1)))</f>
        <v>1</v>
      </c>
      <c r="J130" s="7">
        <f>IF($F130="unclassified","N/A",(_xlfn.XLOOKUP($E130,[1]Sheet2!$A:$A,[1]Sheet2!S:S,"N/A",0,1)))</f>
        <v>1</v>
      </c>
      <c r="K130" s="7">
        <f>IF($F130="unclassified","N/A",(_xlfn.XLOOKUP($E130,[1]Sheet2!$A:$A,[1]Sheet2!T:T,"N/A",0,1)))</f>
        <v>1</v>
      </c>
      <c r="L130" s="7">
        <f>IF($F130="unclassified","N/A",(_xlfn.XLOOKUP($E130,[1]Sheet2!$A:$A,[1]Sheet2!U:U,"N/A",0,1)))</f>
        <v>1</v>
      </c>
      <c r="M130" s="7">
        <f>IF($F130="unclassified","N/A",(_xlfn.XLOOKUP($E130,[1]Sheet2!$A:$A,[1]Sheet2!V:V,"N/A",0,1)))</f>
        <v>1</v>
      </c>
      <c r="N130" s="7"/>
      <c r="O130" s="7">
        <f>IF($F130="unclassified","N/A",(_xlfn.XLOOKUP($E130,[1]Sheet2!$A:$A,[1]Sheet2!W:W,"N/A",0,1)))</f>
        <v>1</v>
      </c>
      <c r="P130" s="7">
        <f>IF($F130="unclassified","N/A",(_xlfn.XLOOKUP($E130,[1]Sheet2!$A:$A,[1]Sheet2!X:X,"N/A",0,1)))</f>
        <v>1</v>
      </c>
      <c r="Q130" s="7">
        <f>IF($F130="unclassified","N/A",(_xlfn.XLOOKUP($E130,[1]Sheet2!$A:$A,[1]Sheet2!Y:Y,"N/A",0,1)))</f>
        <v>1</v>
      </c>
      <c r="R130" s="7">
        <f>IF($F130="unclassified","N/A",(_xlfn.XLOOKUP($E130,[1]Sheet2!$A:$A,[1]Sheet2!Z:Z,"N/A",0,1)))</f>
        <v>1</v>
      </c>
      <c r="S130" s="7">
        <f>IF($F130="unclassified","N/A",(_xlfn.XLOOKUP($E130,[1]Sheet2!$A:$A,[1]Sheet2!AA:AA,"N/A",0,1)))</f>
        <v>1</v>
      </c>
      <c r="T130" s="7">
        <v>1</v>
      </c>
      <c r="U130" s="35">
        <f>IF($F130="unclassified","N/A",(AVERAGE(Table3253[[#This Row],[PO nr]:[Delivery Date]])))</f>
        <v>1</v>
      </c>
      <c r="V130" s="52" t="s">
        <v>43</v>
      </c>
      <c r="W130" t="s">
        <v>44</v>
      </c>
      <c r="X130" s="48"/>
      <c r="Y130" s="54"/>
      <c r="Z130" s="54"/>
    </row>
    <row r="131" spans="4:26" ht="15" customHeight="1" x14ac:dyDescent="0.3">
      <c r="D131" s="39" t="str">
        <f>_xlfn.XLOOKUP(Table3253[[#This Row],[File Name]],'[1]Analyse 2 Detail 02-03'!A:A,'[1]Analyse 2 Detail 02-03'!R:R,"Not Found",0,1)</f>
        <v>Essity Netherlands B.V.</v>
      </c>
      <c r="E131" s="31" t="s">
        <v>56</v>
      </c>
      <c r="F131" s="40" t="s">
        <v>31</v>
      </c>
      <c r="G131" s="41">
        <v>1</v>
      </c>
      <c r="H131" s="7">
        <f>IF($F131="unclassified","N/A",(_xlfn.XLOOKUP($E131,[1]Sheet2!$A:$A,[1]Sheet2!Q:Q,"N/A",0,1)))</f>
        <v>1</v>
      </c>
      <c r="I131" s="7">
        <f>IF($F131="unclassified","N/A",(_xlfn.XLOOKUP($E131,[1]Sheet2!$A:$A,[1]Sheet2!R:R,"N/A",0,1)))</f>
        <v>1</v>
      </c>
      <c r="J131" s="7">
        <f>IF($F131="unclassified","N/A",(_xlfn.XLOOKUP($E131,[1]Sheet2!$A:$A,[1]Sheet2!S:S,"N/A",0,1)))</f>
        <v>1</v>
      </c>
      <c r="K131" s="7">
        <f>IF($F131="unclassified","N/A",(_xlfn.XLOOKUP($E131,[1]Sheet2!$A:$A,[1]Sheet2!T:T,"N/A",0,1)))</f>
        <v>1</v>
      </c>
      <c r="L131" s="7">
        <f>IF($F131="unclassified","N/A",(_xlfn.XLOOKUP($E131,[1]Sheet2!$A:$A,[1]Sheet2!U:U,"N/A",0,1)))</f>
        <v>1</v>
      </c>
      <c r="M131" s="7">
        <f>IF($F131="unclassified","N/A",(_xlfn.XLOOKUP($E131,[1]Sheet2!$A:$A,[1]Sheet2!V:V,"N/A",0,1)))</f>
        <v>1</v>
      </c>
      <c r="N131" s="7"/>
      <c r="O131" s="7">
        <f>IF($F131="unclassified","N/A",(_xlfn.XLOOKUP($E131,[1]Sheet2!$A:$A,[1]Sheet2!W:W,"N/A",0,1)))</f>
        <v>1</v>
      </c>
      <c r="P131" s="7">
        <f>IF($F131="unclassified","N/A",(_xlfn.XLOOKUP($E131,[1]Sheet2!$A:$A,[1]Sheet2!X:X,"N/A",0,1)))</f>
        <v>1</v>
      </c>
      <c r="Q131" s="7">
        <f>IF($F131="unclassified","N/A",(_xlfn.XLOOKUP($E131,[1]Sheet2!$A:$A,[1]Sheet2!Y:Y,"N/A",0,1)))</f>
        <v>1</v>
      </c>
      <c r="R131" s="7">
        <f>IF($F131="unclassified","N/A",(_xlfn.XLOOKUP($E131,[1]Sheet2!$A:$A,[1]Sheet2!Z:Z,"N/A",0,1)))</f>
        <v>1</v>
      </c>
      <c r="S131" s="7">
        <f>IF($F131="unclassified","N/A",(_xlfn.XLOOKUP($E131,[1]Sheet2!$A:$A,[1]Sheet2!AA:AA,"N/A",0,1)))</f>
        <v>1</v>
      </c>
      <c r="T131" s="7">
        <v>1</v>
      </c>
      <c r="U131" s="35">
        <f>IF($F131="unclassified","N/A",(AVERAGE(Table3253[[#This Row],[PO nr]:[Delivery Date]])))</f>
        <v>1</v>
      </c>
      <c r="V131" s="52" t="s">
        <v>43</v>
      </c>
      <c r="W131" t="s">
        <v>44</v>
      </c>
      <c r="X131" s="53"/>
      <c r="Y131" s="43"/>
      <c r="Z131" s="43"/>
    </row>
    <row r="132" spans="4:26" ht="15" customHeight="1" x14ac:dyDescent="0.3">
      <c r="D132" s="39" t="str">
        <f>_xlfn.XLOOKUP(Table3253[[#This Row],[File Name]],'[1]Analyse 2 Detail 02-03'!A:A,'[1]Analyse 2 Detail 02-03'!R:R,"Not Found",0,1)</f>
        <v>Essity Netherlands B.V.</v>
      </c>
      <c r="E132" s="31" t="s">
        <v>57</v>
      </c>
      <c r="F132" s="40" t="s">
        <v>31</v>
      </c>
      <c r="G132" s="41">
        <v>1</v>
      </c>
      <c r="H132" s="7">
        <f>IF($F132="unclassified","N/A",(_xlfn.XLOOKUP($E132,[1]Sheet2!$A:$A,[1]Sheet2!Q:Q,"N/A",0,1)))</f>
        <v>1</v>
      </c>
      <c r="I132" s="7">
        <f>IF($F132="unclassified","N/A",(_xlfn.XLOOKUP($E132,[1]Sheet2!$A:$A,[1]Sheet2!R:R,"N/A",0,1)))</f>
        <v>1</v>
      </c>
      <c r="J132" s="7">
        <f>IF($F132="unclassified","N/A",(_xlfn.XLOOKUP($E132,[1]Sheet2!$A:$A,[1]Sheet2!S:S,"N/A",0,1)))</f>
        <v>1</v>
      </c>
      <c r="K132" s="7">
        <f>IF($F132="unclassified","N/A",(_xlfn.XLOOKUP($E132,[1]Sheet2!$A:$A,[1]Sheet2!T:T,"N/A",0,1)))</f>
        <v>1</v>
      </c>
      <c r="L132" s="7">
        <f>IF($F132="unclassified","N/A",(_xlfn.XLOOKUP($E132,[1]Sheet2!$A:$A,[1]Sheet2!U:U,"N/A",0,1)))</f>
        <v>1</v>
      </c>
      <c r="M132" s="7">
        <f>IF($F132="unclassified","N/A",(_xlfn.XLOOKUP($E132,[1]Sheet2!$A:$A,[1]Sheet2!V:V,"N/A",0,1)))</f>
        <v>1</v>
      </c>
      <c r="N132" s="7"/>
      <c r="O132" s="7">
        <f>IF($F132="unclassified","N/A",(_xlfn.XLOOKUP($E132,[1]Sheet2!$A:$A,[1]Sheet2!W:W,"N/A",0,1)))</f>
        <v>1</v>
      </c>
      <c r="P132" s="7">
        <f>IF($F132="unclassified","N/A",(_xlfn.XLOOKUP($E132,[1]Sheet2!$A:$A,[1]Sheet2!X:X,"N/A",0,1)))</f>
        <v>1</v>
      </c>
      <c r="Q132" s="7">
        <f>IF($F132="unclassified","N/A",(_xlfn.XLOOKUP($E132,[1]Sheet2!$A:$A,[1]Sheet2!Y:Y,"N/A",0,1)))</f>
        <v>1</v>
      </c>
      <c r="R132" s="7">
        <f>IF($F132="unclassified","N/A",(_xlfn.XLOOKUP($E132,[1]Sheet2!$A:$A,[1]Sheet2!Z:Z,"N/A",0,1)))</f>
        <v>1</v>
      </c>
      <c r="S132" s="7">
        <f>IF($F132="unclassified","N/A",(_xlfn.XLOOKUP($E132,[1]Sheet2!$A:$A,[1]Sheet2!AA:AA,"N/A",0,1)))</f>
        <v>1</v>
      </c>
      <c r="T132" s="7">
        <v>1</v>
      </c>
      <c r="U132" s="35">
        <f>IF($F132="unclassified","N/A",(AVERAGE(Table3253[[#This Row],[PO nr]:[Delivery Date]])))</f>
        <v>1</v>
      </c>
      <c r="V132" s="52" t="s">
        <v>43</v>
      </c>
      <c r="W132" t="s">
        <v>44</v>
      </c>
      <c r="X132" s="37"/>
      <c r="Y132" s="38"/>
      <c r="Z132" s="38"/>
    </row>
    <row r="133" spans="4:26" ht="15" customHeight="1" x14ac:dyDescent="0.3">
      <c r="D133" s="39" t="str">
        <f>_xlfn.XLOOKUP(Table3253[[#This Row],[File Name]],'[1]Analyse 2 Detail 02-03'!A:A,'[1]Analyse 2 Detail 02-03'!R:R,"Not Found",0,1)</f>
        <v>Becton Dickinson BV</v>
      </c>
      <c r="E133" s="31" t="s">
        <v>58</v>
      </c>
      <c r="F133" s="40" t="s">
        <v>31</v>
      </c>
      <c r="G133" s="41">
        <v>0</v>
      </c>
      <c r="H133" s="7">
        <f>IF($F133="unclassified","N/A",(_xlfn.XLOOKUP($E133,[1]Sheet2!$A:$A,[1]Sheet2!Q:Q,"N/A",0,1)))</f>
        <v>1</v>
      </c>
      <c r="I133" s="7">
        <f>IF($F133="unclassified","N/A",(_xlfn.XLOOKUP($E133,[1]Sheet2!$A:$A,[1]Sheet2!R:R,"N/A",0,1)))</f>
        <v>1</v>
      </c>
      <c r="J133" s="7">
        <f>IF($F133="unclassified","N/A",(_xlfn.XLOOKUP($E133,[1]Sheet2!$A:$A,[1]Sheet2!S:S,"N/A",0,1)))</f>
        <v>1</v>
      </c>
      <c r="K133" s="7">
        <f>IF($F133="unclassified","N/A",(_xlfn.XLOOKUP($E133,[1]Sheet2!$A:$A,[1]Sheet2!T:T,"N/A",0,1)))</f>
        <v>1</v>
      </c>
      <c r="L133" s="7">
        <f>IF($F133="unclassified","N/A",(_xlfn.XLOOKUP($E133,[1]Sheet2!$A:$A,[1]Sheet2!U:U,"N/A",0,1)))</f>
        <v>1</v>
      </c>
      <c r="M133" s="7">
        <f>IF($F133="unclassified","N/A",(_xlfn.XLOOKUP($E133,[1]Sheet2!$A:$A,[1]Sheet2!V:V,"N/A",0,1)))</f>
        <v>1</v>
      </c>
      <c r="N133" s="7"/>
      <c r="O133" s="7">
        <f>IF($F133="unclassified","N/A",(_xlfn.XLOOKUP($E133,[1]Sheet2!$A:$A,[1]Sheet2!W:W,"N/A",0,1)))</f>
        <v>1</v>
      </c>
      <c r="P133" s="7">
        <f>IF($F133="unclassified","N/A",(_xlfn.XLOOKUP($E133,[1]Sheet2!$A:$A,[1]Sheet2!X:X,"N/A",0,1)))</f>
        <v>1</v>
      </c>
      <c r="Q133" s="7">
        <f>IF($F133="unclassified","N/A",(_xlfn.XLOOKUP($E133,[1]Sheet2!$A:$A,[1]Sheet2!Y:Y,"N/A",0,1)))</f>
        <v>1</v>
      </c>
      <c r="R133" s="7">
        <f>IF($F133="unclassified","N/A",(_xlfn.XLOOKUP($E133,[1]Sheet2!$A:$A,[1]Sheet2!Z:Z,"N/A",0,1)))</f>
        <v>1</v>
      </c>
      <c r="S133" s="7">
        <f>IF($F133="unclassified","N/A",(_xlfn.XLOOKUP($E133,[1]Sheet2!$A:$A,[1]Sheet2!AA:AA,"N/A",0,1)))</f>
        <v>1</v>
      </c>
      <c r="T133" s="7">
        <f>IF($F133="unclassified","N/A",(_xlfn.XLOOKUP($E133,[1]Sheet2!$A:$A,[1]Sheet2!AB:AB,"N/A",0,1)))</f>
        <v>1</v>
      </c>
      <c r="U133" s="35">
        <f>IF($F133="unclassified","N/A",(AVERAGE(Table3253[[#This Row],[PO nr]:[Delivery Date]])))</f>
        <v>1</v>
      </c>
      <c r="V133" s="38"/>
      <c r="W133" s="37"/>
      <c r="X133" s="53"/>
      <c r="Y133" s="43"/>
      <c r="Z133" s="45"/>
    </row>
    <row r="134" spans="4:26" ht="15" customHeight="1" x14ac:dyDescent="0.3">
      <c r="D134" s="39" t="str">
        <f>_xlfn.XLOOKUP(Table3253[[#This Row],[File Name]],'[1]Analyse 2 Detail 02-03'!A:A,'[1]Analyse 2 Detail 02-03'!R:R,"Not Found",0,1)</f>
        <v>Becton Dickinson BV</v>
      </c>
      <c r="E134" s="31" t="s">
        <v>59</v>
      </c>
      <c r="F134" s="40" t="s">
        <v>31</v>
      </c>
      <c r="G134" s="41">
        <v>0</v>
      </c>
      <c r="H134" s="7">
        <f>IF($F134="unclassified","N/A",(_xlfn.XLOOKUP($E134,[1]Sheet2!$A:$A,[1]Sheet2!Q:Q,"N/A",0,1)))</f>
        <v>1</v>
      </c>
      <c r="I134" s="7">
        <f>IF($F134="unclassified","N/A",(_xlfn.XLOOKUP($E134,[1]Sheet2!$A:$A,[1]Sheet2!R:R,"N/A",0,1)))</f>
        <v>1</v>
      </c>
      <c r="J134" s="7">
        <f>IF($F134="unclassified","N/A",(_xlfn.XLOOKUP($E134,[1]Sheet2!$A:$A,[1]Sheet2!S:S,"N/A",0,1)))</f>
        <v>1</v>
      </c>
      <c r="K134" s="7">
        <f>IF($F134="unclassified","N/A",(_xlfn.XLOOKUP($E134,[1]Sheet2!$A:$A,[1]Sheet2!T:T,"N/A",0,1)))</f>
        <v>1</v>
      </c>
      <c r="L134" s="7">
        <f>IF($F134="unclassified","N/A",(_xlfn.XLOOKUP($E134,[1]Sheet2!$A:$A,[1]Sheet2!U:U,"N/A",0,1)))</f>
        <v>1</v>
      </c>
      <c r="M134" s="7">
        <f>IF($F134="unclassified","N/A",(_xlfn.XLOOKUP($E134,[1]Sheet2!$A:$A,[1]Sheet2!V:V,"N/A",0,1)))</f>
        <v>1</v>
      </c>
      <c r="N134" s="7"/>
      <c r="O134" s="7">
        <f>IF($F134="unclassified","N/A",(_xlfn.XLOOKUP($E134,[1]Sheet2!$A:$A,[1]Sheet2!W:W,"N/A",0,1)))</f>
        <v>1</v>
      </c>
      <c r="P134" s="7">
        <f>IF($F134="unclassified","N/A",(_xlfn.XLOOKUP($E134,[1]Sheet2!$A:$A,[1]Sheet2!X:X,"N/A",0,1)))</f>
        <v>1</v>
      </c>
      <c r="Q134" s="7">
        <f>IF($F134="unclassified","N/A",(_xlfn.XLOOKUP($E134,[1]Sheet2!$A:$A,[1]Sheet2!Y:Y,"N/A",0,1)))</f>
        <v>1</v>
      </c>
      <c r="R134" s="7">
        <v>1</v>
      </c>
      <c r="S134" s="7">
        <f>IF($F134="unclassified","N/A",(_xlfn.XLOOKUP($E134,[1]Sheet2!$A:$A,[1]Sheet2!AA:AA,"N/A",0,1)))</f>
        <v>1</v>
      </c>
      <c r="T134" s="7">
        <f>IF($F134="unclassified","N/A",(_xlfn.XLOOKUP($E134,[1]Sheet2!$A:$A,[1]Sheet2!AB:AB,"N/A",0,1)))</f>
        <v>1</v>
      </c>
      <c r="U134" s="35">
        <f>IF($F134="unclassified","N/A",(AVERAGE(Table3253[[#This Row],[PO nr]:[Delivery Date]])))</f>
        <v>1</v>
      </c>
      <c r="V134" s="38" t="s">
        <v>60</v>
      </c>
      <c r="W134" s="37"/>
      <c r="X134" s="37"/>
      <c r="Y134" s="38"/>
      <c r="Z134" s="38"/>
    </row>
    <row r="135" spans="4:26" ht="15" customHeight="1" x14ac:dyDescent="0.3">
      <c r="D135" s="39" t="str">
        <f>_xlfn.XLOOKUP(Table3253[[#This Row],[File Name]],'[1]Analyse 2 Detail 02-03'!A:A,'[1]Analyse 2 Detail 02-03'!R:R,"Not Found",0,1)</f>
        <v>Becton Dickinson BV</v>
      </c>
      <c r="E135" s="31" t="s">
        <v>61</v>
      </c>
      <c r="F135" s="40" t="s">
        <v>31</v>
      </c>
      <c r="G135" s="41">
        <v>2</v>
      </c>
      <c r="H135" s="7">
        <f>IF($F135="unclassified","N/A",(_xlfn.XLOOKUP($E135,[1]Sheet2!$A:$A,[1]Sheet2!Q:Q,"N/A",0,1)))</f>
        <v>1</v>
      </c>
      <c r="I135" s="7">
        <f>IF($F135="unclassified","N/A",(_xlfn.XLOOKUP($E135,[1]Sheet2!$A:$A,[1]Sheet2!R:R,"N/A",0,1)))</f>
        <v>1</v>
      </c>
      <c r="J135" s="7">
        <f>IF($F135="unclassified","N/A",(_xlfn.XLOOKUP($E135,[1]Sheet2!$A:$A,[1]Sheet2!S:S,"N/A",0,1)))</f>
        <v>1</v>
      </c>
      <c r="K135" s="7">
        <f>IF($F135="unclassified","N/A",(_xlfn.XLOOKUP($E135,[1]Sheet2!$A:$A,[1]Sheet2!T:T,"N/A",0,1)))</f>
        <v>1</v>
      </c>
      <c r="L135" s="7">
        <f>IF($F135="unclassified","N/A",(_xlfn.XLOOKUP($E135,[1]Sheet2!$A:$A,[1]Sheet2!U:U,"N/A",0,1)))</f>
        <v>1</v>
      </c>
      <c r="M135" s="7">
        <f>IF($F135="unclassified","N/A",(_xlfn.XLOOKUP($E135,[1]Sheet2!$A:$A,[1]Sheet2!V:V,"N/A",0,1)))</f>
        <v>1</v>
      </c>
      <c r="N135" s="7"/>
      <c r="O135" s="7">
        <f>IF($F135="unclassified","N/A",(_xlfn.XLOOKUP($E135,[1]Sheet2!$A:$A,[1]Sheet2!W:W,"N/A",0,1)))</f>
        <v>1</v>
      </c>
      <c r="P135" s="7">
        <f>IF($F135="unclassified","N/A",(_xlfn.XLOOKUP($E135,[1]Sheet2!$A:$A,[1]Sheet2!X:X,"N/A",0,1)))</f>
        <v>1</v>
      </c>
      <c r="Q135" s="7">
        <f>IF($F135="unclassified","N/A",(_xlfn.XLOOKUP($E135,[1]Sheet2!$A:$A,[1]Sheet2!Y:Y,"N/A",0,1)))</f>
        <v>1</v>
      </c>
      <c r="R135" s="7">
        <v>1</v>
      </c>
      <c r="S135" s="7">
        <f>IF($F135="unclassified","N/A",(_xlfn.XLOOKUP($E135,[1]Sheet2!$A:$A,[1]Sheet2!AA:AA,"N/A",0,1)))</f>
        <v>1</v>
      </c>
      <c r="T135" s="7">
        <f>IF($F135="unclassified","N/A",(_xlfn.XLOOKUP($E135,[1]Sheet2!$A:$A,[1]Sheet2!AB:AB,"N/A",0,1)))</f>
        <v>1</v>
      </c>
      <c r="U135" s="35">
        <f>IF($F135="unclassified","N/A",(AVERAGE(Table3253[[#This Row],[PO nr]:[Delivery Date]])))</f>
        <v>1</v>
      </c>
      <c r="V135" s="38" t="s">
        <v>60</v>
      </c>
      <c r="W135" s="37" t="s">
        <v>62</v>
      </c>
      <c r="X135" s="37" t="s">
        <v>63</v>
      </c>
      <c r="Y135" s="38"/>
      <c r="Z135" s="38"/>
    </row>
    <row r="136" spans="4:26" ht="15" customHeight="1" x14ac:dyDescent="0.3">
      <c r="D136" s="39" t="str">
        <f>_xlfn.XLOOKUP(Table3253[[#This Row],[File Name]],'[1]Analyse 2 Detail 02-03'!A:A,'[1]Analyse 2 Detail 02-03'!R:R,"Not Found",0,1)</f>
        <v>Medline Int'l Belgium BV</v>
      </c>
      <c r="E136" s="31" t="s">
        <v>64</v>
      </c>
      <c r="F136" s="40" t="s">
        <v>31</v>
      </c>
      <c r="G136" s="41">
        <v>2</v>
      </c>
      <c r="H136" s="7">
        <f>IF($F136="unclassified","N/A",(_xlfn.XLOOKUP($E136,[1]Sheet2!$A:$A,[1]Sheet2!Q:Q,"N/A",0,1)))</f>
        <v>1</v>
      </c>
      <c r="I136" s="7">
        <f>IF($F136="unclassified","N/A",(_xlfn.XLOOKUP($E136,[1]Sheet2!$A:$A,[1]Sheet2!R:R,"N/A",0,1)))</f>
        <v>1</v>
      </c>
      <c r="J136" s="7">
        <f>IF($F136="unclassified","N/A",(_xlfn.XLOOKUP($E136,[1]Sheet2!$A:$A,[1]Sheet2!S:S,"N/A",0,1)))</f>
        <v>1</v>
      </c>
      <c r="K136" s="7">
        <f>IF($F136="unclassified","N/A",(_xlfn.XLOOKUP($E136,[1]Sheet2!$A:$A,[1]Sheet2!T:T,"N/A",0,1)))</f>
        <v>1</v>
      </c>
      <c r="L136" s="7">
        <f>IF($F136="unclassified","N/A",(_xlfn.XLOOKUP($E136,[1]Sheet2!$A:$A,[1]Sheet2!U:U,"N/A",0,1)))</f>
        <v>1</v>
      </c>
      <c r="M136" s="7">
        <f>IF($F136="unclassified","N/A",(_xlfn.XLOOKUP($E136,[1]Sheet2!$A:$A,[1]Sheet2!V:V,"N/A",0,1)))</f>
        <v>1</v>
      </c>
      <c r="N136" s="7"/>
      <c r="O136" s="7">
        <f>IF($F136="unclassified","N/A",(_xlfn.XLOOKUP($E136,[1]Sheet2!$A:$A,[1]Sheet2!W:W,"N/A",0,1)))</f>
        <v>1</v>
      </c>
      <c r="P136" s="7">
        <v>1</v>
      </c>
      <c r="Q136" s="7">
        <f>IF($F136="unclassified","N/A",(_xlfn.XLOOKUP($E136,[1]Sheet2!$A:$A,[1]Sheet2!Y:Y,"N/A",0,1)))</f>
        <v>1</v>
      </c>
      <c r="R136" s="7">
        <v>1</v>
      </c>
      <c r="S136" s="7">
        <f>IF($F136="unclassified","N/A",(_xlfn.XLOOKUP($E136,[1]Sheet2!$A:$A,[1]Sheet2!AA:AA,"N/A",0,1)))</f>
        <v>1</v>
      </c>
      <c r="T136" s="7">
        <f>IF($F136="unclassified","N/A",(_xlfn.XLOOKUP($E136,[1]Sheet2!$A:$A,[1]Sheet2!AB:AB,"N/A",0,1)))</f>
        <v>1</v>
      </c>
      <c r="U136" s="35">
        <f>IF($F136="unclassified","N/A",(AVERAGE(Table3253[[#This Row],[PO nr]:[Delivery Date]])))</f>
        <v>1</v>
      </c>
      <c r="V136" s="38" t="s">
        <v>65</v>
      </c>
      <c r="W136" s="38" t="s">
        <v>66</v>
      </c>
      <c r="X136" s="47" t="s">
        <v>67</v>
      </c>
      <c r="Y136" s="38"/>
      <c r="Z136" s="38"/>
    </row>
    <row r="137" spans="4:26" ht="15" customHeight="1" x14ac:dyDescent="0.3">
      <c r="D137" s="39" t="str">
        <f>_xlfn.XLOOKUP(Table3253[[#This Row],[File Name]],'[1]Analyse 2 Detail 02-03'!A:A,'[1]Analyse 2 Detail 02-03'!R:R,"Not Found",0,1)</f>
        <v>VYGON NEDERLAND B.V.</v>
      </c>
      <c r="E137" s="31" t="s">
        <v>68</v>
      </c>
      <c r="F137" s="40" t="s">
        <v>37</v>
      </c>
      <c r="G137" s="41">
        <v>0</v>
      </c>
      <c r="H137" s="7" t="str">
        <f>IF($F137="unclassified","N/A",(_xlfn.XLOOKUP($E137,[1]Sheet2!$A:$A,[1]Sheet2!Q:Q,"N/A",0,1)))</f>
        <v>N/A</v>
      </c>
      <c r="I137" s="7" t="str">
        <f>IF($F137="unclassified","N/A",(_xlfn.XLOOKUP($E137,[1]Sheet2!$A:$A,[1]Sheet2!R:R,"N/A",0,1)))</f>
        <v>N/A</v>
      </c>
      <c r="J137" s="7" t="str">
        <f>IF($F137="unclassified","N/A",(_xlfn.XLOOKUP($E137,[1]Sheet2!$A:$A,[1]Sheet2!S:S,"N/A",0,1)))</f>
        <v>N/A</v>
      </c>
      <c r="K137" s="7" t="str">
        <f>IF($F137="unclassified","N/A",(_xlfn.XLOOKUP($E137,[1]Sheet2!$A:$A,[1]Sheet2!T:T,"N/A",0,1)))</f>
        <v>N/A</v>
      </c>
      <c r="L137" s="7" t="str">
        <f>IF($F137="unclassified","N/A",(_xlfn.XLOOKUP($E137,[1]Sheet2!$A:$A,[1]Sheet2!U:U,"N/A",0,1)))</f>
        <v>N/A</v>
      </c>
      <c r="M137" s="7" t="str">
        <f>IF($F137="unclassified","N/A",(_xlfn.XLOOKUP($E137,[1]Sheet2!$A:$A,[1]Sheet2!V:V,"N/A",0,1)))</f>
        <v>N/A</v>
      </c>
      <c r="N137" s="7"/>
      <c r="O137" s="7" t="str">
        <f>IF($F137="unclassified","N/A",(_xlfn.XLOOKUP($E137,[1]Sheet2!$A:$A,[1]Sheet2!W:W,"N/A",0,1)))</f>
        <v>N/A</v>
      </c>
      <c r="P137" s="7" t="str">
        <f>IF($F137="unclassified","N/A",(_xlfn.XLOOKUP($E137,[1]Sheet2!$A:$A,[1]Sheet2!X:X,"N/A",0,1)))</f>
        <v>N/A</v>
      </c>
      <c r="Q137" s="7" t="str">
        <f>IF($F137="unclassified","N/A",(_xlfn.XLOOKUP($E137,[1]Sheet2!$A:$A,[1]Sheet2!Y:Y,"N/A",0,1)))</f>
        <v>N/A</v>
      </c>
      <c r="R137" s="7" t="str">
        <f>IF($F137="unclassified","N/A",(_xlfn.XLOOKUP($E137,[1]Sheet2!$A:$A,[1]Sheet2!Z:Z,"N/A",0,1)))</f>
        <v>N/A</v>
      </c>
      <c r="S137" s="7" t="str">
        <f>IF($F137="unclassified","N/A",(_xlfn.XLOOKUP($E137,[1]Sheet2!$A:$A,[1]Sheet2!AA:AA,"N/A",0,1)))</f>
        <v>N/A</v>
      </c>
      <c r="T137" s="7" t="str">
        <f>IF($F137="unclassified","N/A",(_xlfn.XLOOKUP($E137,[1]Sheet2!$A:$A,[1]Sheet2!AB:AB,"N/A",0,1)))</f>
        <v>N/A</v>
      </c>
      <c r="U137" s="35" t="str">
        <f>IF($F137="unclassified","N/A",(AVERAGE(Table3253[[#This Row],[PO nr]:[Delivery Date]])))</f>
        <v>N/A</v>
      </c>
      <c r="V137" s="38"/>
      <c r="W137" s="38"/>
      <c r="X137" s="38"/>
      <c r="Y137" s="38"/>
      <c r="Z137" s="38"/>
    </row>
    <row r="138" spans="4:26" ht="15" customHeight="1" x14ac:dyDescent="0.3">
      <c r="D138" s="39" t="str">
        <f>_xlfn.XLOOKUP(Table3253[[#This Row],[File Name]],'[1]Analyse 2 Detail 02-03'!A:A,'[1]Analyse 2 Detail 02-03'!R:R,"Not Found",0,1)</f>
        <v>VYGON NEDERLAND B.V.</v>
      </c>
      <c r="E138" s="31" t="s">
        <v>68</v>
      </c>
      <c r="F138" s="40" t="s">
        <v>37</v>
      </c>
      <c r="G138" s="41">
        <v>0</v>
      </c>
      <c r="H138" s="7" t="str">
        <f>IF($F138="unclassified","N/A",(_xlfn.XLOOKUP($E138,[1]Sheet2!$A:$A,[1]Sheet2!Q:Q,"N/A",0,1)))</f>
        <v>N/A</v>
      </c>
      <c r="I138" s="7" t="str">
        <f>IF($F138="unclassified","N/A",(_xlfn.XLOOKUP($E138,[1]Sheet2!$A:$A,[1]Sheet2!R:R,"N/A",0,1)))</f>
        <v>N/A</v>
      </c>
      <c r="J138" s="7" t="str">
        <f>IF($F138="unclassified","N/A",(_xlfn.XLOOKUP($E138,[1]Sheet2!$A:$A,[1]Sheet2!S:S,"N/A",0,1)))</f>
        <v>N/A</v>
      </c>
      <c r="K138" s="7" t="str">
        <f>IF($F138="unclassified","N/A",(_xlfn.XLOOKUP($E138,[1]Sheet2!$A:$A,[1]Sheet2!T:T,"N/A",0,1)))</f>
        <v>N/A</v>
      </c>
      <c r="L138" s="7" t="str">
        <f>IF($F138="unclassified","N/A",(_xlfn.XLOOKUP($E138,[1]Sheet2!$A:$A,[1]Sheet2!U:U,"N/A",0,1)))</f>
        <v>N/A</v>
      </c>
      <c r="M138" s="7" t="str">
        <f>IF($F138="unclassified","N/A",(_xlfn.XLOOKUP($E138,[1]Sheet2!$A:$A,[1]Sheet2!V:V,"N/A",0,1)))</f>
        <v>N/A</v>
      </c>
      <c r="N138" s="7"/>
      <c r="O138" s="7" t="str">
        <f>IF($F138="unclassified","N/A",(_xlfn.XLOOKUP($E138,[1]Sheet2!$A:$A,[1]Sheet2!W:W,"N/A",0,1)))</f>
        <v>N/A</v>
      </c>
      <c r="P138" s="7" t="str">
        <f>IF($F138="unclassified","N/A",(_xlfn.XLOOKUP($E138,[1]Sheet2!$A:$A,[1]Sheet2!X:X,"N/A",0,1)))</f>
        <v>N/A</v>
      </c>
      <c r="Q138" s="7" t="str">
        <f>IF($F138="unclassified","N/A",(_xlfn.XLOOKUP($E138,[1]Sheet2!$A:$A,[1]Sheet2!Y:Y,"N/A",0,1)))</f>
        <v>N/A</v>
      </c>
      <c r="R138" s="7" t="str">
        <f>IF($F138="unclassified","N/A",(_xlfn.XLOOKUP($E138,[1]Sheet2!$A:$A,[1]Sheet2!Z:Z,"N/A",0,1)))</f>
        <v>N/A</v>
      </c>
      <c r="S138" s="7" t="str">
        <f>IF($F138="unclassified","N/A",(_xlfn.XLOOKUP($E138,[1]Sheet2!$A:$A,[1]Sheet2!AA:AA,"N/A",0,1)))</f>
        <v>N/A</v>
      </c>
      <c r="T138" s="7" t="str">
        <f>IF($F138="unclassified","N/A",(_xlfn.XLOOKUP($E138,[1]Sheet2!$A:$A,[1]Sheet2!AB:AB,"N/A",0,1)))</f>
        <v>N/A</v>
      </c>
      <c r="U138" s="35" t="str">
        <f>IF($F138="unclassified","N/A",(AVERAGE(Table3253[[#This Row],[PO nr]:[Delivery Date]])))</f>
        <v>N/A</v>
      </c>
      <c r="V138" s="38"/>
      <c r="W138" s="38"/>
      <c r="X138" s="38"/>
      <c r="Y138" s="38"/>
      <c r="Z138" s="38"/>
    </row>
    <row r="139" spans="4:26" ht="15" customHeight="1" x14ac:dyDescent="0.3">
      <c r="D139" s="39" t="str">
        <f>_xlfn.XLOOKUP(Table3253[[#This Row],[File Name]],'[1]Analyse 2 Detail 02-03'!A:A,'[1]Analyse 2 Detail 02-03'!R:R,"Not Found",0,1)</f>
        <v>VYGON NEDERLAND B.V.</v>
      </c>
      <c r="E139" s="31" t="s">
        <v>68</v>
      </c>
      <c r="F139" s="40" t="s">
        <v>31</v>
      </c>
      <c r="G139" s="41">
        <v>3</v>
      </c>
      <c r="H139" s="7">
        <f>IF($F139="unclassified","N/A",(_xlfn.XLOOKUP($E139,[1]Sheet2!$A:$A,[1]Sheet2!Q:Q,"N/A",0,1)))</f>
        <v>1</v>
      </c>
      <c r="I139" s="7">
        <f>IF($F139="unclassified","N/A",(_xlfn.XLOOKUP($E139,[1]Sheet2!$A:$A,[1]Sheet2!R:R,"N/A",0,1)))</f>
        <v>1</v>
      </c>
      <c r="J139" s="7">
        <f>IF($F139="unclassified","N/A",(_xlfn.XLOOKUP($E139,[1]Sheet2!$A:$A,[1]Sheet2!S:S,"N/A",0,1)))</f>
        <v>1</v>
      </c>
      <c r="K139" s="7">
        <f>IF($F139="unclassified","N/A",(_xlfn.XLOOKUP($E139,[1]Sheet2!$A:$A,[1]Sheet2!T:T,"N/A",0,1)))</f>
        <v>1</v>
      </c>
      <c r="L139" s="7">
        <f>IF($F139="unclassified","N/A",(_xlfn.XLOOKUP($E139,[1]Sheet2!$A:$A,[1]Sheet2!U:U,"N/A",0,1)))</f>
        <v>1</v>
      </c>
      <c r="M139" s="7">
        <v>1</v>
      </c>
      <c r="N139" s="7"/>
      <c r="O139" s="7">
        <f>IF($F139="unclassified","N/A",(_xlfn.XLOOKUP($E139,[1]Sheet2!$A:$A,[1]Sheet2!W:W,"N/A",0,1)))</f>
        <v>1</v>
      </c>
      <c r="P139" s="7">
        <f>IF($F139="unclassified","N/A",(_xlfn.XLOOKUP($E139,[1]Sheet2!$A:$A,[1]Sheet2!X:X,"N/A",0,1)))</f>
        <v>1</v>
      </c>
      <c r="Q139" s="7">
        <f>IF($F139="unclassified","N/A",(_xlfn.XLOOKUP($E139,[1]Sheet2!$A:$A,[1]Sheet2!Y:Y,"N/A",0,1)))</f>
        <v>1</v>
      </c>
      <c r="R139" s="7">
        <v>1</v>
      </c>
      <c r="S139" s="7">
        <v>1</v>
      </c>
      <c r="T139" s="7">
        <f>IF($F139="unclassified","N/A",(_xlfn.XLOOKUP($E139,[1]Sheet2!$A:$A,[1]Sheet2!AB:AB,"N/A",0,1)))</f>
        <v>1</v>
      </c>
      <c r="U139" s="35">
        <f>IF($F139="unclassified","N/A",(AVERAGE(Table3253[[#This Row],[PO nr]:[Delivery Date]])))</f>
        <v>1</v>
      </c>
      <c r="V139" s="52" t="s">
        <v>69</v>
      </c>
      <c r="W139" s="38" t="s">
        <v>70</v>
      </c>
      <c r="X139" s="47" t="s">
        <v>71</v>
      </c>
      <c r="Y139" s="38"/>
      <c r="Z139" s="38"/>
    </row>
    <row r="140" spans="4:26" ht="15" customHeight="1" x14ac:dyDescent="0.3">
      <c r="D140" s="39" t="str">
        <f>_xlfn.XLOOKUP(Table3253[[#This Row],[File Name]],'[1]Analyse 2 Detail 02-03'!A:A,'[1]Analyse 2 Detail 02-03'!R:R,"Not Found",0,1)</f>
        <v>King Belgium SA/NV</v>
      </c>
      <c r="E140" s="31" t="s">
        <v>72</v>
      </c>
      <c r="F140" s="40" t="s">
        <v>31</v>
      </c>
      <c r="G140" s="41">
        <v>0</v>
      </c>
      <c r="H140" s="7">
        <f>IF($F140="unclassified","N/A",(_xlfn.XLOOKUP($E140,[1]Sheet2!$A:$A,[1]Sheet2!Q:Q,"N/A",0,1)))</f>
        <v>1</v>
      </c>
      <c r="I140" s="7">
        <f>IF($F140="unclassified","N/A",(_xlfn.XLOOKUP($E140,[1]Sheet2!$A:$A,[1]Sheet2!R:R,"N/A",0,1)))</f>
        <v>1</v>
      </c>
      <c r="J140" s="7">
        <f>IF($F140="unclassified","N/A",(_xlfn.XLOOKUP($E140,[1]Sheet2!$A:$A,[1]Sheet2!S:S,"N/A",0,1)))</f>
        <v>1</v>
      </c>
      <c r="K140" s="7">
        <f>IF($F140="unclassified","N/A",(_xlfn.XLOOKUP($E140,[1]Sheet2!$A:$A,[1]Sheet2!T:T,"N/A",0,1)))</f>
        <v>1</v>
      </c>
      <c r="L140" s="7">
        <f>IF($F140="unclassified","N/A",(_xlfn.XLOOKUP($E140,[1]Sheet2!$A:$A,[1]Sheet2!U:U,"N/A",0,1)))</f>
        <v>1</v>
      </c>
      <c r="M140" s="7">
        <f>IF($F140="unclassified","N/A",(_xlfn.XLOOKUP($E140,[1]Sheet2!$A:$A,[1]Sheet2!V:V,"N/A",0,1)))</f>
        <v>1</v>
      </c>
      <c r="N140" s="7"/>
      <c r="O140" s="7">
        <f>IF($F140="unclassified","N/A",(_xlfn.XLOOKUP($E140,[1]Sheet2!$A:$A,[1]Sheet2!W:W,"N/A",0,1)))</f>
        <v>1</v>
      </c>
      <c r="P140" s="7">
        <f>IF($F140="unclassified","N/A",(_xlfn.XLOOKUP($E140,[1]Sheet2!$A:$A,[1]Sheet2!X:X,"N/A",0,1)))</f>
        <v>1</v>
      </c>
      <c r="Q140" s="7">
        <f>IF($F140="unclassified","N/A",(_xlfn.XLOOKUP($E140,[1]Sheet2!$A:$A,[1]Sheet2!Y:Y,"N/A",0,1)))</f>
        <v>1</v>
      </c>
      <c r="R140" s="7">
        <f>IF($F140="unclassified","N/A",(_xlfn.XLOOKUP($E140,[1]Sheet2!$A:$A,[1]Sheet2!Z:Z,"N/A",0,1)))</f>
        <v>1</v>
      </c>
      <c r="S140" s="7">
        <f>IF($F140="unclassified","N/A",(_xlfn.XLOOKUP($E140,[1]Sheet2!$A:$A,[1]Sheet2!AA:AA,"N/A",0,1)))</f>
        <v>1</v>
      </c>
      <c r="T140" s="7">
        <f>IF($F140="unclassified","N/A",(_xlfn.XLOOKUP($E140,[1]Sheet2!$A:$A,[1]Sheet2!AB:AB,"N/A",0,1)))</f>
        <v>1</v>
      </c>
      <c r="U140" s="35">
        <f>IF($F140="unclassified","N/A",(AVERAGE(Table3253[[#This Row],[PO nr]:[Delivery Date]])))</f>
        <v>1</v>
      </c>
      <c r="V140" s="38"/>
      <c r="W140" s="38"/>
      <c r="X140" s="38"/>
      <c r="Y140" s="38"/>
      <c r="Z140" s="38"/>
    </row>
    <row r="141" spans="4:26" ht="15" customHeight="1" x14ac:dyDescent="0.3">
      <c r="D141" s="39" t="str">
        <f>_xlfn.XLOOKUP(Table3253[[#This Row],[File Name]],'[1]Analyse 2 Detail 02-03'!A:A,'[1]Analyse 2 Detail 02-03'!R:R,"Not Found",0,1)</f>
        <v>King Belgium SA/NV</v>
      </c>
      <c r="E141" s="31" t="s">
        <v>73</v>
      </c>
      <c r="F141" s="40" t="s">
        <v>31</v>
      </c>
      <c r="G141" s="41">
        <v>0</v>
      </c>
      <c r="H141" s="7">
        <f>IF($F141="unclassified","N/A",(_xlfn.XLOOKUP($E141,[1]Sheet2!$A:$A,[1]Sheet2!Q:Q,"N/A",0,1)))</f>
        <v>1</v>
      </c>
      <c r="I141" s="7">
        <f>IF($F141="unclassified","N/A",(_xlfn.XLOOKUP($E141,[1]Sheet2!$A:$A,[1]Sheet2!R:R,"N/A",0,1)))</f>
        <v>1</v>
      </c>
      <c r="J141" s="7">
        <f>IF($F141="unclassified","N/A",(_xlfn.XLOOKUP($E141,[1]Sheet2!$A:$A,[1]Sheet2!S:S,"N/A",0,1)))</f>
        <v>1</v>
      </c>
      <c r="K141" s="7">
        <f>IF($F141="unclassified","N/A",(_xlfn.XLOOKUP($E141,[1]Sheet2!$A:$A,[1]Sheet2!T:T,"N/A",0,1)))</f>
        <v>1</v>
      </c>
      <c r="L141" s="7">
        <f>IF($F141="unclassified","N/A",(_xlfn.XLOOKUP($E141,[1]Sheet2!$A:$A,[1]Sheet2!U:U,"N/A",0,1)))</f>
        <v>1</v>
      </c>
      <c r="M141" s="7">
        <f>IF($F141="unclassified","N/A",(_xlfn.XLOOKUP($E141,[1]Sheet2!$A:$A,[1]Sheet2!V:V,"N/A",0,1)))</f>
        <v>1</v>
      </c>
      <c r="N141" s="7"/>
      <c r="O141" s="7">
        <f>IF($F141="unclassified","N/A",(_xlfn.XLOOKUP($E141,[1]Sheet2!$A:$A,[1]Sheet2!W:W,"N/A",0,1)))</f>
        <v>1</v>
      </c>
      <c r="P141" s="7">
        <f>IF($F141="unclassified","N/A",(_xlfn.XLOOKUP($E141,[1]Sheet2!$A:$A,[1]Sheet2!X:X,"N/A",0,1)))</f>
        <v>1</v>
      </c>
      <c r="Q141" s="7">
        <f>IF($F141="unclassified","N/A",(_xlfn.XLOOKUP($E141,[1]Sheet2!$A:$A,[1]Sheet2!Y:Y,"N/A",0,1)))</f>
        <v>1</v>
      </c>
      <c r="R141" s="7">
        <f>IF($F141="unclassified","N/A",(_xlfn.XLOOKUP($E141,[1]Sheet2!$A:$A,[1]Sheet2!Z:Z,"N/A",0,1)))</f>
        <v>1</v>
      </c>
      <c r="S141" s="7">
        <f>IF($F141="unclassified","N/A",(_xlfn.XLOOKUP($E141,[1]Sheet2!$A:$A,[1]Sheet2!AA:AA,"N/A",0,1)))</f>
        <v>1</v>
      </c>
      <c r="T141" s="7">
        <f>IF($F141="unclassified","N/A",(_xlfn.XLOOKUP($E141,[1]Sheet2!$A:$A,[1]Sheet2!AB:AB,"N/A",0,1)))</f>
        <v>1</v>
      </c>
      <c r="U141" s="35">
        <f>IF($F141="unclassified","N/A",(AVERAGE(Table3253[[#This Row],[PO nr]:[Delivery Date]])))</f>
        <v>1</v>
      </c>
      <c r="V141" s="38"/>
      <c r="W141" s="38"/>
      <c r="X141" s="38"/>
      <c r="Y141" s="38"/>
      <c r="Z141" s="38"/>
    </row>
    <row r="142" spans="4:26" ht="15" customHeight="1" x14ac:dyDescent="0.3">
      <c r="D142" s="39" t="str">
        <f>_xlfn.XLOOKUP(Table3253[[#This Row],[File Name]],'[1]Analyse 2 Detail 02-03'!A:A,'[1]Analyse 2 Detail 02-03'!R:R,"Not Found",0,1)</f>
        <v>King Belgium SA/NV</v>
      </c>
      <c r="E142" s="31" t="s">
        <v>74</v>
      </c>
      <c r="F142" s="40" t="s">
        <v>31</v>
      </c>
      <c r="G142" s="41">
        <v>0</v>
      </c>
      <c r="H142" s="7">
        <f>IF($F142="unclassified","N/A",(_xlfn.XLOOKUP($E142,[1]Sheet2!$A:$A,[1]Sheet2!Q:Q,"N/A",0,1)))</f>
        <v>1</v>
      </c>
      <c r="I142" s="7">
        <f>IF($F142="unclassified","N/A",(_xlfn.XLOOKUP($E142,[1]Sheet2!$A:$A,[1]Sheet2!R:R,"N/A",0,1)))</f>
        <v>1</v>
      </c>
      <c r="J142" s="7">
        <f>IF($F142="unclassified","N/A",(_xlfn.XLOOKUP($E142,[1]Sheet2!$A:$A,[1]Sheet2!S:S,"N/A",0,1)))</f>
        <v>1</v>
      </c>
      <c r="K142" s="7">
        <f>IF($F142="unclassified","N/A",(_xlfn.XLOOKUP($E142,[1]Sheet2!$A:$A,[1]Sheet2!T:T,"N/A",0,1)))</f>
        <v>1</v>
      </c>
      <c r="L142" s="7">
        <f>IF($F142="unclassified","N/A",(_xlfn.XLOOKUP($E142,[1]Sheet2!$A:$A,[1]Sheet2!U:U,"N/A",0,1)))</f>
        <v>1</v>
      </c>
      <c r="M142" s="7">
        <f>IF($F142="unclassified","N/A",(_xlfn.XLOOKUP($E142,[1]Sheet2!$A:$A,[1]Sheet2!V:V,"N/A",0,1)))</f>
        <v>1</v>
      </c>
      <c r="N142" s="7"/>
      <c r="O142" s="7">
        <f>IF($F142="unclassified","N/A",(_xlfn.XLOOKUP($E142,[1]Sheet2!$A:$A,[1]Sheet2!W:W,"N/A",0,1)))</f>
        <v>1</v>
      </c>
      <c r="P142" s="7">
        <f>IF($F142="unclassified","N/A",(_xlfn.XLOOKUP($E142,[1]Sheet2!$A:$A,[1]Sheet2!X:X,"N/A",0,1)))</f>
        <v>1</v>
      </c>
      <c r="Q142" s="7">
        <f>IF($F142="unclassified","N/A",(_xlfn.XLOOKUP($E142,[1]Sheet2!$A:$A,[1]Sheet2!Y:Y,"N/A",0,1)))</f>
        <v>1</v>
      </c>
      <c r="R142" s="7">
        <f>IF($F142="unclassified","N/A",(_xlfn.XLOOKUP($E142,[1]Sheet2!$A:$A,[1]Sheet2!Z:Z,"N/A",0,1)))</f>
        <v>1</v>
      </c>
      <c r="S142" s="7">
        <f>IF($F142="unclassified","N/A",(_xlfn.XLOOKUP($E142,[1]Sheet2!$A:$A,[1]Sheet2!AA:AA,"N/A",0,1)))</f>
        <v>1</v>
      </c>
      <c r="T142" s="7">
        <f>IF($F142="unclassified","N/A",(_xlfn.XLOOKUP($E142,[1]Sheet2!$A:$A,[1]Sheet2!AB:AB,"N/A",0,1)))</f>
        <v>1</v>
      </c>
      <c r="U142" s="35">
        <f>IF($F142="unclassified","N/A",(AVERAGE(Table3253[[#This Row],[PO nr]:[Delivery Date]])))</f>
        <v>1</v>
      </c>
      <c r="V142" s="38"/>
      <c r="W142" s="38"/>
      <c r="X142" s="38"/>
      <c r="Y142" s="38"/>
      <c r="Z142" s="38"/>
    </row>
    <row r="143" spans="4:26" ht="15" customHeight="1" x14ac:dyDescent="0.3">
      <c r="D143" s="39" t="str">
        <f>_xlfn.XLOOKUP(Table3253[[#This Row],[File Name]],'[1]Analyse 2 Detail 02-03'!A:A,'[1]Analyse 2 Detail 02-03'!R:R,"Not Found",0,1)</f>
        <v>King Belgium SA/NV</v>
      </c>
      <c r="E143" s="31" t="s">
        <v>75</v>
      </c>
      <c r="F143" s="40" t="s">
        <v>31</v>
      </c>
      <c r="G143" s="41">
        <v>0</v>
      </c>
      <c r="H143" s="7">
        <f>IF($F143="unclassified","N/A",(_xlfn.XLOOKUP($E143,[1]Sheet2!$A:$A,[1]Sheet2!Q:Q,"N/A",0,1)))</f>
        <v>1</v>
      </c>
      <c r="I143" s="7">
        <f>IF($F143="unclassified","N/A",(_xlfn.XLOOKUP($E143,[1]Sheet2!$A:$A,[1]Sheet2!R:R,"N/A",0,1)))</f>
        <v>1</v>
      </c>
      <c r="J143" s="7">
        <f>IF($F143="unclassified","N/A",(_xlfn.XLOOKUP($E143,[1]Sheet2!$A:$A,[1]Sheet2!S:S,"N/A",0,1)))</f>
        <v>1</v>
      </c>
      <c r="K143" s="7">
        <f>IF($F143="unclassified","N/A",(_xlfn.XLOOKUP($E143,[1]Sheet2!$A:$A,[1]Sheet2!T:T,"N/A",0,1)))</f>
        <v>1</v>
      </c>
      <c r="L143" s="7">
        <f>IF($F143="unclassified","N/A",(_xlfn.XLOOKUP($E143,[1]Sheet2!$A:$A,[1]Sheet2!U:U,"N/A",0,1)))</f>
        <v>1</v>
      </c>
      <c r="M143" s="7">
        <f>IF($F143="unclassified","N/A",(_xlfn.XLOOKUP($E143,[1]Sheet2!$A:$A,[1]Sheet2!V:V,"N/A",0,1)))</f>
        <v>1</v>
      </c>
      <c r="N143" s="7"/>
      <c r="O143" s="7">
        <f>IF($F143="unclassified","N/A",(_xlfn.XLOOKUP($E143,[1]Sheet2!$A:$A,[1]Sheet2!W:W,"N/A",0,1)))</f>
        <v>1</v>
      </c>
      <c r="P143" s="7">
        <f>IF($F143="unclassified","N/A",(_xlfn.XLOOKUP($E143,[1]Sheet2!$A:$A,[1]Sheet2!X:X,"N/A",0,1)))</f>
        <v>1</v>
      </c>
      <c r="Q143" s="7">
        <f>IF($F143="unclassified","N/A",(_xlfn.XLOOKUP($E143,[1]Sheet2!$A:$A,[1]Sheet2!Y:Y,"N/A",0,1)))</f>
        <v>1</v>
      </c>
      <c r="R143" s="7">
        <f>IF($F143="unclassified","N/A",(_xlfn.XLOOKUP($E143,[1]Sheet2!$A:$A,[1]Sheet2!Z:Z,"N/A",0,1)))</f>
        <v>1</v>
      </c>
      <c r="S143" s="7">
        <f>IF($F143="unclassified","N/A",(_xlfn.XLOOKUP($E143,[1]Sheet2!$A:$A,[1]Sheet2!AA:AA,"N/A",0,1)))</f>
        <v>1</v>
      </c>
      <c r="T143" s="7">
        <f>IF($F143="unclassified","N/A",(_xlfn.XLOOKUP($E143,[1]Sheet2!$A:$A,[1]Sheet2!AB:AB,"N/A",0,1)))</f>
        <v>1</v>
      </c>
      <c r="U143" s="35">
        <f>IF($F143="unclassified","N/A",(AVERAGE(Table3253[[#This Row],[PO nr]:[Delivery Date]])))</f>
        <v>1</v>
      </c>
      <c r="V143" s="38"/>
      <c r="W143" s="38"/>
      <c r="X143" s="38"/>
      <c r="Y143" s="38"/>
      <c r="Z143" s="38"/>
    </row>
    <row r="144" spans="4:26" ht="15" customHeight="1" x14ac:dyDescent="0.3">
      <c r="D144" s="39" t="str">
        <f>_xlfn.XLOOKUP(Table3253[[#This Row],[File Name]],'[1]Analyse 2 Detail 02-03'!A:A,'[1]Analyse 2 Detail 02-03'!R:R,"Not Found",0,1)</f>
        <v>King Belgium SA/NV</v>
      </c>
      <c r="E144" s="31" t="s">
        <v>76</v>
      </c>
      <c r="F144" s="40" t="s">
        <v>31</v>
      </c>
      <c r="G144" s="41">
        <v>1</v>
      </c>
      <c r="H144" s="7">
        <f>IF($F144="unclassified","N/A",(_xlfn.XLOOKUP($E144,[1]Sheet2!$A:$A,[1]Sheet2!Q:Q,"N/A",0,1)))</f>
        <v>1</v>
      </c>
      <c r="I144" s="7">
        <f>IF($F144="unclassified","N/A",(_xlfn.XLOOKUP($E144,[1]Sheet2!$A:$A,[1]Sheet2!R:R,"N/A",0,1)))</f>
        <v>1</v>
      </c>
      <c r="J144" s="7">
        <f>IF($F144="unclassified","N/A",(_xlfn.XLOOKUP($E144,[1]Sheet2!$A:$A,[1]Sheet2!S:S,"N/A",0,1)))</f>
        <v>1</v>
      </c>
      <c r="K144" s="7">
        <f>IF($F144="unclassified","N/A",(_xlfn.XLOOKUP($E144,[1]Sheet2!$A:$A,[1]Sheet2!T:T,"N/A",0,1)))</f>
        <v>1</v>
      </c>
      <c r="L144" s="7">
        <f>IF($F144="unclassified","N/A",(_xlfn.XLOOKUP($E144,[1]Sheet2!$A:$A,[1]Sheet2!U:U,"N/A",0,1)))</f>
        <v>1</v>
      </c>
      <c r="M144" s="7">
        <f>IF($F144="unclassified","N/A",(_xlfn.XLOOKUP($E144,[1]Sheet2!$A:$A,[1]Sheet2!V:V,"N/A",0,1)))</f>
        <v>1</v>
      </c>
      <c r="N144" s="7"/>
      <c r="O144" s="7">
        <f>IF($F144="unclassified","N/A",(_xlfn.XLOOKUP($E144,[1]Sheet2!$A:$A,[1]Sheet2!W:W,"N/A",0,1)))</f>
        <v>1</v>
      </c>
      <c r="P144" s="7">
        <f>IF($F144="unclassified","N/A",(_xlfn.XLOOKUP($E144,[1]Sheet2!$A:$A,[1]Sheet2!X:X,"N/A",0,1)))</f>
        <v>1</v>
      </c>
      <c r="Q144" s="7">
        <f>IF($F144="unclassified","N/A",(_xlfn.XLOOKUP($E144,[1]Sheet2!$A:$A,[1]Sheet2!Y:Y,"N/A",0,1)))</f>
        <v>1</v>
      </c>
      <c r="R144" s="7">
        <f>IF($F144="unclassified","N/A",(_xlfn.XLOOKUP($E144,[1]Sheet2!$A:$A,[1]Sheet2!Z:Z,"N/A",0,1)))</f>
        <v>1</v>
      </c>
      <c r="S144" s="7">
        <f>IF($F144="unclassified","N/A",(_xlfn.XLOOKUP($E144,[1]Sheet2!$A:$A,[1]Sheet2!AA:AA,"N/A",0,1)))</f>
        <v>1</v>
      </c>
      <c r="T144" s="7">
        <f>IF($F144="unclassified","N/A",(_xlfn.XLOOKUP($E144,[1]Sheet2!$A:$A,[1]Sheet2!AB:AB,"N/A",0,1)))</f>
        <v>1</v>
      </c>
      <c r="U144" s="35">
        <f>IF($F144="unclassified","N/A",(AVERAGE(Table3253[[#This Row],[PO nr]:[Delivery Date]])))</f>
        <v>1</v>
      </c>
      <c r="V144" s="38" t="s">
        <v>77</v>
      </c>
      <c r="W144" s="38"/>
      <c r="X144" s="38" t="s">
        <v>78</v>
      </c>
      <c r="Y144" s="38"/>
      <c r="Z144" s="38"/>
    </row>
    <row r="145" spans="4:26" ht="15" customHeight="1" x14ac:dyDescent="0.3">
      <c r="D145" s="39" t="str">
        <f>_xlfn.XLOOKUP(Table3253[[#This Row],[File Name]],'[1]Analyse 2 Detail 02-03'!A:A,'[1]Analyse 2 Detail 02-03'!R:R,"Not Found",0,1)</f>
        <v>King Belgium SA/NV</v>
      </c>
      <c r="E145" s="31" t="s">
        <v>79</v>
      </c>
      <c r="F145" s="40" t="s">
        <v>31</v>
      </c>
      <c r="G145" s="41">
        <v>0</v>
      </c>
      <c r="H145" s="7">
        <f>IF($F145="unclassified","N/A",(_xlfn.XLOOKUP($E145,[1]Sheet2!$A:$A,[1]Sheet2!Q:Q,"N/A",0,1)))</f>
        <v>1</v>
      </c>
      <c r="I145" s="7">
        <f>IF($F145="unclassified","N/A",(_xlfn.XLOOKUP($E145,[1]Sheet2!$A:$A,[1]Sheet2!R:R,"N/A",0,1)))</f>
        <v>1</v>
      </c>
      <c r="J145" s="7">
        <f>IF($F145="unclassified","N/A",(_xlfn.XLOOKUP($E145,[1]Sheet2!$A:$A,[1]Sheet2!S:S,"N/A",0,1)))</f>
        <v>1</v>
      </c>
      <c r="K145" s="7">
        <f>IF($F145="unclassified","N/A",(_xlfn.XLOOKUP($E145,[1]Sheet2!$A:$A,[1]Sheet2!T:T,"N/A",0,1)))</f>
        <v>1</v>
      </c>
      <c r="L145" s="7">
        <f>IF($F145="unclassified","N/A",(_xlfn.XLOOKUP($E145,[1]Sheet2!$A:$A,[1]Sheet2!U:U,"N/A",0,1)))</f>
        <v>1</v>
      </c>
      <c r="M145" s="7">
        <f>IF($F145="unclassified","N/A",(_xlfn.XLOOKUP($E145,[1]Sheet2!$A:$A,[1]Sheet2!V:V,"N/A",0,1)))</f>
        <v>1</v>
      </c>
      <c r="N145" s="7"/>
      <c r="O145" s="7">
        <f>IF($F145="unclassified","N/A",(_xlfn.XLOOKUP($E145,[1]Sheet2!$A:$A,[1]Sheet2!W:W,"N/A",0,1)))</f>
        <v>1</v>
      </c>
      <c r="P145" s="7">
        <f>IF($F145="unclassified","N/A",(_xlfn.XLOOKUP($E145,[1]Sheet2!$A:$A,[1]Sheet2!X:X,"N/A",0,1)))</f>
        <v>1</v>
      </c>
      <c r="Q145" s="7">
        <f>IF($F145="unclassified","N/A",(_xlfn.XLOOKUP($E145,[1]Sheet2!$A:$A,[1]Sheet2!Y:Y,"N/A",0,1)))</f>
        <v>1</v>
      </c>
      <c r="R145" s="7">
        <f>IF($F145="unclassified","N/A",(_xlfn.XLOOKUP($E145,[1]Sheet2!$A:$A,[1]Sheet2!Z:Z,"N/A",0,1)))</f>
        <v>1</v>
      </c>
      <c r="S145" s="7">
        <f>IF($F145="unclassified","N/A",(_xlfn.XLOOKUP($E145,[1]Sheet2!$A:$A,[1]Sheet2!AA:AA,"N/A",0,1)))</f>
        <v>1</v>
      </c>
      <c r="T145" s="7">
        <f>IF($F145="unclassified","N/A",(_xlfn.XLOOKUP($E145,[1]Sheet2!$A:$A,[1]Sheet2!AB:AB,"N/A",0,1)))</f>
        <v>1</v>
      </c>
      <c r="U145" s="35">
        <f>IF($F145="unclassified","N/A",(AVERAGE(Table3253[[#This Row],[PO nr]:[Delivery Date]])))</f>
        <v>1</v>
      </c>
      <c r="V145" s="38"/>
      <c r="W145" s="38"/>
      <c r="X145" s="38"/>
      <c r="Y145" s="38"/>
      <c r="Z145" s="38"/>
    </row>
    <row r="146" spans="4:26" ht="15" customHeight="1" x14ac:dyDescent="0.3">
      <c r="D146" s="39" t="str">
        <f>_xlfn.XLOOKUP(Table3253[[#This Row],[File Name]],'[1]Analyse 2 Detail 02-03'!A:A,'[1]Analyse 2 Detail 02-03'!R:R,"Not Found",0,1)</f>
        <v>Duomed Belgium NV/SA</v>
      </c>
      <c r="E146" s="31" t="s">
        <v>80</v>
      </c>
      <c r="F146" s="40" t="s">
        <v>31</v>
      </c>
      <c r="G146" s="41">
        <v>0</v>
      </c>
      <c r="H146" s="7">
        <f>IF($F146="unclassified","N/A",(_xlfn.XLOOKUP($E146,[1]Sheet2!$A:$A,[1]Sheet2!Q:Q,"N/A",0,1)))</f>
        <v>1</v>
      </c>
      <c r="I146" s="7">
        <f>IF($F146="unclassified","N/A",(_xlfn.XLOOKUP($E146,[1]Sheet2!$A:$A,[1]Sheet2!R:R,"N/A",0,1)))</f>
        <v>1</v>
      </c>
      <c r="J146" s="7">
        <f>IF($F146="unclassified","N/A",(_xlfn.XLOOKUP($E146,[1]Sheet2!$A:$A,[1]Sheet2!S:S,"N/A",0,1)))</f>
        <v>1</v>
      </c>
      <c r="K146" s="7">
        <f>IF($F146="unclassified","N/A",(_xlfn.XLOOKUP($E146,[1]Sheet2!$A:$A,[1]Sheet2!T:T,"N/A",0,1)))</f>
        <v>1</v>
      </c>
      <c r="L146" s="7">
        <f>IF($F146="unclassified","N/A",(_xlfn.XLOOKUP($E146,[1]Sheet2!$A:$A,[1]Sheet2!U:U,"N/A",0,1)))</f>
        <v>1</v>
      </c>
      <c r="M146" s="7">
        <f>IF($F146="unclassified","N/A",(_xlfn.XLOOKUP($E146,[1]Sheet2!$A:$A,[1]Sheet2!V:V,"N/A",0,1)))</f>
        <v>1</v>
      </c>
      <c r="N146" s="7"/>
      <c r="O146" s="7">
        <f>IF($F146="unclassified","N/A",(_xlfn.XLOOKUP($E146,[1]Sheet2!$A:$A,[1]Sheet2!W:W,"N/A",0,1)))</f>
        <v>1</v>
      </c>
      <c r="P146" s="7">
        <f>IF($F146="unclassified","N/A",(_xlfn.XLOOKUP($E146,[1]Sheet2!$A:$A,[1]Sheet2!X:X,"N/A",0,1)))</f>
        <v>1</v>
      </c>
      <c r="Q146" s="7">
        <f>IF($F146="unclassified","N/A",(_xlfn.XLOOKUP($E146,[1]Sheet2!$A:$A,[1]Sheet2!Y:Y,"N/A",0,1)))</f>
        <v>1</v>
      </c>
      <c r="R146" s="7">
        <f>IF($F146="unclassified","N/A",(_xlfn.XLOOKUP($E146,[1]Sheet2!$A:$A,[1]Sheet2!Z:Z,"N/A",0,1)))</f>
        <v>1</v>
      </c>
      <c r="S146" s="7">
        <f>IF($F146="unclassified","N/A",(_xlfn.XLOOKUP($E146,[1]Sheet2!$A:$A,[1]Sheet2!AA:AA,"N/A",0,1)))</f>
        <v>1</v>
      </c>
      <c r="T146" s="7">
        <f>IF($F146="unclassified","N/A",(_xlfn.XLOOKUP($E146,[1]Sheet2!$A:$A,[1]Sheet2!AB:AB,"N/A",0,1)))</f>
        <v>1</v>
      </c>
      <c r="U146" s="35">
        <f>IF($F146="unclassified","N/A",(AVERAGE(Table3253[[#This Row],[PO nr]:[Delivery Date]])))</f>
        <v>1</v>
      </c>
      <c r="V146" s="38"/>
      <c r="W146" s="38"/>
      <c r="X146" s="38"/>
      <c r="Y146" s="38"/>
      <c r="Z146" s="38"/>
    </row>
    <row r="147" spans="4:26" ht="15" customHeight="1" x14ac:dyDescent="0.3">
      <c r="D147" s="39" t="str">
        <f>_xlfn.XLOOKUP(Table3253[[#This Row],[File Name]],'[1]Analyse 2 Detail 02-03'!A:A,'[1]Analyse 2 Detail 02-03'!R:R,"Not Found",0,1)</f>
        <v>King Belgium SA/NV</v>
      </c>
      <c r="E147" s="31" t="s">
        <v>81</v>
      </c>
      <c r="F147" s="40" t="s">
        <v>31</v>
      </c>
      <c r="G147" s="41">
        <v>0</v>
      </c>
      <c r="H147" s="7">
        <f>IF($F147="unclassified","N/A",(_xlfn.XLOOKUP($E147,[1]Sheet2!$A:$A,[1]Sheet2!Q:Q,"N/A",0,1)))</f>
        <v>1</v>
      </c>
      <c r="I147" s="7">
        <f>IF($F147="unclassified","N/A",(_xlfn.XLOOKUP($E147,[1]Sheet2!$A:$A,[1]Sheet2!R:R,"N/A",0,1)))</f>
        <v>1</v>
      </c>
      <c r="J147" s="7">
        <f>IF($F147="unclassified","N/A",(_xlfn.XLOOKUP($E147,[1]Sheet2!$A:$A,[1]Sheet2!S:S,"N/A",0,1)))</f>
        <v>1</v>
      </c>
      <c r="K147" s="7">
        <f>IF($F147="unclassified","N/A",(_xlfn.XLOOKUP($E147,[1]Sheet2!$A:$A,[1]Sheet2!T:T,"N/A",0,1)))</f>
        <v>1</v>
      </c>
      <c r="L147" s="7">
        <f>IF($F147="unclassified","N/A",(_xlfn.XLOOKUP($E147,[1]Sheet2!$A:$A,[1]Sheet2!U:U,"N/A",0,1)))</f>
        <v>1</v>
      </c>
      <c r="M147" s="7">
        <f>IF($F147="unclassified","N/A",(_xlfn.XLOOKUP($E147,[1]Sheet2!$A:$A,[1]Sheet2!V:V,"N/A",0,1)))</f>
        <v>1</v>
      </c>
      <c r="N147" s="7"/>
      <c r="O147" s="7">
        <f>IF($F147="unclassified","N/A",(_xlfn.XLOOKUP($E147,[1]Sheet2!$A:$A,[1]Sheet2!W:W,"N/A",0,1)))</f>
        <v>1</v>
      </c>
      <c r="P147" s="7">
        <f>IF($F147="unclassified","N/A",(_xlfn.XLOOKUP($E147,[1]Sheet2!$A:$A,[1]Sheet2!X:X,"N/A",0,1)))</f>
        <v>1</v>
      </c>
      <c r="Q147" s="7">
        <f>IF($F147="unclassified","N/A",(_xlfn.XLOOKUP($E147,[1]Sheet2!$A:$A,[1]Sheet2!Y:Y,"N/A",0,1)))</f>
        <v>1</v>
      </c>
      <c r="R147" s="7">
        <f>IF($F147="unclassified","N/A",(_xlfn.XLOOKUP($E147,[1]Sheet2!$A:$A,[1]Sheet2!Z:Z,"N/A",0,1)))</f>
        <v>1</v>
      </c>
      <c r="S147" s="7">
        <f>IF($F147="unclassified","N/A",(_xlfn.XLOOKUP($E147,[1]Sheet2!$A:$A,[1]Sheet2!AA:AA,"N/A",0,1)))</f>
        <v>1</v>
      </c>
      <c r="T147" s="7">
        <f>IF($F147="unclassified","N/A",(_xlfn.XLOOKUP($E147,[1]Sheet2!$A:$A,[1]Sheet2!AB:AB,"N/A",0,1)))</f>
        <v>1</v>
      </c>
      <c r="U147" s="35">
        <f>IF($F147="unclassified","N/A",(AVERAGE(Table3253[[#This Row],[PO nr]:[Delivery Date]])))</f>
        <v>1</v>
      </c>
      <c r="V147" s="38"/>
      <c r="W147" s="38"/>
      <c r="X147" s="38"/>
      <c r="Y147" s="38"/>
      <c r="Z147" s="38"/>
    </row>
    <row r="148" spans="4:26" ht="15" customHeight="1" x14ac:dyDescent="0.3">
      <c r="D148" s="39">
        <f>_xlfn.XLOOKUP(Table3253[[#This Row],[File Name]],'[1]Analyse 2 Detail 02-03'!A:A,'[1]Analyse 2 Detail 02-03'!R:R,"Not Found",0,1)</f>
        <v>0</v>
      </c>
      <c r="E148" s="31" t="s">
        <v>82</v>
      </c>
      <c r="F148" s="40" t="s">
        <v>37</v>
      </c>
      <c r="G148" s="41">
        <v>0</v>
      </c>
      <c r="H148" s="7" t="str">
        <f>IF($F148="unclassified","N/A",(_xlfn.XLOOKUP($E148,[1]Sheet2!$A:$A,[1]Sheet2!Q:Q,"N/A",0,1)))</f>
        <v>N/A</v>
      </c>
      <c r="I148" s="7" t="str">
        <f>IF($F148="unclassified","N/A",(_xlfn.XLOOKUP($E148,[1]Sheet2!$A:$A,[1]Sheet2!R:R,"N/A",0,1)))</f>
        <v>N/A</v>
      </c>
      <c r="J148" s="7" t="str">
        <f>IF($F148="unclassified","N/A",(_xlfn.XLOOKUP($E148,[1]Sheet2!$A:$A,[1]Sheet2!S:S,"N/A",0,1)))</f>
        <v>N/A</v>
      </c>
      <c r="K148" s="7" t="str">
        <f>IF($F148="unclassified","N/A",(_xlfn.XLOOKUP($E148,[1]Sheet2!$A:$A,[1]Sheet2!T:T,"N/A",0,1)))</f>
        <v>N/A</v>
      </c>
      <c r="L148" s="7" t="str">
        <f>IF($F148="unclassified","N/A",(_xlfn.XLOOKUP($E148,[1]Sheet2!$A:$A,[1]Sheet2!U:U,"N/A",0,1)))</f>
        <v>N/A</v>
      </c>
      <c r="M148" s="7" t="str">
        <f>IF($F148="unclassified","N/A",(_xlfn.XLOOKUP($E148,[1]Sheet2!$A:$A,[1]Sheet2!V:V,"N/A",0,1)))</f>
        <v>N/A</v>
      </c>
      <c r="N148" s="7"/>
      <c r="O148" s="7" t="str">
        <f>IF($F148="unclassified","N/A",(_xlfn.XLOOKUP($E148,[1]Sheet2!$A:$A,[1]Sheet2!W:W,"N/A",0,1)))</f>
        <v>N/A</v>
      </c>
      <c r="P148" s="7" t="str">
        <f>IF($F148="unclassified","N/A",(_xlfn.XLOOKUP($E148,[1]Sheet2!$A:$A,[1]Sheet2!X:X,"N/A",0,1)))</f>
        <v>N/A</v>
      </c>
      <c r="Q148" s="7" t="str">
        <f>IF($F148="unclassified","N/A",(_xlfn.XLOOKUP($E148,[1]Sheet2!$A:$A,[1]Sheet2!Y:Y,"N/A",0,1)))</f>
        <v>N/A</v>
      </c>
      <c r="R148" s="7" t="str">
        <f>IF($F148="unclassified","N/A",(_xlfn.XLOOKUP($E148,[1]Sheet2!$A:$A,[1]Sheet2!Z:Z,"N/A",0,1)))</f>
        <v>N/A</v>
      </c>
      <c r="S148" s="7" t="str">
        <f>IF($F148="unclassified","N/A",(_xlfn.XLOOKUP($E148,[1]Sheet2!$A:$A,[1]Sheet2!AA:AA,"N/A",0,1)))</f>
        <v>N/A</v>
      </c>
      <c r="T148" s="7" t="str">
        <f>IF($F148="unclassified","N/A",(_xlfn.XLOOKUP($E148,[1]Sheet2!$A:$A,[1]Sheet2!AB:AB,"N/A",0,1)))</f>
        <v>N/A</v>
      </c>
      <c r="U148" s="35" t="str">
        <f>IF($F148="unclassified","N/A",(AVERAGE(Table3253[[#This Row],[PO nr]:[Delivery Date]])))</f>
        <v>N/A</v>
      </c>
      <c r="V148" s="38" t="s">
        <v>83</v>
      </c>
      <c r="W148" s="38" t="s">
        <v>39</v>
      </c>
      <c r="X148" s="38"/>
      <c r="Y148" s="38"/>
      <c r="Z148" s="38"/>
    </row>
    <row r="149" spans="4:26" ht="15" customHeight="1" x14ac:dyDescent="0.3">
      <c r="D149" s="39" t="str">
        <f>_xlfn.XLOOKUP(Table3253[[#This Row],[File Name]],'[1]Analyse 2 Detail 02-03'!A:A,'[1]Analyse 2 Detail 02-03'!R:R,"Not Found",0,1)</f>
        <v>Medline International Netherlands B.V.</v>
      </c>
      <c r="E149" s="31" t="s">
        <v>84</v>
      </c>
      <c r="F149" s="40" t="s">
        <v>31</v>
      </c>
      <c r="G149" s="41">
        <v>1</v>
      </c>
      <c r="H149" s="7">
        <f>IF($F149="unclassified","N/A",(_xlfn.XLOOKUP($E149,[1]Sheet2!$A:$A,[1]Sheet2!Q:Q,"N/A",0,1)))</f>
        <v>1</v>
      </c>
      <c r="I149" s="7">
        <f>IF($F149="unclassified","N/A",(_xlfn.XLOOKUP($E149,[1]Sheet2!$A:$A,[1]Sheet2!R:R,"N/A",0,1)))</f>
        <v>1</v>
      </c>
      <c r="J149" s="7">
        <f>IF($F149="unclassified","N/A",(_xlfn.XLOOKUP($E149,[1]Sheet2!$A:$A,[1]Sheet2!S:S,"N/A",0,1)))</f>
        <v>1</v>
      </c>
      <c r="K149" s="7">
        <f>IF($F149="unclassified","N/A",(_xlfn.XLOOKUP($E149,[1]Sheet2!$A:$A,[1]Sheet2!T:T,"N/A",0,1)))</f>
        <v>1</v>
      </c>
      <c r="L149" s="7">
        <f>IF($F149="unclassified","N/A",(_xlfn.XLOOKUP($E149,[1]Sheet2!$A:$A,[1]Sheet2!U:U,"N/A",0,1)))</f>
        <v>1</v>
      </c>
      <c r="M149" s="7">
        <f>IF($F149="unclassified","N/A",(_xlfn.XLOOKUP($E149,[1]Sheet2!$A:$A,[1]Sheet2!V:V,"N/A",0,1)))</f>
        <v>1</v>
      </c>
      <c r="N149" s="7"/>
      <c r="O149" s="7">
        <f>IF($F149="unclassified","N/A",(_xlfn.XLOOKUP($E149,[1]Sheet2!$A:$A,[1]Sheet2!W:W,"N/A",0,1)))</f>
        <v>1</v>
      </c>
      <c r="P149" s="7">
        <f>IF($F149="unclassified","N/A",(_xlfn.XLOOKUP($E149,[1]Sheet2!$A:$A,[1]Sheet2!X:X,"N/A",0,1)))</f>
        <v>1</v>
      </c>
      <c r="Q149" s="7">
        <f>IF($F149="unclassified","N/A",(_xlfn.XLOOKUP($E149,[1]Sheet2!$A:$A,[1]Sheet2!Y:Y,"N/A",0,1)))</f>
        <v>1</v>
      </c>
      <c r="R149" s="7">
        <f>IF($F149="unclassified","N/A",(_xlfn.XLOOKUP($E149,[1]Sheet2!$A:$A,[1]Sheet2!Z:Z,"N/A",0,1)))</f>
        <v>1</v>
      </c>
      <c r="S149" s="7">
        <f>IF($F149="unclassified","N/A",(_xlfn.XLOOKUP($E149,[1]Sheet2!$A:$A,[1]Sheet2!AA:AA,"N/A",0,1)))</f>
        <v>1</v>
      </c>
      <c r="T149" s="7">
        <f>IF($F149="unclassified","N/A",(_xlfn.XLOOKUP($E149,[1]Sheet2!$A:$A,[1]Sheet2!AB:AB,"N/A",0,1)))</f>
        <v>1</v>
      </c>
      <c r="U149" s="35">
        <f>IF($F149="unclassified","N/A",(AVERAGE(Table3253[[#This Row],[PO nr]:[Delivery Date]])))</f>
        <v>1</v>
      </c>
      <c r="V149" s="38"/>
      <c r="W149" s="38"/>
      <c r="X149" s="38"/>
      <c r="Y149" s="38"/>
      <c r="Z149" s="38" t="s">
        <v>85</v>
      </c>
    </row>
    <row r="150" spans="4:26" ht="15" customHeight="1" x14ac:dyDescent="0.3">
      <c r="D150" s="39" t="str">
        <f>_xlfn.XLOOKUP(Table3253[[#This Row],[File Name]],'[1]Analyse 2 Detail 02-03'!A:A,'[1]Analyse 2 Detail 02-03'!R:R,"Not Found",0,1)</f>
        <v>N.V. PAUL HARTMANN S.A.</v>
      </c>
      <c r="E150" s="31" t="s">
        <v>86</v>
      </c>
      <c r="F150" s="40" t="s">
        <v>31</v>
      </c>
      <c r="G150" s="41">
        <v>0</v>
      </c>
      <c r="H150" s="7">
        <f>IF($F150="unclassified","N/A",(_xlfn.XLOOKUP($E150,[1]Sheet2!$A:$A,[1]Sheet2!Q:Q,"N/A",0,1)))</f>
        <v>1</v>
      </c>
      <c r="I150" s="7">
        <f>IF($F150="unclassified","N/A",(_xlfn.XLOOKUP($E150,[1]Sheet2!$A:$A,[1]Sheet2!R:R,"N/A",0,1)))</f>
        <v>1</v>
      </c>
      <c r="J150" s="7">
        <f>IF($F150="unclassified","N/A",(_xlfn.XLOOKUP($E150,[1]Sheet2!$A:$A,[1]Sheet2!S:S,"N/A",0,1)))</f>
        <v>1</v>
      </c>
      <c r="K150" s="7">
        <f>IF($F150="unclassified","N/A",(_xlfn.XLOOKUP($E150,[1]Sheet2!$A:$A,[1]Sheet2!T:T,"N/A",0,1)))</f>
        <v>1</v>
      </c>
      <c r="L150" s="7">
        <f>IF($F150="unclassified","N/A",(_xlfn.XLOOKUP($E150,[1]Sheet2!$A:$A,[1]Sheet2!U:U,"N/A",0,1)))</f>
        <v>1</v>
      </c>
      <c r="M150" s="7">
        <f>IF($F150="unclassified","N/A",(_xlfn.XLOOKUP($E150,[1]Sheet2!$A:$A,[1]Sheet2!V:V,"N/A",0,1)))</f>
        <v>1</v>
      </c>
      <c r="N150" s="7"/>
      <c r="O150" s="7">
        <f>IF($F150="unclassified","N/A",(_xlfn.XLOOKUP($E150,[1]Sheet2!$A:$A,[1]Sheet2!W:W,"N/A",0,1)))</f>
        <v>1</v>
      </c>
      <c r="P150" s="7">
        <f>IF($F150="unclassified","N/A",(_xlfn.XLOOKUP($E150,[1]Sheet2!$A:$A,[1]Sheet2!X:X,"N/A",0,1)))</f>
        <v>1</v>
      </c>
      <c r="Q150" s="7">
        <f>IF($F150="unclassified","N/A",(_xlfn.XLOOKUP($E150,[1]Sheet2!$A:$A,[1]Sheet2!Y:Y,"N/A",0,1)))</f>
        <v>1</v>
      </c>
      <c r="R150" s="7">
        <f>IF($F150="unclassified","N/A",(_xlfn.XLOOKUP($E150,[1]Sheet2!$A:$A,[1]Sheet2!Z:Z,"N/A",0,1)))</f>
        <v>1</v>
      </c>
      <c r="S150" s="7">
        <f>IF($F150="unclassified","N/A",(_xlfn.XLOOKUP($E150,[1]Sheet2!$A:$A,[1]Sheet2!AA:AA,"N/A",0,1)))</f>
        <v>1</v>
      </c>
      <c r="T150" s="7">
        <f>IF($F150="unclassified","N/A",(_xlfn.XLOOKUP($E150,[1]Sheet2!$A:$A,[1]Sheet2!AB:AB,"N/A",0,1)))</f>
        <v>1</v>
      </c>
      <c r="U150" s="35">
        <f>IF($F150="unclassified","N/A",(AVERAGE(Table3253[[#This Row],[PO nr]:[Delivery Date]])))</f>
        <v>1</v>
      </c>
      <c r="V150" s="38"/>
      <c r="W150" s="38"/>
      <c r="X150" s="38"/>
      <c r="Y150" s="38"/>
      <c r="Z150" s="38"/>
    </row>
    <row r="151" spans="4:26" ht="15" customHeight="1" x14ac:dyDescent="0.3">
      <c r="D151" s="39" t="str">
        <f>_xlfn.XLOOKUP(Table3253[[#This Row],[File Name]],'[1]Analyse 2 Detail 02-03'!A:A,'[1]Analyse 2 Detail 02-03'!R:R,"Not Found",0,1)</f>
        <v>N.V. PAUL HARTMANN S.A.</v>
      </c>
      <c r="E151" s="31" t="s">
        <v>86</v>
      </c>
      <c r="F151" s="40" t="s">
        <v>31</v>
      </c>
      <c r="G151" s="41">
        <v>0</v>
      </c>
      <c r="H151" s="7">
        <f>IF($F151="unclassified","N/A",(_xlfn.XLOOKUP($E151,[1]Sheet2!$A:$A,[1]Sheet2!Q:Q,"N/A",0,1)))</f>
        <v>1</v>
      </c>
      <c r="I151" s="7">
        <f>IF($F151="unclassified","N/A",(_xlfn.XLOOKUP($E151,[1]Sheet2!$A:$A,[1]Sheet2!R:R,"N/A",0,1)))</f>
        <v>1</v>
      </c>
      <c r="J151" s="7">
        <f>IF($F151="unclassified","N/A",(_xlfn.XLOOKUP($E151,[1]Sheet2!$A:$A,[1]Sheet2!S:S,"N/A",0,1)))</f>
        <v>1</v>
      </c>
      <c r="K151" s="7">
        <f>IF($F151="unclassified","N/A",(_xlfn.XLOOKUP($E151,[1]Sheet2!$A:$A,[1]Sheet2!T:T,"N/A",0,1)))</f>
        <v>1</v>
      </c>
      <c r="L151" s="7">
        <f>IF($F151="unclassified","N/A",(_xlfn.XLOOKUP($E151,[1]Sheet2!$A:$A,[1]Sheet2!U:U,"N/A",0,1)))</f>
        <v>1</v>
      </c>
      <c r="M151" s="7">
        <f>IF($F151="unclassified","N/A",(_xlfn.XLOOKUP($E151,[1]Sheet2!$A:$A,[1]Sheet2!V:V,"N/A",0,1)))</f>
        <v>1</v>
      </c>
      <c r="N151" s="7"/>
      <c r="O151" s="7">
        <f>IF($F151="unclassified","N/A",(_xlfn.XLOOKUP($E151,[1]Sheet2!$A:$A,[1]Sheet2!W:W,"N/A",0,1)))</f>
        <v>1</v>
      </c>
      <c r="P151" s="7">
        <f>IF($F151="unclassified","N/A",(_xlfn.XLOOKUP($E151,[1]Sheet2!$A:$A,[1]Sheet2!X:X,"N/A",0,1)))</f>
        <v>1</v>
      </c>
      <c r="Q151" s="7">
        <f>IF($F151="unclassified","N/A",(_xlfn.XLOOKUP($E151,[1]Sheet2!$A:$A,[1]Sheet2!Y:Y,"N/A",0,1)))</f>
        <v>1</v>
      </c>
      <c r="R151" s="7">
        <f>IF($F151="unclassified","N/A",(_xlfn.XLOOKUP($E151,[1]Sheet2!$A:$A,[1]Sheet2!Z:Z,"N/A",0,1)))</f>
        <v>1</v>
      </c>
      <c r="S151" s="7">
        <f>IF($F151="unclassified","N/A",(_xlfn.XLOOKUP($E151,[1]Sheet2!$A:$A,[1]Sheet2!AA:AA,"N/A",0,1)))</f>
        <v>1</v>
      </c>
      <c r="T151" s="7">
        <f>IF($F151="unclassified","N/A",(_xlfn.XLOOKUP($E151,[1]Sheet2!$A:$A,[1]Sheet2!AB:AB,"N/A",0,1)))</f>
        <v>1</v>
      </c>
      <c r="U151" s="35">
        <f>IF($F151="unclassified","N/A",(AVERAGE(Table3253[[#This Row],[PO nr]:[Delivery Date]])))</f>
        <v>1</v>
      </c>
      <c r="V151" s="38"/>
      <c r="W151" s="38"/>
      <c r="X151" s="38"/>
      <c r="Y151" s="38"/>
      <c r="Z151" s="38"/>
    </row>
    <row r="152" spans="4:26" ht="15" customHeight="1" x14ac:dyDescent="0.3">
      <c r="D152" s="39" t="str">
        <f>_xlfn.XLOOKUP(Table3253[[#This Row],[File Name]],'[1]Analyse 2 Detail 02-03'!A:A,'[1]Analyse 2 Detail 02-03'!R:R,"Not Found",0,1)</f>
        <v>N.V. PAUL HARTMANN S.A.</v>
      </c>
      <c r="E152" s="31" t="s">
        <v>86</v>
      </c>
      <c r="F152" s="40" t="s">
        <v>31</v>
      </c>
      <c r="G152" s="41">
        <v>0</v>
      </c>
      <c r="H152" s="7">
        <f>IF($F152="unclassified","N/A",(_xlfn.XLOOKUP($E152,[1]Sheet2!$A:$A,[1]Sheet2!Q:Q,"N/A",0,1)))</f>
        <v>1</v>
      </c>
      <c r="I152" s="7">
        <f>IF($F152="unclassified","N/A",(_xlfn.XLOOKUP($E152,[1]Sheet2!$A:$A,[1]Sheet2!R:R,"N/A",0,1)))</f>
        <v>1</v>
      </c>
      <c r="J152" s="7">
        <f>IF($F152="unclassified","N/A",(_xlfn.XLOOKUP($E152,[1]Sheet2!$A:$A,[1]Sheet2!S:S,"N/A",0,1)))</f>
        <v>1</v>
      </c>
      <c r="K152" s="7">
        <f>IF($F152="unclassified","N/A",(_xlfn.XLOOKUP($E152,[1]Sheet2!$A:$A,[1]Sheet2!T:T,"N/A",0,1)))</f>
        <v>1</v>
      </c>
      <c r="L152" s="7">
        <f>IF($F152="unclassified","N/A",(_xlfn.XLOOKUP($E152,[1]Sheet2!$A:$A,[1]Sheet2!U:U,"N/A",0,1)))</f>
        <v>1</v>
      </c>
      <c r="M152" s="7">
        <f>IF($F152="unclassified","N/A",(_xlfn.XLOOKUP($E152,[1]Sheet2!$A:$A,[1]Sheet2!V:V,"N/A",0,1)))</f>
        <v>1</v>
      </c>
      <c r="N152" s="7"/>
      <c r="O152" s="7">
        <f>IF($F152="unclassified","N/A",(_xlfn.XLOOKUP($E152,[1]Sheet2!$A:$A,[1]Sheet2!W:W,"N/A",0,1)))</f>
        <v>1</v>
      </c>
      <c r="P152" s="7">
        <f>IF($F152="unclassified","N/A",(_xlfn.XLOOKUP($E152,[1]Sheet2!$A:$A,[1]Sheet2!X:X,"N/A",0,1)))</f>
        <v>1</v>
      </c>
      <c r="Q152" s="7">
        <f>IF($F152="unclassified","N/A",(_xlfn.XLOOKUP($E152,[1]Sheet2!$A:$A,[1]Sheet2!Y:Y,"N/A",0,1)))</f>
        <v>1</v>
      </c>
      <c r="R152" s="7">
        <f>IF($F152="unclassified","N/A",(_xlfn.XLOOKUP($E152,[1]Sheet2!$A:$A,[1]Sheet2!Z:Z,"N/A",0,1)))</f>
        <v>1</v>
      </c>
      <c r="S152" s="7">
        <f>IF($F152="unclassified","N/A",(_xlfn.XLOOKUP($E152,[1]Sheet2!$A:$A,[1]Sheet2!AA:AA,"N/A",0,1)))</f>
        <v>1</v>
      </c>
      <c r="T152" s="7">
        <f>IF($F152="unclassified","N/A",(_xlfn.XLOOKUP($E152,[1]Sheet2!$A:$A,[1]Sheet2!AB:AB,"N/A",0,1)))</f>
        <v>1</v>
      </c>
      <c r="U152" s="35">
        <f>IF($F152="unclassified","N/A",(AVERAGE(Table3253[[#This Row],[PO nr]:[Delivery Date]])))</f>
        <v>1</v>
      </c>
      <c r="V152" s="38"/>
      <c r="W152" s="38"/>
      <c r="X152" s="38"/>
      <c r="Y152" s="38"/>
      <c r="Z152" s="38"/>
    </row>
    <row r="153" spans="4:26" ht="15" customHeight="1" x14ac:dyDescent="0.3">
      <c r="D153" s="39" t="str">
        <f>_xlfn.XLOOKUP(Table3253[[#This Row],[File Name]],'[1]Analyse 2 Detail 02-03'!A:A,'[1]Analyse 2 Detail 02-03'!R:R,"Not Found",0,1)</f>
        <v>N.V. PAUL HARTMANN S.A.</v>
      </c>
      <c r="E153" s="31" t="s">
        <v>86</v>
      </c>
      <c r="F153" s="40" t="s">
        <v>31</v>
      </c>
      <c r="G153" s="41">
        <v>0</v>
      </c>
      <c r="H153" s="7">
        <f>IF($F153="unclassified","N/A",(_xlfn.XLOOKUP($E153,[1]Sheet2!$A:$A,[1]Sheet2!Q:Q,"N/A",0,1)))</f>
        <v>1</v>
      </c>
      <c r="I153" s="7">
        <f>IF($F153="unclassified","N/A",(_xlfn.XLOOKUP($E153,[1]Sheet2!$A:$A,[1]Sheet2!R:R,"N/A",0,1)))</f>
        <v>1</v>
      </c>
      <c r="J153" s="7">
        <f>IF($F153="unclassified","N/A",(_xlfn.XLOOKUP($E153,[1]Sheet2!$A:$A,[1]Sheet2!S:S,"N/A",0,1)))</f>
        <v>1</v>
      </c>
      <c r="K153" s="7">
        <f>IF($F153="unclassified","N/A",(_xlfn.XLOOKUP($E153,[1]Sheet2!$A:$A,[1]Sheet2!T:T,"N/A",0,1)))</f>
        <v>1</v>
      </c>
      <c r="L153" s="7">
        <f>IF($F153="unclassified","N/A",(_xlfn.XLOOKUP($E153,[1]Sheet2!$A:$A,[1]Sheet2!U:U,"N/A",0,1)))</f>
        <v>1</v>
      </c>
      <c r="M153" s="7">
        <f>IF($F153="unclassified","N/A",(_xlfn.XLOOKUP($E153,[1]Sheet2!$A:$A,[1]Sheet2!V:V,"N/A",0,1)))</f>
        <v>1</v>
      </c>
      <c r="N153" s="7"/>
      <c r="O153" s="7">
        <f>IF($F153="unclassified","N/A",(_xlfn.XLOOKUP($E153,[1]Sheet2!$A:$A,[1]Sheet2!W:W,"N/A",0,1)))</f>
        <v>1</v>
      </c>
      <c r="P153" s="7">
        <f>IF($F153="unclassified","N/A",(_xlfn.XLOOKUP($E153,[1]Sheet2!$A:$A,[1]Sheet2!X:X,"N/A",0,1)))</f>
        <v>1</v>
      </c>
      <c r="Q153" s="7">
        <f>IF($F153="unclassified","N/A",(_xlfn.XLOOKUP($E153,[1]Sheet2!$A:$A,[1]Sheet2!Y:Y,"N/A",0,1)))</f>
        <v>1</v>
      </c>
      <c r="R153" s="7">
        <f>IF($F153="unclassified","N/A",(_xlfn.XLOOKUP($E153,[1]Sheet2!$A:$A,[1]Sheet2!Z:Z,"N/A",0,1)))</f>
        <v>1</v>
      </c>
      <c r="S153" s="7">
        <f>IF($F153="unclassified","N/A",(_xlfn.XLOOKUP($E153,[1]Sheet2!$A:$A,[1]Sheet2!AA:AA,"N/A",0,1)))</f>
        <v>1</v>
      </c>
      <c r="T153" s="7">
        <f>IF($F153="unclassified","N/A",(_xlfn.XLOOKUP($E153,[1]Sheet2!$A:$A,[1]Sheet2!AB:AB,"N/A",0,1)))</f>
        <v>1</v>
      </c>
      <c r="U153" s="35">
        <f>IF($F153="unclassified","N/A",(AVERAGE(Table3253[[#This Row],[PO nr]:[Delivery Date]])))</f>
        <v>1</v>
      </c>
      <c r="V153" s="38"/>
      <c r="W153" s="38"/>
      <c r="X153" s="38"/>
      <c r="Y153" s="38"/>
      <c r="Z153" s="38"/>
    </row>
    <row r="154" spans="4:26" ht="15" customHeight="1" x14ac:dyDescent="0.3">
      <c r="D154" s="39" t="str">
        <f>_xlfn.XLOOKUP(Table3253[[#This Row],[File Name]],'[1]Analyse 2 Detail 02-03'!A:A,'[1]Analyse 2 Detail 02-03'!R:R,"Not Found",0,1)</f>
        <v>Paul Hartmann B.V.</v>
      </c>
      <c r="E154" s="31" t="s">
        <v>87</v>
      </c>
      <c r="F154" s="40" t="s">
        <v>31</v>
      </c>
      <c r="G154" s="41">
        <v>0</v>
      </c>
      <c r="H154" s="7">
        <f>IF($F154="unclassified","N/A",(_xlfn.XLOOKUP($E154,[1]Sheet2!$A:$A,[1]Sheet2!Q:Q,"N/A",0,1)))</f>
        <v>1</v>
      </c>
      <c r="I154" s="7">
        <f>IF($F154="unclassified","N/A",(_xlfn.XLOOKUP($E154,[1]Sheet2!$A:$A,[1]Sheet2!R:R,"N/A",0,1)))</f>
        <v>1</v>
      </c>
      <c r="J154" s="7">
        <f>IF($F154="unclassified","N/A",(_xlfn.XLOOKUP($E154,[1]Sheet2!$A:$A,[1]Sheet2!S:S,"N/A",0,1)))</f>
        <v>1</v>
      </c>
      <c r="K154" s="7">
        <f>IF($F154="unclassified","N/A",(_xlfn.XLOOKUP($E154,[1]Sheet2!$A:$A,[1]Sheet2!T:T,"N/A",0,1)))</f>
        <v>1</v>
      </c>
      <c r="L154" s="7">
        <f>IF($F154="unclassified","N/A",(_xlfn.XLOOKUP($E154,[1]Sheet2!$A:$A,[1]Sheet2!U:U,"N/A",0,1)))</f>
        <v>1</v>
      </c>
      <c r="M154" s="7">
        <f>IF($F154="unclassified","N/A",(_xlfn.XLOOKUP($E154,[1]Sheet2!$A:$A,[1]Sheet2!V:V,"N/A",0,1)))</f>
        <v>1</v>
      </c>
      <c r="N154" s="7"/>
      <c r="O154" s="7">
        <f>IF($F154="unclassified","N/A",(_xlfn.XLOOKUP($E154,[1]Sheet2!$A:$A,[1]Sheet2!W:W,"N/A",0,1)))</f>
        <v>1</v>
      </c>
      <c r="P154" s="7">
        <f>IF($F154="unclassified","N/A",(_xlfn.XLOOKUP($E154,[1]Sheet2!$A:$A,[1]Sheet2!X:X,"N/A",0,1)))</f>
        <v>1</v>
      </c>
      <c r="Q154" s="7">
        <f>IF($F154="unclassified","N/A",(_xlfn.XLOOKUP($E154,[1]Sheet2!$A:$A,[1]Sheet2!Y:Y,"N/A",0,1)))</f>
        <v>1</v>
      </c>
      <c r="R154" s="7">
        <f>IF($F154="unclassified","N/A",(_xlfn.XLOOKUP($E154,[1]Sheet2!$A:$A,[1]Sheet2!Z:Z,"N/A",0,1)))</f>
        <v>1</v>
      </c>
      <c r="S154" s="7">
        <f>IF($F154="unclassified","N/A",(_xlfn.XLOOKUP($E154,[1]Sheet2!$A:$A,[1]Sheet2!AA:AA,"N/A",0,1)))</f>
        <v>1</v>
      </c>
      <c r="T154" s="7">
        <f>IF($F154="unclassified","N/A",(_xlfn.XLOOKUP($E154,[1]Sheet2!$A:$A,[1]Sheet2!AB:AB,"N/A",0,1)))</f>
        <v>1</v>
      </c>
      <c r="U154" s="35">
        <f>IF($F154="unclassified","N/A",(AVERAGE(Table3253[[#This Row],[PO nr]:[Delivery Date]])))</f>
        <v>1</v>
      </c>
      <c r="V154" s="38"/>
      <c r="W154" s="38"/>
      <c r="X154" s="38"/>
      <c r="Y154" s="38"/>
      <c r="Z154" s="38"/>
    </row>
    <row r="155" spans="4:26" ht="15" customHeight="1" x14ac:dyDescent="0.3">
      <c r="D155" s="39" t="str">
        <f>_xlfn.XLOOKUP(Table3253[[#This Row],[File Name]],'[1]Analyse 2 Detail 02-03'!A:A,'[1]Analyse 2 Detail 02-03'!R:R,"Not Found",0,1)</f>
        <v>Paul Hartmann B.V.</v>
      </c>
      <c r="E155" s="31" t="s">
        <v>88</v>
      </c>
      <c r="F155" s="40" t="s">
        <v>31</v>
      </c>
      <c r="G155" s="41">
        <v>0</v>
      </c>
      <c r="H155" s="7">
        <f>IF($F155="unclassified","N/A",(_xlfn.XLOOKUP($E155,[1]Sheet2!$A:$A,[1]Sheet2!Q:Q,"N/A",0,1)))</f>
        <v>1</v>
      </c>
      <c r="I155" s="7">
        <f>IF($F155="unclassified","N/A",(_xlfn.XLOOKUP($E155,[1]Sheet2!$A:$A,[1]Sheet2!R:R,"N/A",0,1)))</f>
        <v>1</v>
      </c>
      <c r="J155" s="7">
        <f>IF($F155="unclassified","N/A",(_xlfn.XLOOKUP($E155,[1]Sheet2!$A:$A,[1]Sheet2!S:S,"N/A",0,1)))</f>
        <v>1</v>
      </c>
      <c r="K155" s="7">
        <f>IF($F155="unclassified","N/A",(_xlfn.XLOOKUP($E155,[1]Sheet2!$A:$A,[1]Sheet2!T:T,"N/A",0,1)))</f>
        <v>1</v>
      </c>
      <c r="L155" s="7">
        <f>IF($F155="unclassified","N/A",(_xlfn.XLOOKUP($E155,[1]Sheet2!$A:$A,[1]Sheet2!U:U,"N/A",0,1)))</f>
        <v>1</v>
      </c>
      <c r="M155" s="7">
        <f>IF($F155="unclassified","N/A",(_xlfn.XLOOKUP($E155,[1]Sheet2!$A:$A,[1]Sheet2!V:V,"N/A",0,1)))</f>
        <v>1</v>
      </c>
      <c r="N155" s="7"/>
      <c r="O155" s="7">
        <f>IF($F155="unclassified","N/A",(_xlfn.XLOOKUP($E155,[1]Sheet2!$A:$A,[1]Sheet2!W:W,"N/A",0,1)))</f>
        <v>1</v>
      </c>
      <c r="P155" s="7">
        <f>IF($F155="unclassified","N/A",(_xlfn.XLOOKUP($E155,[1]Sheet2!$A:$A,[1]Sheet2!X:X,"N/A",0,1)))</f>
        <v>1</v>
      </c>
      <c r="Q155" s="7">
        <f>IF($F155="unclassified","N/A",(_xlfn.XLOOKUP($E155,[1]Sheet2!$A:$A,[1]Sheet2!Y:Y,"N/A",0,1)))</f>
        <v>1</v>
      </c>
      <c r="R155" s="7">
        <f>IF($F155="unclassified","N/A",(_xlfn.XLOOKUP($E155,[1]Sheet2!$A:$A,[1]Sheet2!Z:Z,"N/A",0,1)))</f>
        <v>1</v>
      </c>
      <c r="S155" s="7">
        <f>IF($F155="unclassified","N/A",(_xlfn.XLOOKUP($E155,[1]Sheet2!$A:$A,[1]Sheet2!AA:AA,"N/A",0,1)))</f>
        <v>1</v>
      </c>
      <c r="T155" s="7">
        <f>IF($F155="unclassified","N/A",(_xlfn.XLOOKUP($E155,[1]Sheet2!$A:$A,[1]Sheet2!AB:AB,"N/A",0,1)))</f>
        <v>1</v>
      </c>
      <c r="U155" s="35">
        <f>IF($F155="unclassified","N/A",(AVERAGE(Table3253[[#This Row],[PO nr]:[Delivery Date]])))</f>
        <v>1</v>
      </c>
      <c r="V155" s="38"/>
      <c r="W155" s="38"/>
      <c r="X155" s="38"/>
      <c r="Y155" s="38"/>
      <c r="Z155" s="38"/>
    </row>
    <row r="156" spans="4:26" ht="15" customHeight="1" x14ac:dyDescent="0.3">
      <c r="D156" s="39" t="str">
        <f>_xlfn.XLOOKUP(Table3253[[#This Row],[File Name]],'[1]Analyse 2 Detail 02-03'!A:A,'[1]Analyse 2 Detail 02-03'!R:R,"Not Found",0,1)</f>
        <v>Paul Hartmann B.V.</v>
      </c>
      <c r="E156" s="31" t="s">
        <v>89</v>
      </c>
      <c r="F156" s="40" t="s">
        <v>31</v>
      </c>
      <c r="G156" s="41">
        <v>0</v>
      </c>
      <c r="H156" s="7">
        <f>IF($F156="unclassified","N/A",(_xlfn.XLOOKUP($E156,[1]Sheet2!$A:$A,[1]Sheet2!Q:Q,"N/A",0,1)))</f>
        <v>1</v>
      </c>
      <c r="I156" s="7">
        <f>IF($F156="unclassified","N/A",(_xlfn.XLOOKUP($E156,[1]Sheet2!$A:$A,[1]Sheet2!R:R,"N/A",0,1)))</f>
        <v>1</v>
      </c>
      <c r="J156" s="7">
        <f>IF($F156="unclassified","N/A",(_xlfn.XLOOKUP($E156,[1]Sheet2!$A:$A,[1]Sheet2!S:S,"N/A",0,1)))</f>
        <v>1</v>
      </c>
      <c r="K156" s="7">
        <f>IF($F156="unclassified","N/A",(_xlfn.XLOOKUP($E156,[1]Sheet2!$A:$A,[1]Sheet2!T:T,"N/A",0,1)))</f>
        <v>1</v>
      </c>
      <c r="L156" s="7">
        <f>IF($F156="unclassified","N/A",(_xlfn.XLOOKUP($E156,[1]Sheet2!$A:$A,[1]Sheet2!U:U,"N/A",0,1)))</f>
        <v>1</v>
      </c>
      <c r="M156" s="7">
        <f>IF($F156="unclassified","N/A",(_xlfn.XLOOKUP($E156,[1]Sheet2!$A:$A,[1]Sheet2!V:V,"N/A",0,1)))</f>
        <v>1</v>
      </c>
      <c r="N156" s="7"/>
      <c r="O156" s="7">
        <f>IF($F156="unclassified","N/A",(_xlfn.XLOOKUP($E156,[1]Sheet2!$A:$A,[1]Sheet2!W:W,"N/A",0,1)))</f>
        <v>1</v>
      </c>
      <c r="P156" s="7">
        <f>IF($F156="unclassified","N/A",(_xlfn.XLOOKUP($E156,[1]Sheet2!$A:$A,[1]Sheet2!X:X,"N/A",0,1)))</f>
        <v>1</v>
      </c>
      <c r="Q156" s="7">
        <f>IF($F156="unclassified","N/A",(_xlfn.XLOOKUP($E156,[1]Sheet2!$A:$A,[1]Sheet2!Y:Y,"N/A",0,1)))</f>
        <v>1</v>
      </c>
      <c r="R156" s="7">
        <f>IF($F156="unclassified","N/A",(_xlfn.XLOOKUP($E156,[1]Sheet2!$A:$A,[1]Sheet2!Z:Z,"N/A",0,1)))</f>
        <v>1</v>
      </c>
      <c r="S156" s="7">
        <f>IF($F156="unclassified","N/A",(_xlfn.XLOOKUP($E156,[1]Sheet2!$A:$A,[1]Sheet2!AA:AA,"N/A",0,1)))</f>
        <v>1</v>
      </c>
      <c r="T156" s="7">
        <f>IF($F156="unclassified","N/A",(_xlfn.XLOOKUP($E156,[1]Sheet2!$A:$A,[1]Sheet2!AB:AB,"N/A",0,1)))</f>
        <v>1</v>
      </c>
      <c r="U156" s="35">
        <f>IF($F156="unclassified","N/A",(AVERAGE(Table3253[[#This Row],[PO nr]:[Delivery Date]])))</f>
        <v>1</v>
      </c>
      <c r="V156" s="38"/>
      <c r="W156" s="38"/>
      <c r="X156" s="38"/>
      <c r="Y156" s="38"/>
      <c r="Z156" s="38"/>
    </row>
    <row r="157" spans="4:26" ht="15" customHeight="1" x14ac:dyDescent="0.3">
      <c r="D157" s="39">
        <f>_xlfn.XLOOKUP(Table3253[[#This Row],[File Name]],'[1]Analyse 2 Detail 02-03'!A:A,'[1]Analyse 2 Detail 02-03'!R:R,"Not Found",0,1)</f>
        <v>0</v>
      </c>
      <c r="E157" s="31" t="s">
        <v>90</v>
      </c>
      <c r="F157" s="40" t="s">
        <v>37</v>
      </c>
      <c r="G157" s="41">
        <v>0</v>
      </c>
      <c r="H157" s="7" t="str">
        <f>IF($F157="unclassified","N/A",(_xlfn.XLOOKUP($E157,[1]Sheet2!$A:$A,[1]Sheet2!Q:Q,"N/A",0,1)))</f>
        <v>N/A</v>
      </c>
      <c r="I157" s="7" t="str">
        <f>IF($F157="unclassified","N/A",(_xlfn.XLOOKUP($E157,[1]Sheet2!$A:$A,[1]Sheet2!R:R,"N/A",0,1)))</f>
        <v>N/A</v>
      </c>
      <c r="J157" s="7" t="str">
        <f>IF($F157="unclassified","N/A",(_xlfn.XLOOKUP($E157,[1]Sheet2!$A:$A,[1]Sheet2!S:S,"N/A",0,1)))</f>
        <v>N/A</v>
      </c>
      <c r="K157" s="7" t="str">
        <f>IF($F157="unclassified","N/A",(_xlfn.XLOOKUP($E157,[1]Sheet2!$A:$A,[1]Sheet2!T:T,"N/A",0,1)))</f>
        <v>N/A</v>
      </c>
      <c r="L157" s="7" t="str">
        <f>IF($F157="unclassified","N/A",(_xlfn.XLOOKUP($E157,[1]Sheet2!$A:$A,[1]Sheet2!U:U,"N/A",0,1)))</f>
        <v>N/A</v>
      </c>
      <c r="M157" s="7" t="str">
        <f>IF($F157="unclassified","N/A",(_xlfn.XLOOKUP($E157,[1]Sheet2!$A:$A,[1]Sheet2!V:V,"N/A",0,1)))</f>
        <v>N/A</v>
      </c>
      <c r="N157" s="7"/>
      <c r="O157" s="7" t="str">
        <f>IF($F157="unclassified","N/A",(_xlfn.XLOOKUP($E157,[1]Sheet2!$A:$A,[1]Sheet2!W:W,"N/A",0,1)))</f>
        <v>N/A</v>
      </c>
      <c r="P157" s="7" t="str">
        <f>IF($F157="unclassified","N/A",(_xlfn.XLOOKUP($E157,[1]Sheet2!$A:$A,[1]Sheet2!X:X,"N/A",0,1)))</f>
        <v>N/A</v>
      </c>
      <c r="Q157" s="7" t="str">
        <f>IF($F157="unclassified","N/A",(_xlfn.XLOOKUP($E157,[1]Sheet2!$A:$A,[1]Sheet2!Y:Y,"N/A",0,1)))</f>
        <v>N/A</v>
      </c>
      <c r="R157" s="7" t="str">
        <f>IF($F157="unclassified","N/A",(_xlfn.XLOOKUP($E157,[1]Sheet2!$A:$A,[1]Sheet2!Z:Z,"N/A",0,1)))</f>
        <v>N/A</v>
      </c>
      <c r="S157" s="7" t="str">
        <f>IF($F157="unclassified","N/A",(_xlfn.XLOOKUP($E157,[1]Sheet2!$A:$A,[1]Sheet2!AA:AA,"N/A",0,1)))</f>
        <v>N/A</v>
      </c>
      <c r="T157" s="7" t="str">
        <f>IF($F157="unclassified","N/A",(_xlfn.XLOOKUP($E157,[1]Sheet2!$A:$A,[1]Sheet2!AB:AB,"N/A",0,1)))</f>
        <v>N/A</v>
      </c>
      <c r="U157" s="35" t="str">
        <f>IF($F157="unclassified","N/A",(AVERAGE(Table3253[[#This Row],[PO nr]:[Delivery Date]])))</f>
        <v>N/A</v>
      </c>
      <c r="V157" s="38" t="s">
        <v>91</v>
      </c>
      <c r="W157" s="38" t="s">
        <v>39</v>
      </c>
      <c r="X157" s="38"/>
      <c r="Y157" s="38"/>
      <c r="Z157" s="38"/>
    </row>
    <row r="158" spans="4:26" ht="15" customHeight="1" x14ac:dyDescent="0.3">
      <c r="D158" s="39">
        <f>_xlfn.XLOOKUP(Table3253[[#This Row],[File Name]],'[1]Analyse 2 Detail 02-03'!A:A,'[1]Analyse 2 Detail 02-03'!R:R,"Not Found",0,1)</f>
        <v>0</v>
      </c>
      <c r="E158" s="31" t="s">
        <v>90</v>
      </c>
      <c r="F158" s="40" t="s">
        <v>37</v>
      </c>
      <c r="G158" s="41">
        <v>0</v>
      </c>
      <c r="H158" s="7" t="str">
        <f>IF($F158="unclassified","N/A",(_xlfn.XLOOKUP($E158,[1]Sheet2!$A:$A,[1]Sheet2!Q:Q,"N/A",0,1)))</f>
        <v>N/A</v>
      </c>
      <c r="I158" s="7" t="str">
        <f>IF($F158="unclassified","N/A",(_xlfn.XLOOKUP($E158,[1]Sheet2!$A:$A,[1]Sheet2!R:R,"N/A",0,1)))</f>
        <v>N/A</v>
      </c>
      <c r="J158" s="7" t="str">
        <f>IF($F158="unclassified","N/A",(_xlfn.XLOOKUP($E158,[1]Sheet2!$A:$A,[1]Sheet2!S:S,"N/A",0,1)))</f>
        <v>N/A</v>
      </c>
      <c r="K158" s="7" t="str">
        <f>IF($F158="unclassified","N/A",(_xlfn.XLOOKUP($E158,[1]Sheet2!$A:$A,[1]Sheet2!T:T,"N/A",0,1)))</f>
        <v>N/A</v>
      </c>
      <c r="L158" s="7" t="str">
        <f>IF($F158="unclassified","N/A",(_xlfn.XLOOKUP($E158,[1]Sheet2!$A:$A,[1]Sheet2!U:U,"N/A",0,1)))</f>
        <v>N/A</v>
      </c>
      <c r="M158" s="7" t="str">
        <f>IF($F158="unclassified","N/A",(_xlfn.XLOOKUP($E158,[1]Sheet2!$A:$A,[1]Sheet2!V:V,"N/A",0,1)))</f>
        <v>N/A</v>
      </c>
      <c r="N158" s="7"/>
      <c r="O158" s="7" t="str">
        <f>IF($F158="unclassified","N/A",(_xlfn.XLOOKUP($E158,[1]Sheet2!$A:$A,[1]Sheet2!W:W,"N/A",0,1)))</f>
        <v>N/A</v>
      </c>
      <c r="P158" s="7" t="str">
        <f>IF($F158="unclassified","N/A",(_xlfn.XLOOKUP($E158,[1]Sheet2!$A:$A,[1]Sheet2!X:X,"N/A",0,1)))</f>
        <v>N/A</v>
      </c>
      <c r="Q158" s="7" t="str">
        <f>IF($F158="unclassified","N/A",(_xlfn.XLOOKUP($E158,[1]Sheet2!$A:$A,[1]Sheet2!Y:Y,"N/A",0,1)))</f>
        <v>N/A</v>
      </c>
      <c r="R158" s="7" t="str">
        <f>IF($F158="unclassified","N/A",(_xlfn.XLOOKUP($E158,[1]Sheet2!$A:$A,[1]Sheet2!Z:Z,"N/A",0,1)))</f>
        <v>N/A</v>
      </c>
      <c r="S158" s="7" t="str">
        <f>IF($F158="unclassified","N/A",(_xlfn.XLOOKUP($E158,[1]Sheet2!$A:$A,[1]Sheet2!AA:AA,"N/A",0,1)))</f>
        <v>N/A</v>
      </c>
      <c r="T158" s="7" t="str">
        <f>IF($F158="unclassified","N/A",(_xlfn.XLOOKUP($E158,[1]Sheet2!$A:$A,[1]Sheet2!AB:AB,"N/A",0,1)))</f>
        <v>N/A</v>
      </c>
      <c r="U158" s="35" t="str">
        <f>IF($F158="unclassified","N/A",(AVERAGE(Table3253[[#This Row],[PO nr]:[Delivery Date]])))</f>
        <v>N/A</v>
      </c>
      <c r="V158" s="38" t="s">
        <v>91</v>
      </c>
      <c r="W158" s="38" t="s">
        <v>39</v>
      </c>
      <c r="X158" s="38"/>
      <c r="Y158" s="38"/>
      <c r="Z158" s="38"/>
    </row>
    <row r="159" spans="4:26" ht="15" customHeight="1" x14ac:dyDescent="0.3">
      <c r="D159" s="39">
        <f>_xlfn.XLOOKUP(Table3253[[#This Row],[File Name]],'[1]Analyse 2 Detail 02-03'!A:A,'[1]Analyse 2 Detail 02-03'!R:R,"Not Found",0,1)</f>
        <v>0</v>
      </c>
      <c r="E159" s="31" t="s">
        <v>90</v>
      </c>
      <c r="F159" s="40" t="s">
        <v>37</v>
      </c>
      <c r="G159" s="41">
        <v>0</v>
      </c>
      <c r="H159" s="7" t="str">
        <f>IF($F159="unclassified","N/A",(_xlfn.XLOOKUP($E159,[1]Sheet2!$A:$A,[1]Sheet2!Q:Q,"N/A",0,1)))</f>
        <v>N/A</v>
      </c>
      <c r="I159" s="7" t="str">
        <f>IF($F159="unclassified","N/A",(_xlfn.XLOOKUP($E159,[1]Sheet2!$A:$A,[1]Sheet2!R:R,"N/A",0,1)))</f>
        <v>N/A</v>
      </c>
      <c r="J159" s="7" t="str">
        <f>IF($F159="unclassified","N/A",(_xlfn.XLOOKUP($E159,[1]Sheet2!$A:$A,[1]Sheet2!S:S,"N/A",0,1)))</f>
        <v>N/A</v>
      </c>
      <c r="K159" s="7" t="str">
        <f>IF($F159="unclassified","N/A",(_xlfn.XLOOKUP($E159,[1]Sheet2!$A:$A,[1]Sheet2!T:T,"N/A",0,1)))</f>
        <v>N/A</v>
      </c>
      <c r="L159" s="7" t="str">
        <f>IF($F159="unclassified","N/A",(_xlfn.XLOOKUP($E159,[1]Sheet2!$A:$A,[1]Sheet2!U:U,"N/A",0,1)))</f>
        <v>N/A</v>
      </c>
      <c r="M159" s="7" t="str">
        <f>IF($F159="unclassified","N/A",(_xlfn.XLOOKUP($E159,[1]Sheet2!$A:$A,[1]Sheet2!V:V,"N/A",0,1)))</f>
        <v>N/A</v>
      </c>
      <c r="N159" s="7"/>
      <c r="O159" s="7" t="str">
        <f>IF($F159="unclassified","N/A",(_xlfn.XLOOKUP($E159,[1]Sheet2!$A:$A,[1]Sheet2!W:W,"N/A",0,1)))</f>
        <v>N/A</v>
      </c>
      <c r="P159" s="7" t="str">
        <f>IF($F159="unclassified","N/A",(_xlfn.XLOOKUP($E159,[1]Sheet2!$A:$A,[1]Sheet2!X:X,"N/A",0,1)))</f>
        <v>N/A</v>
      </c>
      <c r="Q159" s="7" t="str">
        <f>IF($F159="unclassified","N/A",(_xlfn.XLOOKUP($E159,[1]Sheet2!$A:$A,[1]Sheet2!Y:Y,"N/A",0,1)))</f>
        <v>N/A</v>
      </c>
      <c r="R159" s="7" t="str">
        <f>IF($F159="unclassified","N/A",(_xlfn.XLOOKUP($E159,[1]Sheet2!$A:$A,[1]Sheet2!Z:Z,"N/A",0,1)))</f>
        <v>N/A</v>
      </c>
      <c r="S159" s="7" t="str">
        <f>IF($F159="unclassified","N/A",(_xlfn.XLOOKUP($E159,[1]Sheet2!$A:$A,[1]Sheet2!AA:AA,"N/A",0,1)))</f>
        <v>N/A</v>
      </c>
      <c r="T159" s="7" t="str">
        <f>IF($F159="unclassified","N/A",(_xlfn.XLOOKUP($E159,[1]Sheet2!$A:$A,[1]Sheet2!AB:AB,"N/A",0,1)))</f>
        <v>N/A</v>
      </c>
      <c r="U159" s="35" t="str">
        <f>IF($F159="unclassified","N/A",(AVERAGE(Table3253[[#This Row],[PO nr]:[Delivery Date]])))</f>
        <v>N/A</v>
      </c>
      <c r="V159" s="38" t="s">
        <v>91</v>
      </c>
      <c r="W159" s="38" t="s">
        <v>39</v>
      </c>
      <c r="X159" s="38"/>
      <c r="Y159" s="38"/>
      <c r="Z159" s="38"/>
    </row>
    <row r="160" spans="4:26" ht="15" customHeight="1" x14ac:dyDescent="0.3">
      <c r="D160" s="39">
        <f>_xlfn.XLOOKUP(Table3253[[#This Row],[File Name]],'[1]Analyse 2 Detail 02-03'!A:A,'[1]Analyse 2 Detail 02-03'!R:R,"Not Found",0,1)</f>
        <v>0</v>
      </c>
      <c r="E160" s="31" t="s">
        <v>92</v>
      </c>
      <c r="F160" s="40" t="s">
        <v>37</v>
      </c>
      <c r="G160" s="41">
        <v>0</v>
      </c>
      <c r="H160" s="7" t="str">
        <f>IF($F160="unclassified","N/A",(_xlfn.XLOOKUP($E160,[1]Sheet2!$A:$A,[1]Sheet2!Q:Q,"N/A",0,1)))</f>
        <v>N/A</v>
      </c>
      <c r="I160" s="7" t="str">
        <f>IF($F160="unclassified","N/A",(_xlfn.XLOOKUP($E160,[1]Sheet2!$A:$A,[1]Sheet2!R:R,"N/A",0,1)))</f>
        <v>N/A</v>
      </c>
      <c r="J160" s="7" t="str">
        <f>IF($F160="unclassified","N/A",(_xlfn.XLOOKUP($E160,[1]Sheet2!$A:$A,[1]Sheet2!S:S,"N/A",0,1)))</f>
        <v>N/A</v>
      </c>
      <c r="K160" s="7" t="str">
        <f>IF($F160="unclassified","N/A",(_xlfn.XLOOKUP($E160,[1]Sheet2!$A:$A,[1]Sheet2!T:T,"N/A",0,1)))</f>
        <v>N/A</v>
      </c>
      <c r="L160" s="7" t="str">
        <f>IF($F160="unclassified","N/A",(_xlfn.XLOOKUP($E160,[1]Sheet2!$A:$A,[1]Sheet2!U:U,"N/A",0,1)))</f>
        <v>N/A</v>
      </c>
      <c r="M160" s="7" t="str">
        <f>IF($F160="unclassified","N/A",(_xlfn.XLOOKUP($E160,[1]Sheet2!$A:$A,[1]Sheet2!V:V,"N/A",0,1)))</f>
        <v>N/A</v>
      </c>
      <c r="N160" s="7"/>
      <c r="O160" s="7" t="str">
        <f>IF($F160="unclassified","N/A",(_xlfn.XLOOKUP($E160,[1]Sheet2!$A:$A,[1]Sheet2!W:W,"N/A",0,1)))</f>
        <v>N/A</v>
      </c>
      <c r="P160" s="7" t="str">
        <f>IF($F160="unclassified","N/A",(_xlfn.XLOOKUP($E160,[1]Sheet2!$A:$A,[1]Sheet2!X:X,"N/A",0,1)))</f>
        <v>N/A</v>
      </c>
      <c r="Q160" s="7" t="str">
        <f>IF($F160="unclassified","N/A",(_xlfn.XLOOKUP($E160,[1]Sheet2!$A:$A,[1]Sheet2!Y:Y,"N/A",0,1)))</f>
        <v>N/A</v>
      </c>
      <c r="R160" s="7" t="str">
        <f>IF($F160="unclassified","N/A",(_xlfn.XLOOKUP($E160,[1]Sheet2!$A:$A,[1]Sheet2!Z:Z,"N/A",0,1)))</f>
        <v>N/A</v>
      </c>
      <c r="S160" s="7" t="str">
        <f>IF($F160="unclassified","N/A",(_xlfn.XLOOKUP($E160,[1]Sheet2!$A:$A,[1]Sheet2!AA:AA,"N/A",0,1)))</f>
        <v>N/A</v>
      </c>
      <c r="T160" s="7" t="str">
        <f>IF($F160="unclassified","N/A",(_xlfn.XLOOKUP($E160,[1]Sheet2!$A:$A,[1]Sheet2!AB:AB,"N/A",0,1)))</f>
        <v>N/A</v>
      </c>
      <c r="U160" s="35" t="str">
        <f>IF($F160="unclassified","N/A",(AVERAGE(Table3253[[#This Row],[PO nr]:[Delivery Date]])))</f>
        <v>N/A</v>
      </c>
      <c r="V160" s="38" t="s">
        <v>93</v>
      </c>
      <c r="W160" s="38" t="s">
        <v>39</v>
      </c>
      <c r="X160" s="38"/>
      <c r="Y160" s="38"/>
      <c r="Z160" s="38"/>
    </row>
    <row r="161" spans="4:26" ht="15" customHeight="1" x14ac:dyDescent="0.3">
      <c r="D161" s="39">
        <f>_xlfn.XLOOKUP(Table3253[[#This Row],[File Name]],'[1]Analyse 2 Detail 02-03'!A:A,'[1]Analyse 2 Detail 02-03'!R:R,"Not Found",0,1)</f>
        <v>0</v>
      </c>
      <c r="E161" s="31" t="s">
        <v>92</v>
      </c>
      <c r="F161" s="40" t="s">
        <v>37</v>
      </c>
      <c r="G161" s="41">
        <v>0</v>
      </c>
      <c r="H161" s="7" t="str">
        <f>IF($F161="unclassified","N/A",(_xlfn.XLOOKUP($E161,[1]Sheet2!$A:$A,[1]Sheet2!Q:Q,"N/A",0,1)))</f>
        <v>N/A</v>
      </c>
      <c r="I161" s="7" t="str">
        <f>IF($F161="unclassified","N/A",(_xlfn.XLOOKUP($E161,[1]Sheet2!$A:$A,[1]Sheet2!R:R,"N/A",0,1)))</f>
        <v>N/A</v>
      </c>
      <c r="J161" s="7" t="str">
        <f>IF($F161="unclassified","N/A",(_xlfn.XLOOKUP($E161,[1]Sheet2!$A:$A,[1]Sheet2!S:S,"N/A",0,1)))</f>
        <v>N/A</v>
      </c>
      <c r="K161" s="7" t="str">
        <f>IF($F161="unclassified","N/A",(_xlfn.XLOOKUP($E161,[1]Sheet2!$A:$A,[1]Sheet2!T:T,"N/A",0,1)))</f>
        <v>N/A</v>
      </c>
      <c r="L161" s="7" t="str">
        <f>IF($F161="unclassified","N/A",(_xlfn.XLOOKUP($E161,[1]Sheet2!$A:$A,[1]Sheet2!U:U,"N/A",0,1)))</f>
        <v>N/A</v>
      </c>
      <c r="M161" s="7" t="str">
        <f>IF($F161="unclassified","N/A",(_xlfn.XLOOKUP($E161,[1]Sheet2!$A:$A,[1]Sheet2!V:V,"N/A",0,1)))</f>
        <v>N/A</v>
      </c>
      <c r="N161" s="7"/>
      <c r="O161" s="7" t="str">
        <f>IF($F161="unclassified","N/A",(_xlfn.XLOOKUP($E161,[1]Sheet2!$A:$A,[1]Sheet2!W:W,"N/A",0,1)))</f>
        <v>N/A</v>
      </c>
      <c r="P161" s="7" t="str">
        <f>IF($F161="unclassified","N/A",(_xlfn.XLOOKUP($E161,[1]Sheet2!$A:$A,[1]Sheet2!X:X,"N/A",0,1)))</f>
        <v>N/A</v>
      </c>
      <c r="Q161" s="7" t="str">
        <f>IF($F161="unclassified","N/A",(_xlfn.XLOOKUP($E161,[1]Sheet2!$A:$A,[1]Sheet2!Y:Y,"N/A",0,1)))</f>
        <v>N/A</v>
      </c>
      <c r="R161" s="7" t="str">
        <f>IF($F161="unclassified","N/A",(_xlfn.XLOOKUP($E161,[1]Sheet2!$A:$A,[1]Sheet2!Z:Z,"N/A",0,1)))</f>
        <v>N/A</v>
      </c>
      <c r="S161" s="7" t="str">
        <f>IF($F161="unclassified","N/A",(_xlfn.XLOOKUP($E161,[1]Sheet2!$A:$A,[1]Sheet2!AA:AA,"N/A",0,1)))</f>
        <v>N/A</v>
      </c>
      <c r="T161" s="7" t="str">
        <f>IF($F161="unclassified","N/A",(_xlfn.XLOOKUP($E161,[1]Sheet2!$A:$A,[1]Sheet2!AB:AB,"N/A",0,1)))</f>
        <v>N/A</v>
      </c>
      <c r="U161" s="35" t="str">
        <f>IF($F161="unclassified","N/A",(AVERAGE(Table3253[[#This Row],[PO nr]:[Delivery Date]])))</f>
        <v>N/A</v>
      </c>
      <c r="V161" s="38" t="s">
        <v>93</v>
      </c>
      <c r="W161" s="38" t="s">
        <v>39</v>
      </c>
      <c r="X161" s="38"/>
      <c r="Y161" s="38"/>
      <c r="Z161" s="38"/>
    </row>
    <row r="162" spans="4:26" ht="15" customHeight="1" x14ac:dyDescent="0.3">
      <c r="D162" s="39">
        <f>_xlfn.XLOOKUP(Table3253[[#This Row],[File Name]],'[1]Analyse 2 Detail 02-03'!A:A,'[1]Analyse 2 Detail 02-03'!R:R,"Not Found",0,1)</f>
        <v>0</v>
      </c>
      <c r="E162" s="31" t="s">
        <v>94</v>
      </c>
      <c r="F162" s="40" t="s">
        <v>37</v>
      </c>
      <c r="G162" s="41">
        <v>0</v>
      </c>
      <c r="H162" s="7" t="str">
        <f>IF($F162="unclassified","N/A",(_xlfn.XLOOKUP($E162,[1]Sheet2!$A:$A,[1]Sheet2!Q:Q,"N/A",0,1)))</f>
        <v>N/A</v>
      </c>
      <c r="I162" s="7" t="str">
        <f>IF($F162="unclassified","N/A",(_xlfn.XLOOKUP($E162,[1]Sheet2!$A:$A,[1]Sheet2!R:R,"N/A",0,1)))</f>
        <v>N/A</v>
      </c>
      <c r="J162" s="7" t="str">
        <f>IF($F162="unclassified","N/A",(_xlfn.XLOOKUP($E162,[1]Sheet2!$A:$A,[1]Sheet2!S:S,"N/A",0,1)))</f>
        <v>N/A</v>
      </c>
      <c r="K162" s="7" t="str">
        <f>IF($F162="unclassified","N/A",(_xlfn.XLOOKUP($E162,[1]Sheet2!$A:$A,[1]Sheet2!T:T,"N/A",0,1)))</f>
        <v>N/A</v>
      </c>
      <c r="L162" s="7" t="str">
        <f>IF($F162="unclassified","N/A",(_xlfn.XLOOKUP($E162,[1]Sheet2!$A:$A,[1]Sheet2!U:U,"N/A",0,1)))</f>
        <v>N/A</v>
      </c>
      <c r="M162" s="7" t="str">
        <f>IF($F162="unclassified","N/A",(_xlfn.XLOOKUP($E162,[1]Sheet2!$A:$A,[1]Sheet2!V:V,"N/A",0,1)))</f>
        <v>N/A</v>
      </c>
      <c r="N162" s="7"/>
      <c r="O162" s="7" t="str">
        <f>IF($F162="unclassified","N/A",(_xlfn.XLOOKUP($E162,[1]Sheet2!$A:$A,[1]Sheet2!W:W,"N/A",0,1)))</f>
        <v>N/A</v>
      </c>
      <c r="P162" s="7" t="str">
        <f>IF($F162="unclassified","N/A",(_xlfn.XLOOKUP($E162,[1]Sheet2!$A:$A,[1]Sheet2!X:X,"N/A",0,1)))</f>
        <v>N/A</v>
      </c>
      <c r="Q162" s="7" t="str">
        <f>IF($F162="unclassified","N/A",(_xlfn.XLOOKUP($E162,[1]Sheet2!$A:$A,[1]Sheet2!Y:Y,"N/A",0,1)))</f>
        <v>N/A</v>
      </c>
      <c r="R162" s="7" t="str">
        <f>IF($F162="unclassified","N/A",(_xlfn.XLOOKUP($E162,[1]Sheet2!$A:$A,[1]Sheet2!Z:Z,"N/A",0,1)))</f>
        <v>N/A</v>
      </c>
      <c r="S162" s="7" t="str">
        <f>IF($F162="unclassified","N/A",(_xlfn.XLOOKUP($E162,[1]Sheet2!$A:$A,[1]Sheet2!AA:AA,"N/A",0,1)))</f>
        <v>N/A</v>
      </c>
      <c r="T162" s="7" t="str">
        <f>IF($F162="unclassified","N/A",(_xlfn.XLOOKUP($E162,[1]Sheet2!$A:$A,[1]Sheet2!AB:AB,"N/A",0,1)))</f>
        <v>N/A</v>
      </c>
      <c r="U162" s="35" t="str">
        <f>IF($F162="unclassified","N/A",(AVERAGE(Table3253[[#This Row],[PO nr]:[Delivery Date]])))</f>
        <v>N/A</v>
      </c>
      <c r="V162" s="38" t="s">
        <v>95</v>
      </c>
      <c r="W162" s="38" t="s">
        <v>39</v>
      </c>
      <c r="X162" s="38"/>
      <c r="Y162" s="38"/>
      <c r="Z162" s="38"/>
    </row>
    <row r="163" spans="4:26" ht="15" customHeight="1" x14ac:dyDescent="0.3">
      <c r="D163" s="39" t="str">
        <f>_xlfn.XLOOKUP(Table3253[[#This Row],[File Name]],'[1]Analyse 2 Detail 02-03'!A:A,'[1]Analyse 2 Detail 02-03'!R:R,"Not Found",0,1)</f>
        <v>Lyreco Belgium SA/NV</v>
      </c>
      <c r="E163" s="31" t="s">
        <v>96</v>
      </c>
      <c r="F163" s="40" t="s">
        <v>31</v>
      </c>
      <c r="G163" s="41">
        <v>2</v>
      </c>
      <c r="H163" s="7">
        <f>IF($F163="unclassified","N/A",(_xlfn.XLOOKUP($E163,[1]Sheet2!$A:$A,[1]Sheet2!Q:Q,"N/A",0,1)))</f>
        <v>1</v>
      </c>
      <c r="I163" s="7">
        <f>IF($F163="unclassified","N/A",(_xlfn.XLOOKUP($E163,[1]Sheet2!$A:$A,[1]Sheet2!R:R,"N/A",0,1)))</f>
        <v>1</v>
      </c>
      <c r="J163" s="7">
        <f>IF($F163="unclassified","N/A",(_xlfn.XLOOKUP($E163,[1]Sheet2!$A:$A,[1]Sheet2!S:S,"N/A",0,1)))</f>
        <v>1</v>
      </c>
      <c r="K163" s="7">
        <f>IF($F163="unclassified","N/A",(_xlfn.XLOOKUP($E163,[1]Sheet2!$A:$A,[1]Sheet2!T:T,"N/A",0,1)))</f>
        <v>1</v>
      </c>
      <c r="L163" s="7">
        <f>IF($F163="unclassified","N/A",(_xlfn.XLOOKUP($E163,[1]Sheet2!$A:$A,[1]Sheet2!U:U,"N/A",0,1)))</f>
        <v>1</v>
      </c>
      <c r="M163" s="7">
        <f>IF($F163="unclassified","N/A",(_xlfn.XLOOKUP($E163,[1]Sheet2!$A:$A,[1]Sheet2!V:V,"N/A",0,1)))</f>
        <v>1</v>
      </c>
      <c r="N163" s="7"/>
      <c r="O163" s="7">
        <f>IF($F163="unclassified","N/A",(_xlfn.XLOOKUP($E163,[1]Sheet2!$A:$A,[1]Sheet2!W:W,"N/A",0,1)))</f>
        <v>1</v>
      </c>
      <c r="P163" s="7">
        <f>IF($F163="unclassified","N/A",(_xlfn.XLOOKUP($E163,[1]Sheet2!$A:$A,[1]Sheet2!X:X,"N/A",0,1)))</f>
        <v>1</v>
      </c>
      <c r="Q163" s="7">
        <f>IF($F163="unclassified","N/A",(_xlfn.XLOOKUP($E163,[1]Sheet2!$A:$A,[1]Sheet2!Y:Y,"N/A",0,1)))</f>
        <v>1</v>
      </c>
      <c r="R163" s="7">
        <v>1</v>
      </c>
      <c r="S163" s="7">
        <f>IF($F163="unclassified","N/A",(_xlfn.XLOOKUP($E163,[1]Sheet2!$A:$A,[1]Sheet2!AA:AA,"N/A",0,1)))</f>
        <v>1</v>
      </c>
      <c r="T163" s="7">
        <v>1</v>
      </c>
      <c r="U163" s="35">
        <f>IF($F163="unclassified","N/A",(AVERAGE(Table3253[[#This Row],[PO nr]:[Delivery Date]])))</f>
        <v>1</v>
      </c>
      <c r="V163" s="38" t="s">
        <v>97</v>
      </c>
      <c r="W163" s="38"/>
      <c r="X163" s="38"/>
      <c r="Y163" s="38"/>
      <c r="Z163" s="38"/>
    </row>
    <row r="164" spans="4:26" ht="15" customHeight="1" x14ac:dyDescent="0.3">
      <c r="D164" s="39" t="str">
        <f>_xlfn.XLOOKUP(Table3253[[#This Row],[File Name]],'[1]Analyse 2 Detail 02-03'!A:A,'[1]Analyse 2 Detail 02-03'!R:R,"Not Found",0,1)</f>
        <v>Lyreco Belgium SA/NV</v>
      </c>
      <c r="E164" s="31" t="s">
        <v>98</v>
      </c>
      <c r="F164" s="40" t="s">
        <v>31</v>
      </c>
      <c r="G164" s="41">
        <v>2</v>
      </c>
      <c r="H164" s="7">
        <f>IF($F164="unclassified","N/A",(_xlfn.XLOOKUP($E164,[1]Sheet2!$A:$A,[1]Sheet2!Q:Q,"N/A",0,1)))</f>
        <v>1</v>
      </c>
      <c r="I164" s="7">
        <f>IF($F164="unclassified","N/A",(_xlfn.XLOOKUP($E164,[1]Sheet2!$A:$A,[1]Sheet2!R:R,"N/A",0,1)))</f>
        <v>1</v>
      </c>
      <c r="J164" s="7">
        <f>IF($F164="unclassified","N/A",(_xlfn.XLOOKUP($E164,[1]Sheet2!$A:$A,[1]Sheet2!S:S,"N/A",0,1)))</f>
        <v>1</v>
      </c>
      <c r="K164" s="7">
        <f>IF($F164="unclassified","N/A",(_xlfn.XLOOKUP($E164,[1]Sheet2!$A:$A,[1]Sheet2!T:T,"N/A",0,1)))</f>
        <v>1</v>
      </c>
      <c r="L164" s="7">
        <f>IF($F164="unclassified","N/A",(_xlfn.XLOOKUP($E164,[1]Sheet2!$A:$A,[1]Sheet2!U:U,"N/A",0,1)))</f>
        <v>1</v>
      </c>
      <c r="M164" s="7">
        <f>IF($F164="unclassified","N/A",(_xlfn.XLOOKUP($E164,[1]Sheet2!$A:$A,[1]Sheet2!V:V,"N/A",0,1)))</f>
        <v>1</v>
      </c>
      <c r="N164" s="7"/>
      <c r="O164" s="7">
        <f>IF($F164="unclassified","N/A",(_xlfn.XLOOKUP($E164,[1]Sheet2!$A:$A,[1]Sheet2!W:W,"N/A",0,1)))</f>
        <v>1</v>
      </c>
      <c r="P164" s="7">
        <f>IF($F164="unclassified","N/A",(_xlfn.XLOOKUP($E164,[1]Sheet2!$A:$A,[1]Sheet2!X:X,"N/A",0,1)))</f>
        <v>1</v>
      </c>
      <c r="Q164" s="7">
        <f>IF($F164="unclassified","N/A",(_xlfn.XLOOKUP($E164,[1]Sheet2!$A:$A,[1]Sheet2!Y:Y,"N/A",0,1)))</f>
        <v>1</v>
      </c>
      <c r="R164" s="7">
        <v>1</v>
      </c>
      <c r="S164" s="7">
        <f>IF($F164="unclassified","N/A",(_xlfn.XLOOKUP($E164,[1]Sheet2!$A:$A,[1]Sheet2!AA:AA,"N/A",0,1)))</f>
        <v>1</v>
      </c>
      <c r="T164" s="7">
        <v>1</v>
      </c>
      <c r="U164" s="35">
        <f>IF($F164="unclassified","N/A",(AVERAGE(Table3253[[#This Row],[PO nr]:[Delivery Date]])))</f>
        <v>1</v>
      </c>
      <c r="V164" s="38" t="s">
        <v>97</v>
      </c>
      <c r="W164" s="38"/>
      <c r="X164" s="38"/>
      <c r="Y164" s="38"/>
      <c r="Z164" s="38"/>
    </row>
    <row r="165" spans="4:26" ht="15" customHeight="1" x14ac:dyDescent="0.3">
      <c r="D165" s="39" t="str">
        <f>_xlfn.XLOOKUP(Table3253[[#This Row],[File Name]],'[1]Analyse 2 Detail 02-03'!A:A,'[1]Analyse 2 Detail 02-03'!R:R,"Not Found",0,1)</f>
        <v>Lyreco Belgium SA/NV</v>
      </c>
      <c r="E165" s="31" t="s">
        <v>99</v>
      </c>
      <c r="F165" s="40" t="s">
        <v>31</v>
      </c>
      <c r="G165" s="41">
        <v>2</v>
      </c>
      <c r="H165" s="7">
        <f>IF($F165="unclassified","N/A",(_xlfn.XLOOKUP($E165,[1]Sheet2!$A:$A,[1]Sheet2!Q:Q,"N/A",0,1)))</f>
        <v>1</v>
      </c>
      <c r="I165" s="7">
        <f>IF($F165="unclassified","N/A",(_xlfn.XLOOKUP($E165,[1]Sheet2!$A:$A,[1]Sheet2!R:R,"N/A",0,1)))</f>
        <v>1</v>
      </c>
      <c r="J165" s="7">
        <f>IF($F165="unclassified","N/A",(_xlfn.XLOOKUP($E165,[1]Sheet2!$A:$A,[1]Sheet2!S:S,"N/A",0,1)))</f>
        <v>1</v>
      </c>
      <c r="K165" s="7">
        <f>IF($F165="unclassified","N/A",(_xlfn.XLOOKUP($E165,[1]Sheet2!$A:$A,[1]Sheet2!T:T,"N/A",0,1)))</f>
        <v>1</v>
      </c>
      <c r="L165" s="7">
        <f>IF($F165="unclassified","N/A",(_xlfn.XLOOKUP($E165,[1]Sheet2!$A:$A,[1]Sheet2!U:U,"N/A",0,1)))</f>
        <v>1</v>
      </c>
      <c r="M165" s="7">
        <f>IF($F165="unclassified","N/A",(_xlfn.XLOOKUP($E165,[1]Sheet2!$A:$A,[1]Sheet2!V:V,"N/A",0,1)))</f>
        <v>1</v>
      </c>
      <c r="N165" s="7"/>
      <c r="O165" s="7">
        <f>IF($F165="unclassified","N/A",(_xlfn.XLOOKUP($E165,[1]Sheet2!$A:$A,[1]Sheet2!W:W,"N/A",0,1)))</f>
        <v>1</v>
      </c>
      <c r="P165" s="7">
        <f>IF($F165="unclassified","N/A",(_xlfn.XLOOKUP($E165,[1]Sheet2!$A:$A,[1]Sheet2!X:X,"N/A",0,1)))</f>
        <v>1</v>
      </c>
      <c r="Q165" s="7">
        <f>IF($F165="unclassified","N/A",(_xlfn.XLOOKUP($E165,[1]Sheet2!$A:$A,[1]Sheet2!Y:Y,"N/A",0,1)))</f>
        <v>1</v>
      </c>
      <c r="R165" s="7">
        <v>1</v>
      </c>
      <c r="S165" s="7">
        <f>IF($F165="unclassified","N/A",(_xlfn.XLOOKUP($E165,[1]Sheet2!$A:$A,[1]Sheet2!AA:AA,"N/A",0,1)))</f>
        <v>1</v>
      </c>
      <c r="T165" s="7">
        <v>1</v>
      </c>
      <c r="U165" s="35">
        <f>IF($F165="unclassified","N/A",(AVERAGE(Table3253[[#This Row],[PO nr]:[Delivery Date]])))</f>
        <v>1</v>
      </c>
      <c r="V165" s="38" t="s">
        <v>97</v>
      </c>
      <c r="W165" s="38"/>
      <c r="X165" s="38"/>
      <c r="Y165" s="38"/>
      <c r="Z165" s="38"/>
    </row>
    <row r="166" spans="4:26" ht="15" customHeight="1" x14ac:dyDescent="0.3">
      <c r="D166" s="39" t="str">
        <f>_xlfn.XLOOKUP(Table3253[[#This Row],[File Name]],'[1]Analyse 2 Detail 02-03'!A:A,'[1]Analyse 2 Detail 02-03'!R:R,"Not Found",0,1)</f>
        <v>Mediq Nederland B.V.</v>
      </c>
      <c r="E166" s="31" t="s">
        <v>100</v>
      </c>
      <c r="F166" s="40" t="s">
        <v>31</v>
      </c>
      <c r="G166" s="41">
        <v>0</v>
      </c>
      <c r="H166" s="7">
        <f>IF($F166="unclassified","N/A",(_xlfn.XLOOKUP($E166,[1]Sheet2!$A:$A,[1]Sheet2!Q:Q,"N/A",0,1)))</f>
        <v>1</v>
      </c>
      <c r="I166" s="7">
        <f>IF($F166="unclassified","N/A",(_xlfn.XLOOKUP($E166,[1]Sheet2!$A:$A,[1]Sheet2!R:R,"N/A",0,1)))</f>
        <v>1</v>
      </c>
      <c r="J166" s="7">
        <f>IF($F166="unclassified","N/A",(_xlfn.XLOOKUP($E166,[1]Sheet2!$A:$A,[1]Sheet2!S:S,"N/A",0,1)))</f>
        <v>1</v>
      </c>
      <c r="K166" s="7">
        <f>IF($F166="unclassified","N/A",(_xlfn.XLOOKUP($E166,[1]Sheet2!$A:$A,[1]Sheet2!T:T,"N/A",0,1)))</f>
        <v>1</v>
      </c>
      <c r="L166" s="7">
        <f>IF($F166="unclassified","N/A",(_xlfn.XLOOKUP($E166,[1]Sheet2!$A:$A,[1]Sheet2!U:U,"N/A",0,1)))</f>
        <v>1</v>
      </c>
      <c r="M166" s="7">
        <f>IF($F166="unclassified","N/A",(_xlfn.XLOOKUP($E166,[1]Sheet2!$A:$A,[1]Sheet2!V:V,"N/A",0,1)))</f>
        <v>1</v>
      </c>
      <c r="N166" s="7"/>
      <c r="O166" s="7">
        <f>IF($F166="unclassified","N/A",(_xlfn.XLOOKUP($E166,[1]Sheet2!$A:$A,[1]Sheet2!W:W,"N/A",0,1)))</f>
        <v>1</v>
      </c>
      <c r="P166" s="7">
        <f>IF($F166="unclassified","N/A",(_xlfn.XLOOKUP($E166,[1]Sheet2!$A:$A,[1]Sheet2!X:X,"N/A",0,1)))</f>
        <v>1</v>
      </c>
      <c r="Q166" s="7">
        <f>IF($F166="unclassified","N/A",(_xlfn.XLOOKUP($E166,[1]Sheet2!$A:$A,[1]Sheet2!Y:Y,"N/A",0,1)))</f>
        <v>1</v>
      </c>
      <c r="R166" s="7">
        <f>IF($F166="unclassified","N/A",(_xlfn.XLOOKUP($E166,[1]Sheet2!$A:$A,[1]Sheet2!Z:Z,"N/A",0,1)))</f>
        <v>1</v>
      </c>
      <c r="S166" s="7">
        <f>IF($F166="unclassified","N/A",(_xlfn.XLOOKUP($E166,[1]Sheet2!$A:$A,[1]Sheet2!AA:AA,"N/A",0,1)))</f>
        <v>1</v>
      </c>
      <c r="T166" s="7">
        <f>IF($F166="unclassified","N/A",(_xlfn.XLOOKUP($E166,[1]Sheet2!$A:$A,[1]Sheet2!AB:AB,"N/A",0,1)))</f>
        <v>1</v>
      </c>
      <c r="U166" s="35">
        <f>IF($F166="unclassified","N/A",(AVERAGE(Table3253[[#This Row],[PO nr]:[Delivery Date]])))</f>
        <v>1</v>
      </c>
      <c r="V166" s="38"/>
      <c r="W166" s="38"/>
      <c r="X166" s="38"/>
      <c r="Y166" s="38"/>
      <c r="Z166" s="38"/>
    </row>
    <row r="167" spans="4:26" ht="15" customHeight="1" x14ac:dyDescent="0.3">
      <c r="D167" s="39" t="str">
        <f>_xlfn.XLOOKUP(Table3253[[#This Row],[File Name]],'[1]Analyse 2 Detail 02-03'!A:A,'[1]Analyse 2 Detail 02-03'!R:R,"Not Found",0,1)</f>
        <v>Mediq Nederland B.V.</v>
      </c>
      <c r="E167" s="31" t="s">
        <v>101</v>
      </c>
      <c r="F167" s="40" t="s">
        <v>31</v>
      </c>
      <c r="G167" s="41">
        <v>0</v>
      </c>
      <c r="H167" s="7">
        <f>IF($F167="unclassified","N/A",(_xlfn.XLOOKUP($E167,[1]Sheet2!$A:$A,[1]Sheet2!Q:Q,"N/A",0,1)))</f>
        <v>1</v>
      </c>
      <c r="I167" s="7">
        <f>IF($F167="unclassified","N/A",(_xlfn.XLOOKUP($E167,[1]Sheet2!$A:$A,[1]Sheet2!R:R,"N/A",0,1)))</f>
        <v>1</v>
      </c>
      <c r="J167" s="7">
        <f>IF($F167="unclassified","N/A",(_xlfn.XLOOKUP($E167,[1]Sheet2!$A:$A,[1]Sheet2!S:S,"N/A",0,1)))</f>
        <v>1</v>
      </c>
      <c r="K167" s="7">
        <f>IF($F167="unclassified","N/A",(_xlfn.XLOOKUP($E167,[1]Sheet2!$A:$A,[1]Sheet2!T:T,"N/A",0,1)))</f>
        <v>1</v>
      </c>
      <c r="L167" s="7">
        <f>IF($F167="unclassified","N/A",(_xlfn.XLOOKUP($E167,[1]Sheet2!$A:$A,[1]Sheet2!U:U,"N/A",0,1)))</f>
        <v>1</v>
      </c>
      <c r="M167" s="7">
        <f>IF($F167="unclassified","N/A",(_xlfn.XLOOKUP($E167,[1]Sheet2!$A:$A,[1]Sheet2!V:V,"N/A",0,1)))</f>
        <v>1</v>
      </c>
      <c r="N167" s="7"/>
      <c r="O167" s="7">
        <f>IF($F167="unclassified","N/A",(_xlfn.XLOOKUP($E167,[1]Sheet2!$A:$A,[1]Sheet2!W:W,"N/A",0,1)))</f>
        <v>1</v>
      </c>
      <c r="P167" s="7">
        <f>IF($F167="unclassified","N/A",(_xlfn.XLOOKUP($E167,[1]Sheet2!$A:$A,[1]Sheet2!X:X,"N/A",0,1)))</f>
        <v>1</v>
      </c>
      <c r="Q167" s="7">
        <f>IF($F167="unclassified","N/A",(_xlfn.XLOOKUP($E167,[1]Sheet2!$A:$A,[1]Sheet2!Y:Y,"N/A",0,1)))</f>
        <v>1</v>
      </c>
      <c r="R167" s="7">
        <f>IF($F167="unclassified","N/A",(_xlfn.XLOOKUP($E167,[1]Sheet2!$A:$A,[1]Sheet2!Z:Z,"N/A",0,1)))</f>
        <v>1</v>
      </c>
      <c r="S167" s="7">
        <f>IF($F167="unclassified","N/A",(_xlfn.XLOOKUP($E167,[1]Sheet2!$A:$A,[1]Sheet2!AA:AA,"N/A",0,1)))</f>
        <v>1</v>
      </c>
      <c r="T167" s="7">
        <f>IF($F167="unclassified","N/A",(_xlfn.XLOOKUP($E167,[1]Sheet2!$A:$A,[1]Sheet2!AB:AB,"N/A",0,1)))</f>
        <v>1</v>
      </c>
      <c r="U167" s="35">
        <f>IF($F167="unclassified","N/A",(AVERAGE(Table3253[[#This Row],[PO nr]:[Delivery Date]])))</f>
        <v>1</v>
      </c>
      <c r="V167" s="38"/>
      <c r="W167" s="38"/>
      <c r="X167" s="38"/>
      <c r="Y167" s="38"/>
      <c r="Z167" s="38"/>
    </row>
    <row r="168" spans="4:26" ht="15" customHeight="1" x14ac:dyDescent="0.3">
      <c r="D168" s="39">
        <f>_xlfn.XLOOKUP(Table3253[[#This Row],[File Name]],'[1]Analyse 2 Detail 02-03'!A:A,'[1]Analyse 2 Detail 02-03'!R:R,"Not Found",0,1)</f>
        <v>0</v>
      </c>
      <c r="E168" s="31" t="s">
        <v>102</v>
      </c>
      <c r="F168" s="40" t="s">
        <v>37</v>
      </c>
      <c r="G168" s="41">
        <v>0</v>
      </c>
      <c r="H168" s="7" t="str">
        <f>IF($F168="unclassified","N/A",(_xlfn.XLOOKUP($E168,[1]Sheet2!$A:$A,[1]Sheet2!Q:Q,"N/A",0,1)))</f>
        <v>N/A</v>
      </c>
      <c r="I168" s="7" t="str">
        <f>IF($F168="unclassified","N/A",(_xlfn.XLOOKUP($E168,[1]Sheet2!$A:$A,[1]Sheet2!R:R,"N/A",0,1)))</f>
        <v>N/A</v>
      </c>
      <c r="J168" s="7" t="str">
        <f>IF($F168="unclassified","N/A",(_xlfn.XLOOKUP($E168,[1]Sheet2!$A:$A,[1]Sheet2!S:S,"N/A",0,1)))</f>
        <v>N/A</v>
      </c>
      <c r="K168" s="7" t="str">
        <f>IF($F168="unclassified","N/A",(_xlfn.XLOOKUP($E168,[1]Sheet2!$A:$A,[1]Sheet2!T:T,"N/A",0,1)))</f>
        <v>N/A</v>
      </c>
      <c r="L168" s="7" t="str">
        <f>IF($F168="unclassified","N/A",(_xlfn.XLOOKUP($E168,[1]Sheet2!$A:$A,[1]Sheet2!U:U,"N/A",0,1)))</f>
        <v>N/A</v>
      </c>
      <c r="M168" s="7" t="str">
        <f>IF($F168="unclassified","N/A",(_xlfn.XLOOKUP($E168,[1]Sheet2!$A:$A,[1]Sheet2!V:V,"N/A",0,1)))</f>
        <v>N/A</v>
      </c>
      <c r="N168" s="7"/>
      <c r="O168" s="7" t="str">
        <f>IF($F168="unclassified","N/A",(_xlfn.XLOOKUP($E168,[1]Sheet2!$A:$A,[1]Sheet2!W:W,"N/A",0,1)))</f>
        <v>N/A</v>
      </c>
      <c r="P168" s="7" t="str">
        <f>IF($F168="unclassified","N/A",(_xlfn.XLOOKUP($E168,[1]Sheet2!$A:$A,[1]Sheet2!X:X,"N/A",0,1)))</f>
        <v>N/A</v>
      </c>
      <c r="Q168" s="7" t="str">
        <f>IF($F168="unclassified","N/A",(_xlfn.XLOOKUP($E168,[1]Sheet2!$A:$A,[1]Sheet2!Y:Y,"N/A",0,1)))</f>
        <v>N/A</v>
      </c>
      <c r="R168" s="7" t="str">
        <f>IF($F168="unclassified","N/A",(_xlfn.XLOOKUP($E168,[1]Sheet2!$A:$A,[1]Sheet2!Z:Z,"N/A",0,1)))</f>
        <v>N/A</v>
      </c>
      <c r="S168" s="7" t="str">
        <f>IF($F168="unclassified","N/A",(_xlfn.XLOOKUP($E168,[1]Sheet2!$A:$A,[1]Sheet2!AA:AA,"N/A",0,1)))</f>
        <v>N/A</v>
      </c>
      <c r="T168" s="7" t="str">
        <f>IF($F168="unclassified","N/A",(_xlfn.XLOOKUP($E168,[1]Sheet2!$A:$A,[1]Sheet2!AB:AB,"N/A",0,1)))</f>
        <v>N/A</v>
      </c>
      <c r="U168" s="35" t="str">
        <f>IF($F168="unclassified","N/A",(AVERAGE(Table3253[[#This Row],[PO nr]:[Delivery Date]])))</f>
        <v>N/A</v>
      </c>
      <c r="V168" s="38"/>
      <c r="W168" s="38"/>
      <c r="X168" s="38"/>
      <c r="Y168" s="38"/>
      <c r="Z168" s="38"/>
    </row>
    <row r="169" spans="4:26" ht="15" customHeight="1" x14ac:dyDescent="0.3">
      <c r="D169" s="39" t="str">
        <f>_xlfn.XLOOKUP(Table3253[[#This Row],[File Name]],'[1]Analyse 2 Detail 02-03'!A:A,'[1]Analyse 2 Detail 02-03'!R:R,"Not Found",0,1)</f>
        <v>Medtronic Trading NL BV</v>
      </c>
      <c r="E169" s="31" t="s">
        <v>103</v>
      </c>
      <c r="F169" s="40" t="s">
        <v>31</v>
      </c>
      <c r="G169" s="41">
        <v>2</v>
      </c>
      <c r="H169" s="7">
        <v>1</v>
      </c>
      <c r="I169" s="7">
        <f>IF($F169="unclassified","N/A",(_xlfn.XLOOKUP($E169,[1]Sheet2!$A:$A,[1]Sheet2!R:R,"N/A",0,1)))</f>
        <v>1</v>
      </c>
      <c r="J169" s="7">
        <f>IF($F169="unclassified","N/A",(_xlfn.XLOOKUP($E169,[1]Sheet2!$A:$A,[1]Sheet2!S:S,"N/A",0,1)))</f>
        <v>1</v>
      </c>
      <c r="K169" s="7">
        <f>IF($F169="unclassified","N/A",(_xlfn.XLOOKUP($E169,[1]Sheet2!$A:$A,[1]Sheet2!T:T,"N/A",0,1)))</f>
        <v>1</v>
      </c>
      <c r="L169" s="7">
        <f>IF($F169="unclassified","N/A",(_xlfn.XLOOKUP($E169,[1]Sheet2!$A:$A,[1]Sheet2!U:U,"N/A",0,1)))</f>
        <v>1</v>
      </c>
      <c r="M169" s="7">
        <f>IF($F169="unclassified","N/A",(_xlfn.XLOOKUP($E169,[1]Sheet2!$A:$A,[1]Sheet2!V:V,"N/A",0,1)))</f>
        <v>1</v>
      </c>
      <c r="N169" s="7"/>
      <c r="O169" s="7">
        <f>IF($F169="unclassified","N/A",(_xlfn.XLOOKUP($E169,[1]Sheet2!$A:$A,[1]Sheet2!W:W,"N/A",0,1)))</f>
        <v>1</v>
      </c>
      <c r="P169" s="7">
        <f>IF($F169="unclassified","N/A",(_xlfn.XLOOKUP($E169,[1]Sheet2!$A:$A,[1]Sheet2!X:X,"N/A",0,1)))</f>
        <v>1</v>
      </c>
      <c r="Q169" s="7">
        <f>IF($F169="unclassified","N/A",(_xlfn.XLOOKUP($E169,[1]Sheet2!$A:$A,[1]Sheet2!Y:Y,"N/A",0,1)))</f>
        <v>1</v>
      </c>
      <c r="R169" s="7">
        <f>IF($F169="unclassified","N/A",(_xlfn.XLOOKUP($E169,[1]Sheet2!$A:$A,[1]Sheet2!Z:Z,"N/A",0,1)))</f>
        <v>1</v>
      </c>
      <c r="S169" s="7">
        <f>IF($F169="unclassified","N/A",(_xlfn.XLOOKUP($E169,[1]Sheet2!$A:$A,[1]Sheet2!AA:AA,"N/A",0,1)))</f>
        <v>1</v>
      </c>
      <c r="T169" s="7">
        <f>IF($F169="unclassified","N/A",(_xlfn.XLOOKUP($E169,[1]Sheet2!$A:$A,[1]Sheet2!AB:AB,"N/A",0,1)))</f>
        <v>1</v>
      </c>
      <c r="U169" s="35">
        <f>IF($F169="unclassified","N/A",(AVERAGE(Table3253[[#This Row],[PO nr]:[Delivery Date]])))</f>
        <v>1</v>
      </c>
      <c r="V169" s="52" t="s">
        <v>104</v>
      </c>
      <c r="W169" s="38" t="s">
        <v>105</v>
      </c>
      <c r="X169" s="38"/>
      <c r="Y169" s="38"/>
      <c r="Z169" s="38"/>
    </row>
    <row r="170" spans="4:26" ht="15" customHeight="1" x14ac:dyDescent="0.3">
      <c r="D170" s="39" t="str">
        <f>_xlfn.XLOOKUP(Table3253[[#This Row],[File Name]],'[1]Analyse 2 Detail 02-03'!A:A,'[1]Analyse 2 Detail 02-03'!R:R,"Not Found",0,1)</f>
        <v>Medtronic Trading NL BV</v>
      </c>
      <c r="E170" s="31" t="s">
        <v>103</v>
      </c>
      <c r="F170" s="40" t="s">
        <v>31</v>
      </c>
      <c r="G170" s="41">
        <v>2</v>
      </c>
      <c r="H170" s="7">
        <v>1</v>
      </c>
      <c r="I170" s="7">
        <f>IF($F170="unclassified","N/A",(_xlfn.XLOOKUP($E170,[1]Sheet2!$A:$A,[1]Sheet2!R:R,"N/A",0,1)))</f>
        <v>1</v>
      </c>
      <c r="J170" s="7">
        <f>IF($F170="unclassified","N/A",(_xlfn.XLOOKUP($E170,[1]Sheet2!$A:$A,[1]Sheet2!S:S,"N/A",0,1)))</f>
        <v>1</v>
      </c>
      <c r="K170" s="7">
        <f>IF($F170="unclassified","N/A",(_xlfn.XLOOKUP($E170,[1]Sheet2!$A:$A,[1]Sheet2!T:T,"N/A",0,1)))</f>
        <v>1</v>
      </c>
      <c r="L170" s="7">
        <f>IF($F170="unclassified","N/A",(_xlfn.XLOOKUP($E170,[1]Sheet2!$A:$A,[1]Sheet2!U:U,"N/A",0,1)))</f>
        <v>1</v>
      </c>
      <c r="M170" s="7">
        <f>IF($F170="unclassified","N/A",(_xlfn.XLOOKUP($E170,[1]Sheet2!$A:$A,[1]Sheet2!V:V,"N/A",0,1)))</f>
        <v>1</v>
      </c>
      <c r="N170" s="7"/>
      <c r="O170" s="7">
        <f>IF($F170="unclassified","N/A",(_xlfn.XLOOKUP($E170,[1]Sheet2!$A:$A,[1]Sheet2!W:W,"N/A",0,1)))</f>
        <v>1</v>
      </c>
      <c r="P170" s="7">
        <f>IF($F170="unclassified","N/A",(_xlfn.XLOOKUP($E170,[1]Sheet2!$A:$A,[1]Sheet2!X:X,"N/A",0,1)))</f>
        <v>1</v>
      </c>
      <c r="Q170" s="7">
        <f>IF($F170="unclassified","N/A",(_xlfn.XLOOKUP($E170,[1]Sheet2!$A:$A,[1]Sheet2!Y:Y,"N/A",0,1)))</f>
        <v>1</v>
      </c>
      <c r="R170" s="7">
        <f>IF($F170="unclassified","N/A",(_xlfn.XLOOKUP($E170,[1]Sheet2!$A:$A,[1]Sheet2!Z:Z,"N/A",0,1)))</f>
        <v>1</v>
      </c>
      <c r="S170" s="7">
        <f>IF($F170="unclassified","N/A",(_xlfn.XLOOKUP($E170,[1]Sheet2!$A:$A,[1]Sheet2!AA:AA,"N/A",0,1)))</f>
        <v>1</v>
      </c>
      <c r="T170" s="7">
        <f>IF($F170="unclassified","N/A",(_xlfn.XLOOKUP($E170,[1]Sheet2!$A:$A,[1]Sheet2!AB:AB,"N/A",0,1)))</f>
        <v>1</v>
      </c>
      <c r="U170" s="35">
        <f>IF($F170="unclassified","N/A",(AVERAGE(Table3253[[#This Row],[PO nr]:[Delivery Date]])))</f>
        <v>1</v>
      </c>
      <c r="V170" s="52" t="s">
        <v>104</v>
      </c>
      <c r="W170" s="38" t="s">
        <v>105</v>
      </c>
      <c r="X170" s="38"/>
      <c r="Y170" s="38"/>
      <c r="Z170" s="38"/>
    </row>
    <row r="171" spans="4:26" ht="15" customHeight="1" x14ac:dyDescent="0.3">
      <c r="D171" s="39" t="str">
        <f>_xlfn.XLOOKUP(Table3253[[#This Row],[File Name]],'[1]Analyse 2 Detail 02-03'!A:A,'[1]Analyse 2 Detail 02-03'!R:R,"Not Found",0,1)</f>
        <v>Medtronic Trading NL BV</v>
      </c>
      <c r="E171" s="31" t="s">
        <v>106</v>
      </c>
      <c r="F171" s="40" t="s">
        <v>31</v>
      </c>
      <c r="G171" s="41">
        <v>7</v>
      </c>
      <c r="H171" s="7">
        <v>1</v>
      </c>
      <c r="I171" s="7">
        <f>IF($F171="unclassified","N/A",(_xlfn.XLOOKUP($E171,[1]Sheet2!$A:$A,[1]Sheet2!R:R,"N/A",0,1)))</f>
        <v>1</v>
      </c>
      <c r="J171" s="7">
        <f>IF($F171="unclassified","N/A",(_xlfn.XLOOKUP($E171,[1]Sheet2!$A:$A,[1]Sheet2!S:S,"N/A",0,1)))</f>
        <v>1</v>
      </c>
      <c r="K171" s="7">
        <f>IF($F171="unclassified","N/A",(_xlfn.XLOOKUP($E171,[1]Sheet2!$A:$A,[1]Sheet2!T:T,"N/A",0,1)))</f>
        <v>1</v>
      </c>
      <c r="L171" s="7">
        <f>IF($F171="unclassified","N/A",(_xlfn.XLOOKUP($E171,[1]Sheet2!$A:$A,[1]Sheet2!U:U,"N/A",0,1)))</f>
        <v>1</v>
      </c>
      <c r="M171" s="7">
        <f>IF($F171="unclassified","N/A",(_xlfn.XLOOKUP($E171,[1]Sheet2!$A:$A,[1]Sheet2!V:V,"N/A",0,1)))</f>
        <v>1</v>
      </c>
      <c r="N171" s="7"/>
      <c r="O171" s="7">
        <f>IF($F171="unclassified","N/A",(_xlfn.XLOOKUP($E171,[1]Sheet2!$A:$A,[1]Sheet2!W:W,"N/A",0,1)))</f>
        <v>1</v>
      </c>
      <c r="P171" s="7">
        <f>IF($F171="unclassified","N/A",(_xlfn.XLOOKUP($E171,[1]Sheet2!$A:$A,[1]Sheet2!X:X,"N/A",0,1)))</f>
        <v>1</v>
      </c>
      <c r="Q171" s="7">
        <f>IF($F171="unclassified","N/A",(_xlfn.XLOOKUP($E171,[1]Sheet2!$A:$A,[1]Sheet2!Y:Y,"N/A",0,1)))</f>
        <v>1</v>
      </c>
      <c r="R171" s="7">
        <f>IF($F171="unclassified","N/A",(_xlfn.XLOOKUP($E171,[1]Sheet2!$A:$A,[1]Sheet2!Z:Z,"N/A",0,1)))</f>
        <v>1</v>
      </c>
      <c r="S171" s="7">
        <f>IF($F171="unclassified","N/A",(_xlfn.XLOOKUP($E171,[1]Sheet2!$A:$A,[1]Sheet2!AA:AA,"N/A",0,1)))</f>
        <v>1</v>
      </c>
      <c r="T171" s="7">
        <v>1</v>
      </c>
      <c r="U171" s="35">
        <f>IF($F171="unclassified","N/A",(AVERAGE(Table3253[[#This Row],[PO nr]:[Delivery Date]])))</f>
        <v>1</v>
      </c>
      <c r="V171" s="52" t="s">
        <v>107</v>
      </c>
      <c r="W171" s="38" t="s">
        <v>105</v>
      </c>
      <c r="X171" s="38"/>
      <c r="Y171" s="38"/>
      <c r="Z171" s="38"/>
    </row>
    <row r="172" spans="4:26" ht="15" customHeight="1" x14ac:dyDescent="0.3">
      <c r="D172" s="39" t="str">
        <f>_xlfn.XLOOKUP(Table3253[[#This Row],[File Name]],'[1]Analyse 2 Detail 02-03'!A:A,'[1]Analyse 2 Detail 02-03'!R:R,"Not Found",0,1)</f>
        <v>Medtronic Trading NL BV</v>
      </c>
      <c r="E172" s="31" t="s">
        <v>108</v>
      </c>
      <c r="F172" s="40" t="s">
        <v>31</v>
      </c>
      <c r="G172" s="41">
        <v>1</v>
      </c>
      <c r="H172" s="7">
        <v>1</v>
      </c>
      <c r="I172" s="7">
        <f>IF($F172="unclassified","N/A",(_xlfn.XLOOKUP($E172,[1]Sheet2!$A:$A,[1]Sheet2!R:R,"N/A",0,1)))</f>
        <v>1</v>
      </c>
      <c r="J172" s="7">
        <f>IF($F172="unclassified","N/A",(_xlfn.XLOOKUP($E172,[1]Sheet2!$A:$A,[1]Sheet2!S:S,"N/A",0,1)))</f>
        <v>1</v>
      </c>
      <c r="K172" s="7">
        <f>IF($F172="unclassified","N/A",(_xlfn.XLOOKUP($E172,[1]Sheet2!$A:$A,[1]Sheet2!T:T,"N/A",0,1)))</f>
        <v>1</v>
      </c>
      <c r="L172" s="7">
        <f>IF($F172="unclassified","N/A",(_xlfn.XLOOKUP($E172,[1]Sheet2!$A:$A,[1]Sheet2!U:U,"N/A",0,1)))</f>
        <v>1</v>
      </c>
      <c r="M172" s="7">
        <f>IF($F172="unclassified","N/A",(_xlfn.XLOOKUP($E172,[1]Sheet2!$A:$A,[1]Sheet2!V:V,"N/A",0,1)))</f>
        <v>1</v>
      </c>
      <c r="N172" s="7"/>
      <c r="O172" s="7">
        <f>IF($F172="unclassified","N/A",(_xlfn.XLOOKUP($E172,[1]Sheet2!$A:$A,[1]Sheet2!W:W,"N/A",0,1)))</f>
        <v>1</v>
      </c>
      <c r="P172" s="7">
        <f>IF($F172="unclassified","N/A",(_xlfn.XLOOKUP($E172,[1]Sheet2!$A:$A,[1]Sheet2!X:X,"N/A",0,1)))</f>
        <v>1</v>
      </c>
      <c r="Q172" s="7">
        <f>IF($F172="unclassified","N/A",(_xlfn.XLOOKUP($E172,[1]Sheet2!$A:$A,[1]Sheet2!Y:Y,"N/A",0,1)))</f>
        <v>1</v>
      </c>
      <c r="R172" s="7">
        <f>IF($F172="unclassified","N/A",(_xlfn.XLOOKUP($E172,[1]Sheet2!$A:$A,[1]Sheet2!Z:Z,"N/A",0,1)))</f>
        <v>1</v>
      </c>
      <c r="S172" s="7">
        <f>IF($F172="unclassified","N/A",(_xlfn.XLOOKUP($E172,[1]Sheet2!$A:$A,[1]Sheet2!AA:AA,"N/A",0,1)))</f>
        <v>1</v>
      </c>
      <c r="T172" s="7">
        <f>IF($F172="unclassified","N/A",(_xlfn.XLOOKUP($E172,[1]Sheet2!$A:$A,[1]Sheet2!AB:AB,"N/A",0,1)))</f>
        <v>1</v>
      </c>
      <c r="U172" s="35">
        <f>IF($F172="unclassified","N/A",(AVERAGE(Table3253[[#This Row],[PO nr]:[Delivery Date]])))</f>
        <v>1</v>
      </c>
      <c r="V172" s="52" t="s">
        <v>104</v>
      </c>
      <c r="W172" s="38" t="s">
        <v>105</v>
      </c>
      <c r="X172" s="38"/>
      <c r="Y172" s="38"/>
      <c r="Z172" s="38"/>
    </row>
    <row r="173" spans="4:26" ht="15" customHeight="1" x14ac:dyDescent="0.3">
      <c r="D173" s="39" t="str">
        <f>_xlfn.XLOOKUP(Table3253[[#This Row],[File Name]],'[1]Analyse 2 Detail 02-03'!A:A,'[1]Analyse 2 Detail 02-03'!R:R,"Not Found",0,1)</f>
        <v>Fresenius Kabi nv/sa</v>
      </c>
      <c r="E173" s="31" t="s">
        <v>109</v>
      </c>
      <c r="F173" s="40" t="s">
        <v>31</v>
      </c>
      <c r="G173" s="41">
        <v>0</v>
      </c>
      <c r="H173" s="7">
        <f>IF($F173="unclassified","N/A",(_xlfn.XLOOKUP($E173,[1]Sheet2!$A:$A,[1]Sheet2!Q:Q,"N/A",0,1)))</f>
        <v>1</v>
      </c>
      <c r="I173" s="7">
        <f>IF($F173="unclassified","N/A",(_xlfn.XLOOKUP($E173,[1]Sheet2!$A:$A,[1]Sheet2!R:R,"N/A",0,1)))</f>
        <v>1</v>
      </c>
      <c r="J173" s="7">
        <f>IF($F173="unclassified","N/A",(_xlfn.XLOOKUP($E173,[1]Sheet2!$A:$A,[1]Sheet2!S:S,"N/A",0,1)))</f>
        <v>1</v>
      </c>
      <c r="K173" s="7">
        <f>IF($F173="unclassified","N/A",(_xlfn.XLOOKUP($E173,[1]Sheet2!$A:$A,[1]Sheet2!T:T,"N/A",0,1)))</f>
        <v>1</v>
      </c>
      <c r="L173" s="7">
        <f>IF($F173="unclassified","N/A",(_xlfn.XLOOKUP($E173,[1]Sheet2!$A:$A,[1]Sheet2!U:U,"N/A",0,1)))</f>
        <v>1</v>
      </c>
      <c r="M173" s="7">
        <f>IF($F173="unclassified","N/A",(_xlfn.XLOOKUP($E173,[1]Sheet2!$A:$A,[1]Sheet2!V:V,"N/A",0,1)))</f>
        <v>1</v>
      </c>
      <c r="N173" s="7"/>
      <c r="O173" s="7">
        <f>IF($F173="unclassified","N/A",(_xlfn.XLOOKUP($E173,[1]Sheet2!$A:$A,[1]Sheet2!W:W,"N/A",0,1)))</f>
        <v>1</v>
      </c>
      <c r="P173" s="7">
        <f>IF($F173="unclassified","N/A",(_xlfn.XLOOKUP($E173,[1]Sheet2!$A:$A,[1]Sheet2!X:X,"N/A",0,1)))</f>
        <v>1</v>
      </c>
      <c r="Q173" s="7">
        <f>IF($F173="unclassified","N/A",(_xlfn.XLOOKUP($E173,[1]Sheet2!$A:$A,[1]Sheet2!Y:Y,"N/A",0,1)))</f>
        <v>1</v>
      </c>
      <c r="R173" s="7">
        <f>IF($F173="unclassified","N/A",(_xlfn.XLOOKUP($E173,[1]Sheet2!$A:$A,[1]Sheet2!Z:Z,"N/A",0,1)))</f>
        <v>1</v>
      </c>
      <c r="S173" s="7">
        <f>IF($F173="unclassified","N/A",(_xlfn.XLOOKUP($E173,[1]Sheet2!$A:$A,[1]Sheet2!AA:AA,"N/A",0,1)))</f>
        <v>1</v>
      </c>
      <c r="T173" s="7">
        <f>IF($F173="unclassified","N/A",(_xlfn.XLOOKUP($E173,[1]Sheet2!$A:$A,[1]Sheet2!AB:AB,"N/A",0,1)))</f>
        <v>1</v>
      </c>
      <c r="U173" s="35">
        <f>IF($F173="unclassified","N/A",(AVERAGE(Table3253[[#This Row],[PO nr]:[Delivery Date]])))</f>
        <v>1</v>
      </c>
      <c r="V173" s="38"/>
      <c r="W173" s="38"/>
      <c r="X173" s="38"/>
      <c r="Y173" s="38"/>
      <c r="Z173" s="38"/>
    </row>
    <row r="174" spans="4:26" ht="15" customHeight="1" x14ac:dyDescent="0.3">
      <c r="D174" s="39" t="str">
        <f>_xlfn.XLOOKUP(Table3253[[#This Row],[File Name]],'[1]Analyse 2 Detail 02-03'!A:A,'[1]Analyse 2 Detail 02-03'!R:R,"Not Found",0,1)</f>
        <v>Fresenius Kabi Nederland B.V.</v>
      </c>
      <c r="E174" s="31" t="s">
        <v>110</v>
      </c>
      <c r="F174" s="40" t="s">
        <v>31</v>
      </c>
      <c r="G174" s="41">
        <v>0</v>
      </c>
      <c r="H174" s="7">
        <f>IF($F174="unclassified","N/A",(_xlfn.XLOOKUP($E174,[1]Sheet2!$A:$A,[1]Sheet2!Q:Q,"N/A",0,1)))</f>
        <v>1</v>
      </c>
      <c r="I174" s="7">
        <f>IF($F174="unclassified","N/A",(_xlfn.XLOOKUP($E174,[1]Sheet2!$A:$A,[1]Sheet2!R:R,"N/A",0,1)))</f>
        <v>1</v>
      </c>
      <c r="J174" s="7">
        <f>IF($F174="unclassified","N/A",(_xlfn.XLOOKUP($E174,[1]Sheet2!$A:$A,[1]Sheet2!S:S,"N/A",0,1)))</f>
        <v>1</v>
      </c>
      <c r="K174" s="7">
        <f>IF($F174="unclassified","N/A",(_xlfn.XLOOKUP($E174,[1]Sheet2!$A:$A,[1]Sheet2!T:T,"N/A",0,1)))</f>
        <v>1</v>
      </c>
      <c r="L174" s="7">
        <f>IF($F174="unclassified","N/A",(_xlfn.XLOOKUP($E174,[1]Sheet2!$A:$A,[1]Sheet2!U:U,"N/A",0,1)))</f>
        <v>1</v>
      </c>
      <c r="M174" s="7">
        <f>IF($F174="unclassified","N/A",(_xlfn.XLOOKUP($E174,[1]Sheet2!$A:$A,[1]Sheet2!V:V,"N/A",0,1)))</f>
        <v>1</v>
      </c>
      <c r="N174" s="7"/>
      <c r="O174" s="7">
        <f>IF($F174="unclassified","N/A",(_xlfn.XLOOKUP($E174,[1]Sheet2!$A:$A,[1]Sheet2!W:W,"N/A",0,1)))</f>
        <v>1</v>
      </c>
      <c r="P174" s="7">
        <f>IF($F174="unclassified","N/A",(_xlfn.XLOOKUP($E174,[1]Sheet2!$A:$A,[1]Sheet2!X:X,"N/A",0,1)))</f>
        <v>1</v>
      </c>
      <c r="Q174" s="7">
        <f>IF($F174="unclassified","N/A",(_xlfn.XLOOKUP($E174,[1]Sheet2!$A:$A,[1]Sheet2!Y:Y,"N/A",0,1)))</f>
        <v>1</v>
      </c>
      <c r="R174" s="7">
        <f>IF($F174="unclassified","N/A",(_xlfn.XLOOKUP($E174,[1]Sheet2!$A:$A,[1]Sheet2!Z:Z,"N/A",0,1)))</f>
        <v>1</v>
      </c>
      <c r="S174" s="7">
        <f>IF($F174="unclassified","N/A",(_xlfn.XLOOKUP($E174,[1]Sheet2!$A:$A,[1]Sheet2!AA:AA,"N/A",0,1)))</f>
        <v>1</v>
      </c>
      <c r="T174" s="7">
        <f>IF($F174="unclassified","N/A",(_xlfn.XLOOKUP($E174,[1]Sheet2!$A:$A,[1]Sheet2!AB:AB,"N/A",0,1)))</f>
        <v>1</v>
      </c>
      <c r="U174" s="35">
        <f>IF($F174="unclassified","N/A",(AVERAGE(Table3253[[#This Row],[PO nr]:[Delivery Date]])))</f>
        <v>1</v>
      </c>
      <c r="V174" s="38"/>
      <c r="W174" s="38"/>
      <c r="X174" s="38"/>
      <c r="Y174" s="38"/>
      <c r="Z174" s="38"/>
    </row>
    <row r="175" spans="4:26" ht="15" customHeight="1" x14ac:dyDescent="0.3">
      <c r="D175" s="39" t="str">
        <f>_xlfn.XLOOKUP(Table3253[[#This Row],[File Name]],'[1]Analyse 2 Detail 02-03'!A:A,'[1]Analyse 2 Detail 02-03'!R:R,"Not Found",0,1)</f>
        <v>Fresenius Kabi Nederland B.V.</v>
      </c>
      <c r="E175" s="31" t="s">
        <v>110</v>
      </c>
      <c r="F175" s="40" t="s">
        <v>31</v>
      </c>
      <c r="G175" s="41">
        <v>0</v>
      </c>
      <c r="H175" s="7">
        <f>IF($F175="unclassified","N/A",(_xlfn.XLOOKUP($E175,[1]Sheet2!$A:$A,[1]Sheet2!Q:Q,"N/A",0,1)))</f>
        <v>1</v>
      </c>
      <c r="I175" s="7">
        <f>IF($F175="unclassified","N/A",(_xlfn.XLOOKUP($E175,[1]Sheet2!$A:$A,[1]Sheet2!R:R,"N/A",0,1)))</f>
        <v>1</v>
      </c>
      <c r="J175" s="7">
        <f>IF($F175="unclassified","N/A",(_xlfn.XLOOKUP($E175,[1]Sheet2!$A:$A,[1]Sheet2!S:S,"N/A",0,1)))</f>
        <v>1</v>
      </c>
      <c r="K175" s="7">
        <f>IF($F175="unclassified","N/A",(_xlfn.XLOOKUP($E175,[1]Sheet2!$A:$A,[1]Sheet2!T:T,"N/A",0,1)))</f>
        <v>1</v>
      </c>
      <c r="L175" s="7">
        <f>IF($F175="unclassified","N/A",(_xlfn.XLOOKUP($E175,[1]Sheet2!$A:$A,[1]Sheet2!U:U,"N/A",0,1)))</f>
        <v>1</v>
      </c>
      <c r="M175" s="7">
        <f>IF($F175="unclassified","N/A",(_xlfn.XLOOKUP($E175,[1]Sheet2!$A:$A,[1]Sheet2!V:V,"N/A",0,1)))</f>
        <v>1</v>
      </c>
      <c r="N175" s="7"/>
      <c r="O175" s="7">
        <f>IF($F175="unclassified","N/A",(_xlfn.XLOOKUP($E175,[1]Sheet2!$A:$A,[1]Sheet2!W:W,"N/A",0,1)))</f>
        <v>1</v>
      </c>
      <c r="P175" s="7">
        <f>IF($F175="unclassified","N/A",(_xlfn.XLOOKUP($E175,[1]Sheet2!$A:$A,[1]Sheet2!X:X,"N/A",0,1)))</f>
        <v>1</v>
      </c>
      <c r="Q175" s="7">
        <f>IF($F175="unclassified","N/A",(_xlfn.XLOOKUP($E175,[1]Sheet2!$A:$A,[1]Sheet2!Y:Y,"N/A",0,1)))</f>
        <v>1</v>
      </c>
      <c r="R175" s="7">
        <f>IF($F175="unclassified","N/A",(_xlfn.XLOOKUP($E175,[1]Sheet2!$A:$A,[1]Sheet2!Z:Z,"N/A",0,1)))</f>
        <v>1</v>
      </c>
      <c r="S175" s="7">
        <f>IF($F175="unclassified","N/A",(_xlfn.XLOOKUP($E175,[1]Sheet2!$A:$A,[1]Sheet2!AA:AA,"N/A",0,1)))</f>
        <v>1</v>
      </c>
      <c r="T175" s="7">
        <f>IF($F175="unclassified","N/A",(_xlfn.XLOOKUP($E175,[1]Sheet2!$A:$A,[1]Sheet2!AB:AB,"N/A",0,1)))</f>
        <v>1</v>
      </c>
      <c r="U175" s="35">
        <f>IF($F175="unclassified","N/A",(AVERAGE(Table3253[[#This Row],[PO nr]:[Delivery Date]])))</f>
        <v>1</v>
      </c>
      <c r="V175" s="38"/>
      <c r="W175" s="38"/>
      <c r="X175" s="38"/>
      <c r="Y175" s="38"/>
      <c r="Z175" s="38"/>
    </row>
    <row r="176" spans="4:26" ht="15" customHeight="1" x14ac:dyDescent="0.3">
      <c r="D176" s="39" t="str">
        <f>_xlfn.XLOOKUP(Table3253[[#This Row],[File Name]],'[1]Analyse 2 Detail 02-03'!A:A,'[1]Analyse 2 Detail 02-03'!R:R,"Not Found",0,1)</f>
        <v>Duomed Belgium NV/SA</v>
      </c>
      <c r="E176" s="31" t="s">
        <v>111</v>
      </c>
      <c r="F176" s="40" t="s">
        <v>31</v>
      </c>
      <c r="G176" s="41">
        <v>0</v>
      </c>
      <c r="H176" s="7">
        <f>IF($F176="unclassified","N/A",(_xlfn.XLOOKUP($E176,[1]Sheet2!$A:$A,[1]Sheet2!Q:Q,"N/A",0,1)))</f>
        <v>1</v>
      </c>
      <c r="I176" s="7">
        <f>IF($F176="unclassified","N/A",(_xlfn.XLOOKUP($E176,[1]Sheet2!$A:$A,[1]Sheet2!R:R,"N/A",0,1)))</f>
        <v>1</v>
      </c>
      <c r="J176" s="7">
        <f>IF($F176="unclassified","N/A",(_xlfn.XLOOKUP($E176,[1]Sheet2!$A:$A,[1]Sheet2!S:S,"N/A",0,1)))</f>
        <v>1</v>
      </c>
      <c r="K176" s="7">
        <f>IF($F176="unclassified","N/A",(_xlfn.XLOOKUP($E176,[1]Sheet2!$A:$A,[1]Sheet2!T:T,"N/A",0,1)))</f>
        <v>1</v>
      </c>
      <c r="L176" s="7">
        <f>IF($F176="unclassified","N/A",(_xlfn.XLOOKUP($E176,[1]Sheet2!$A:$A,[1]Sheet2!U:U,"N/A",0,1)))</f>
        <v>1</v>
      </c>
      <c r="M176" s="7">
        <f>IF($F176="unclassified","N/A",(_xlfn.XLOOKUP($E176,[1]Sheet2!$A:$A,[1]Sheet2!V:V,"N/A",0,1)))</f>
        <v>1</v>
      </c>
      <c r="N176" s="7"/>
      <c r="O176" s="7">
        <f>IF($F176="unclassified","N/A",(_xlfn.XLOOKUP($E176,[1]Sheet2!$A:$A,[1]Sheet2!W:W,"N/A",0,1)))</f>
        <v>1</v>
      </c>
      <c r="P176" s="7">
        <f>IF($F176="unclassified","N/A",(_xlfn.XLOOKUP($E176,[1]Sheet2!$A:$A,[1]Sheet2!X:X,"N/A",0,1)))</f>
        <v>1</v>
      </c>
      <c r="Q176" s="7">
        <f>IF($F176="unclassified","N/A",(_xlfn.XLOOKUP($E176,[1]Sheet2!$A:$A,[1]Sheet2!Y:Y,"N/A",0,1)))</f>
        <v>1</v>
      </c>
      <c r="R176" s="7">
        <f>IF($F176="unclassified","N/A",(_xlfn.XLOOKUP($E176,[1]Sheet2!$A:$A,[1]Sheet2!Z:Z,"N/A",0,1)))</f>
        <v>1</v>
      </c>
      <c r="S176" s="7">
        <f>IF($F176="unclassified","N/A",(_xlfn.XLOOKUP($E176,[1]Sheet2!$A:$A,[1]Sheet2!AA:AA,"N/A",0,1)))</f>
        <v>1</v>
      </c>
      <c r="T176" s="7">
        <f>IF($F176="unclassified","N/A",(_xlfn.XLOOKUP($E176,[1]Sheet2!$A:$A,[1]Sheet2!AB:AB,"N/A",0,1)))</f>
        <v>1</v>
      </c>
      <c r="U176" s="35">
        <f>IF($F176="unclassified","N/A",(AVERAGE(Table3253[[#This Row],[PO nr]:[Delivery Date]])))</f>
        <v>1</v>
      </c>
      <c r="V176" s="38"/>
      <c r="W176" s="38"/>
      <c r="X176" s="38"/>
      <c r="Y176" s="38"/>
      <c r="Z176" s="38"/>
    </row>
    <row r="177" spans="4:26" ht="15" customHeight="1" x14ac:dyDescent="0.3">
      <c r="D177" s="39" t="str">
        <f>_xlfn.XLOOKUP(Table3253[[#This Row],[File Name]],'[1]Analyse 2 Detail 02-03'!A:A,'[1]Analyse 2 Detail 02-03'!R:R,"Not Found",0,1)</f>
        <v>Duomed Belgium NV/SA</v>
      </c>
      <c r="E177" s="31" t="s">
        <v>112</v>
      </c>
      <c r="F177" s="40" t="s">
        <v>31</v>
      </c>
      <c r="G177" s="41">
        <v>0</v>
      </c>
      <c r="H177" s="7">
        <f>IF($F177="unclassified","N/A",(_xlfn.XLOOKUP($E177,[1]Sheet2!$A:$A,[1]Sheet2!Q:Q,"N/A",0,1)))</f>
        <v>1</v>
      </c>
      <c r="I177" s="7">
        <f>IF($F177="unclassified","N/A",(_xlfn.XLOOKUP($E177,[1]Sheet2!$A:$A,[1]Sheet2!R:R,"N/A",0,1)))</f>
        <v>1</v>
      </c>
      <c r="J177" s="7">
        <f>IF($F177="unclassified","N/A",(_xlfn.XLOOKUP($E177,[1]Sheet2!$A:$A,[1]Sheet2!S:S,"N/A",0,1)))</f>
        <v>1</v>
      </c>
      <c r="K177" s="7">
        <f>IF($F177="unclassified","N/A",(_xlfn.XLOOKUP($E177,[1]Sheet2!$A:$A,[1]Sheet2!T:T,"N/A",0,1)))</f>
        <v>1</v>
      </c>
      <c r="L177" s="7">
        <f>IF($F177="unclassified","N/A",(_xlfn.XLOOKUP($E177,[1]Sheet2!$A:$A,[1]Sheet2!U:U,"N/A",0,1)))</f>
        <v>1</v>
      </c>
      <c r="M177" s="7">
        <f>IF($F177="unclassified","N/A",(_xlfn.XLOOKUP($E177,[1]Sheet2!$A:$A,[1]Sheet2!V:V,"N/A",0,1)))</f>
        <v>1</v>
      </c>
      <c r="N177" s="7"/>
      <c r="O177" s="7">
        <f>IF($F177="unclassified","N/A",(_xlfn.XLOOKUP($E177,[1]Sheet2!$A:$A,[1]Sheet2!W:W,"N/A",0,1)))</f>
        <v>1</v>
      </c>
      <c r="P177" s="7">
        <f>IF($F177="unclassified","N/A",(_xlfn.XLOOKUP($E177,[1]Sheet2!$A:$A,[1]Sheet2!X:X,"N/A",0,1)))</f>
        <v>1</v>
      </c>
      <c r="Q177" s="7">
        <f>IF($F177="unclassified","N/A",(_xlfn.XLOOKUP($E177,[1]Sheet2!$A:$A,[1]Sheet2!Y:Y,"N/A",0,1)))</f>
        <v>1</v>
      </c>
      <c r="R177" s="7">
        <f>IF($F177="unclassified","N/A",(_xlfn.XLOOKUP($E177,[1]Sheet2!$A:$A,[1]Sheet2!Z:Z,"N/A",0,1)))</f>
        <v>1</v>
      </c>
      <c r="S177" s="7">
        <f>IF($F177="unclassified","N/A",(_xlfn.XLOOKUP($E177,[1]Sheet2!$A:$A,[1]Sheet2!AA:AA,"N/A",0,1)))</f>
        <v>1</v>
      </c>
      <c r="T177" s="7">
        <f>IF($F177="unclassified","N/A",(_xlfn.XLOOKUP($E177,[1]Sheet2!$A:$A,[1]Sheet2!AB:AB,"N/A",0,1)))</f>
        <v>1</v>
      </c>
      <c r="U177" s="35">
        <f>IF($F177="unclassified","N/A",(AVERAGE(Table3253[[#This Row],[PO nr]:[Delivery Date]])))</f>
        <v>1</v>
      </c>
      <c r="V177" s="38"/>
      <c r="W177" s="38"/>
      <c r="X177" s="38"/>
      <c r="Y177" s="38"/>
      <c r="Z177" s="38"/>
    </row>
    <row r="178" spans="4:26" ht="15" customHeight="1" x14ac:dyDescent="0.3">
      <c r="D178" s="39" t="str">
        <f>_xlfn.XLOOKUP(Table3253[[#This Row],[File Name]],'[1]Analyse 2 Detail 02-03'!A:A,'[1]Analyse 2 Detail 02-03'!R:R,"Not Found",0,1)</f>
        <v>Duomed Belgium NV/SA</v>
      </c>
      <c r="E178" s="31" t="s">
        <v>113</v>
      </c>
      <c r="F178" s="40" t="s">
        <v>31</v>
      </c>
      <c r="G178" s="41">
        <v>0</v>
      </c>
      <c r="H178" s="7">
        <f>IF($F178="unclassified","N/A",(_xlfn.XLOOKUP($E178,[1]Sheet2!$A:$A,[1]Sheet2!Q:Q,"N/A",0,1)))</f>
        <v>1</v>
      </c>
      <c r="I178" s="7">
        <f>IF($F178="unclassified","N/A",(_xlfn.XLOOKUP($E178,[1]Sheet2!$A:$A,[1]Sheet2!R:R,"N/A",0,1)))</f>
        <v>1</v>
      </c>
      <c r="J178" s="7">
        <f>IF($F178="unclassified","N/A",(_xlfn.XLOOKUP($E178,[1]Sheet2!$A:$A,[1]Sheet2!S:S,"N/A",0,1)))</f>
        <v>1</v>
      </c>
      <c r="K178" s="7">
        <f>IF($F178="unclassified","N/A",(_xlfn.XLOOKUP($E178,[1]Sheet2!$A:$A,[1]Sheet2!T:T,"N/A",0,1)))</f>
        <v>1</v>
      </c>
      <c r="L178" s="7">
        <f>IF($F178="unclassified","N/A",(_xlfn.XLOOKUP($E178,[1]Sheet2!$A:$A,[1]Sheet2!U:U,"N/A",0,1)))</f>
        <v>1</v>
      </c>
      <c r="M178" s="7">
        <f>IF($F178="unclassified","N/A",(_xlfn.XLOOKUP($E178,[1]Sheet2!$A:$A,[1]Sheet2!V:V,"N/A",0,1)))</f>
        <v>1</v>
      </c>
      <c r="N178" s="7"/>
      <c r="O178" s="7">
        <f>IF($F178="unclassified","N/A",(_xlfn.XLOOKUP($E178,[1]Sheet2!$A:$A,[1]Sheet2!W:W,"N/A",0,1)))</f>
        <v>1</v>
      </c>
      <c r="P178" s="7">
        <f>IF($F178="unclassified","N/A",(_xlfn.XLOOKUP($E178,[1]Sheet2!$A:$A,[1]Sheet2!X:X,"N/A",0,1)))</f>
        <v>1</v>
      </c>
      <c r="Q178" s="7">
        <f>IF($F178="unclassified","N/A",(_xlfn.XLOOKUP($E178,[1]Sheet2!$A:$A,[1]Sheet2!Y:Y,"N/A",0,1)))</f>
        <v>1</v>
      </c>
      <c r="R178" s="7">
        <f>IF($F178="unclassified","N/A",(_xlfn.XLOOKUP($E178,[1]Sheet2!$A:$A,[1]Sheet2!Z:Z,"N/A",0,1)))</f>
        <v>1</v>
      </c>
      <c r="S178" s="7">
        <f>IF($F178="unclassified","N/A",(_xlfn.XLOOKUP($E178,[1]Sheet2!$A:$A,[1]Sheet2!AA:AA,"N/A",0,1)))</f>
        <v>1</v>
      </c>
      <c r="T178" s="7">
        <f>IF($F178="unclassified","N/A",(_xlfn.XLOOKUP($E178,[1]Sheet2!$A:$A,[1]Sheet2!AB:AB,"N/A",0,1)))</f>
        <v>1</v>
      </c>
      <c r="U178" s="35">
        <f>IF($F178="unclassified","N/A",(AVERAGE(Table3253[[#This Row],[PO nr]:[Delivery Date]])))</f>
        <v>1</v>
      </c>
      <c r="V178" s="38"/>
      <c r="W178" s="38"/>
      <c r="X178" s="38"/>
      <c r="Y178" s="38"/>
      <c r="Z178" s="38"/>
    </row>
    <row r="179" spans="4:26" ht="15" customHeight="1" x14ac:dyDescent="0.3">
      <c r="D179" s="39" t="str">
        <f>_xlfn.XLOOKUP(Table3253[[#This Row],[File Name]],'[1]Analyse 2 Detail 02-03'!A:A,'[1]Analyse 2 Detail 02-03'!R:R,"Not Found",0,1)</f>
        <v>Duomed Belgium NV/SA</v>
      </c>
      <c r="E179" s="31" t="s">
        <v>114</v>
      </c>
      <c r="F179" s="40" t="s">
        <v>31</v>
      </c>
      <c r="G179" s="41">
        <v>0</v>
      </c>
      <c r="H179" s="7">
        <f>IF($F179="unclassified","N/A",(_xlfn.XLOOKUP($E179,[1]Sheet2!$A:$A,[1]Sheet2!Q:Q,"N/A",0,1)))</f>
        <v>1</v>
      </c>
      <c r="I179" s="7">
        <f>IF($F179="unclassified","N/A",(_xlfn.XLOOKUP($E179,[1]Sheet2!$A:$A,[1]Sheet2!R:R,"N/A",0,1)))</f>
        <v>1</v>
      </c>
      <c r="J179" s="7">
        <f>IF($F179="unclassified","N/A",(_xlfn.XLOOKUP($E179,[1]Sheet2!$A:$A,[1]Sheet2!S:S,"N/A",0,1)))</f>
        <v>1</v>
      </c>
      <c r="K179" s="7">
        <f>IF($F179="unclassified","N/A",(_xlfn.XLOOKUP($E179,[1]Sheet2!$A:$A,[1]Sheet2!T:T,"N/A",0,1)))</f>
        <v>1</v>
      </c>
      <c r="L179" s="7">
        <f>IF($F179="unclassified","N/A",(_xlfn.XLOOKUP($E179,[1]Sheet2!$A:$A,[1]Sheet2!U:U,"N/A",0,1)))</f>
        <v>1</v>
      </c>
      <c r="M179" s="7">
        <f>IF($F179="unclassified","N/A",(_xlfn.XLOOKUP($E179,[1]Sheet2!$A:$A,[1]Sheet2!V:V,"N/A",0,1)))</f>
        <v>1</v>
      </c>
      <c r="N179" s="7"/>
      <c r="O179" s="7">
        <f>IF($F179="unclassified","N/A",(_xlfn.XLOOKUP($E179,[1]Sheet2!$A:$A,[1]Sheet2!W:W,"N/A",0,1)))</f>
        <v>1</v>
      </c>
      <c r="P179" s="7">
        <f>IF($F179="unclassified","N/A",(_xlfn.XLOOKUP($E179,[1]Sheet2!$A:$A,[1]Sheet2!X:X,"N/A",0,1)))</f>
        <v>1</v>
      </c>
      <c r="Q179" s="7">
        <f>IF($F179="unclassified","N/A",(_xlfn.XLOOKUP($E179,[1]Sheet2!$A:$A,[1]Sheet2!Y:Y,"N/A",0,1)))</f>
        <v>1</v>
      </c>
      <c r="R179" s="7">
        <f>IF($F179="unclassified","N/A",(_xlfn.XLOOKUP($E179,[1]Sheet2!$A:$A,[1]Sheet2!Z:Z,"N/A",0,1)))</f>
        <v>1</v>
      </c>
      <c r="S179" s="7">
        <f>IF($F179="unclassified","N/A",(_xlfn.XLOOKUP($E179,[1]Sheet2!$A:$A,[1]Sheet2!AA:AA,"N/A",0,1)))</f>
        <v>1</v>
      </c>
      <c r="T179" s="7">
        <f>IF($F179="unclassified","N/A",(_xlfn.XLOOKUP($E179,[1]Sheet2!$A:$A,[1]Sheet2!AB:AB,"N/A",0,1)))</f>
        <v>1</v>
      </c>
      <c r="U179" s="35">
        <f>IF($F179="unclassified","N/A",(AVERAGE(Table3253[[#This Row],[PO nr]:[Delivery Date]])))</f>
        <v>1</v>
      </c>
      <c r="V179" s="38"/>
      <c r="W179" s="38"/>
      <c r="X179" s="38"/>
      <c r="Y179" s="38"/>
      <c r="Z179" s="38"/>
    </row>
    <row r="180" spans="4:26" ht="15" customHeight="1" x14ac:dyDescent="0.3">
      <c r="D180" s="39" t="str">
        <f>_xlfn.XLOOKUP(Table3253[[#This Row],[File Name]],'[1]Analyse 2 Detail 02-03'!A:A,'[1]Analyse 2 Detail 02-03'!R:R,"Not Found",0,1)</f>
        <v>Duomed Belgium NV/SA</v>
      </c>
      <c r="E180" s="31" t="s">
        <v>115</v>
      </c>
      <c r="F180" s="40" t="s">
        <v>31</v>
      </c>
      <c r="G180" s="41">
        <v>0</v>
      </c>
      <c r="H180" s="7">
        <f>IF($F180="unclassified","N/A",(_xlfn.XLOOKUP($E180,[1]Sheet2!$A:$A,[1]Sheet2!Q:Q,"N/A",0,1)))</f>
        <v>1</v>
      </c>
      <c r="I180" s="7">
        <f>IF($F180="unclassified","N/A",(_xlfn.XLOOKUP($E180,[1]Sheet2!$A:$A,[1]Sheet2!R:R,"N/A",0,1)))</f>
        <v>1</v>
      </c>
      <c r="J180" s="7">
        <f>IF($F180="unclassified","N/A",(_xlfn.XLOOKUP($E180,[1]Sheet2!$A:$A,[1]Sheet2!S:S,"N/A",0,1)))</f>
        <v>1</v>
      </c>
      <c r="K180" s="7">
        <f>IF($F180="unclassified","N/A",(_xlfn.XLOOKUP($E180,[1]Sheet2!$A:$A,[1]Sheet2!T:T,"N/A",0,1)))</f>
        <v>1</v>
      </c>
      <c r="L180" s="7">
        <f>IF($F180="unclassified","N/A",(_xlfn.XLOOKUP($E180,[1]Sheet2!$A:$A,[1]Sheet2!U:U,"N/A",0,1)))</f>
        <v>1</v>
      </c>
      <c r="M180" s="7">
        <f>IF($F180="unclassified","N/A",(_xlfn.XLOOKUP($E180,[1]Sheet2!$A:$A,[1]Sheet2!V:V,"N/A",0,1)))</f>
        <v>1</v>
      </c>
      <c r="N180" s="7"/>
      <c r="O180" s="7">
        <f>IF($F180="unclassified","N/A",(_xlfn.XLOOKUP($E180,[1]Sheet2!$A:$A,[1]Sheet2!W:W,"N/A",0,1)))</f>
        <v>1</v>
      </c>
      <c r="P180" s="7">
        <f>IF($F180="unclassified","N/A",(_xlfn.XLOOKUP($E180,[1]Sheet2!$A:$A,[1]Sheet2!X:X,"N/A",0,1)))</f>
        <v>1</v>
      </c>
      <c r="Q180" s="7">
        <f>IF($F180="unclassified","N/A",(_xlfn.XLOOKUP($E180,[1]Sheet2!$A:$A,[1]Sheet2!Y:Y,"N/A",0,1)))</f>
        <v>1</v>
      </c>
      <c r="R180" s="7">
        <f>IF($F180="unclassified","N/A",(_xlfn.XLOOKUP($E180,[1]Sheet2!$A:$A,[1]Sheet2!Z:Z,"N/A",0,1)))</f>
        <v>1</v>
      </c>
      <c r="S180" s="7">
        <f>IF($F180="unclassified","N/A",(_xlfn.XLOOKUP($E180,[1]Sheet2!$A:$A,[1]Sheet2!AA:AA,"N/A",0,1)))</f>
        <v>1</v>
      </c>
      <c r="T180" s="7">
        <f>IF($F180="unclassified","N/A",(_xlfn.XLOOKUP($E180,[1]Sheet2!$A:$A,[1]Sheet2!AB:AB,"N/A",0,1)))</f>
        <v>1</v>
      </c>
      <c r="U180" s="35">
        <f>IF($F180="unclassified","N/A",(AVERAGE(Table3253[[#This Row],[PO nr]:[Delivery Date]])))</f>
        <v>1</v>
      </c>
      <c r="V180" s="38"/>
      <c r="W180" s="38"/>
      <c r="X180" s="38"/>
      <c r="Y180" s="38"/>
      <c r="Z180" s="38"/>
    </row>
    <row r="181" spans="4:26" ht="15" customHeight="1" x14ac:dyDescent="0.3">
      <c r="D181" s="39" t="str">
        <f>_xlfn.XLOOKUP(Table3253[[#This Row],[File Name]],'[1]Analyse 2 Detail 02-03'!A:A,'[1]Analyse 2 Detail 02-03'!R:R,"Not Found",0,1)</f>
        <v>Duomed Belgium NV/SA</v>
      </c>
      <c r="E181" s="31" t="s">
        <v>116</v>
      </c>
      <c r="F181" s="40" t="s">
        <v>31</v>
      </c>
      <c r="G181" s="41">
        <v>0</v>
      </c>
      <c r="H181" s="7">
        <f>IF($F181="unclassified","N/A",(_xlfn.XLOOKUP($E181,[1]Sheet2!$A:$A,[1]Sheet2!Q:Q,"N/A",0,1)))</f>
        <v>1</v>
      </c>
      <c r="I181" s="7">
        <f>IF($F181="unclassified","N/A",(_xlfn.XLOOKUP($E181,[1]Sheet2!$A:$A,[1]Sheet2!R:R,"N/A",0,1)))</f>
        <v>1</v>
      </c>
      <c r="J181" s="7">
        <f>IF($F181="unclassified","N/A",(_xlfn.XLOOKUP($E181,[1]Sheet2!$A:$A,[1]Sheet2!S:S,"N/A",0,1)))</f>
        <v>1</v>
      </c>
      <c r="K181" s="7">
        <f>IF($F181="unclassified","N/A",(_xlfn.XLOOKUP($E181,[1]Sheet2!$A:$A,[1]Sheet2!T:T,"N/A",0,1)))</f>
        <v>1</v>
      </c>
      <c r="L181" s="7">
        <f>IF($F181="unclassified","N/A",(_xlfn.XLOOKUP($E181,[1]Sheet2!$A:$A,[1]Sheet2!U:U,"N/A",0,1)))</f>
        <v>1</v>
      </c>
      <c r="M181" s="7">
        <f>IF($F181="unclassified","N/A",(_xlfn.XLOOKUP($E181,[1]Sheet2!$A:$A,[1]Sheet2!V:V,"N/A",0,1)))</f>
        <v>1</v>
      </c>
      <c r="N181" s="7"/>
      <c r="O181" s="7">
        <f>IF($F181="unclassified","N/A",(_xlfn.XLOOKUP($E181,[1]Sheet2!$A:$A,[1]Sheet2!W:W,"N/A",0,1)))</f>
        <v>1</v>
      </c>
      <c r="P181" s="7">
        <f>IF($F181="unclassified","N/A",(_xlfn.XLOOKUP($E181,[1]Sheet2!$A:$A,[1]Sheet2!X:X,"N/A",0,1)))</f>
        <v>1</v>
      </c>
      <c r="Q181" s="7">
        <f>IF($F181="unclassified","N/A",(_xlfn.XLOOKUP($E181,[1]Sheet2!$A:$A,[1]Sheet2!Y:Y,"N/A",0,1)))</f>
        <v>1</v>
      </c>
      <c r="R181" s="7">
        <f>IF($F181="unclassified","N/A",(_xlfn.XLOOKUP($E181,[1]Sheet2!$A:$A,[1]Sheet2!Z:Z,"N/A",0,1)))</f>
        <v>1</v>
      </c>
      <c r="S181" s="7">
        <f>IF($F181="unclassified","N/A",(_xlfn.XLOOKUP($E181,[1]Sheet2!$A:$A,[1]Sheet2!AA:AA,"N/A",0,1)))</f>
        <v>1</v>
      </c>
      <c r="T181" s="7">
        <f>IF($F181="unclassified","N/A",(_xlfn.XLOOKUP($E181,[1]Sheet2!$A:$A,[1]Sheet2!AB:AB,"N/A",0,1)))</f>
        <v>1</v>
      </c>
      <c r="U181" s="35">
        <f>IF($F181="unclassified","N/A",(AVERAGE(Table3253[[#This Row],[PO nr]:[Delivery Date]])))</f>
        <v>1</v>
      </c>
      <c r="V181" s="38"/>
      <c r="W181" s="38"/>
      <c r="X181" s="38"/>
      <c r="Y181" s="38"/>
      <c r="Z181" s="38"/>
    </row>
    <row r="182" spans="4:26" ht="15" customHeight="1" x14ac:dyDescent="0.3">
      <c r="D182" s="39">
        <f>_xlfn.XLOOKUP(Table3253[[#This Row],[File Name]],'[1]Analyse 2 Detail 02-03'!A:A,'[1]Analyse 2 Detail 02-03'!R:R,"Not Found",0,1)</f>
        <v>0</v>
      </c>
      <c r="E182" s="31" t="s">
        <v>117</v>
      </c>
      <c r="F182" s="40" t="s">
        <v>31</v>
      </c>
      <c r="G182" s="41">
        <v>0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1</v>
      </c>
      <c r="N182" s="7"/>
      <c r="O182" s="7">
        <v>1</v>
      </c>
      <c r="P182" s="7">
        <v>1</v>
      </c>
      <c r="Q182" s="7">
        <v>1</v>
      </c>
      <c r="R182" s="7">
        <v>1</v>
      </c>
      <c r="S182" s="7">
        <v>1</v>
      </c>
      <c r="T182" s="7">
        <v>1</v>
      </c>
      <c r="U182" s="35">
        <f>IF($F182="unclassified","N/A",(AVERAGE(Table3253[[#This Row],[PO nr]:[Delivery Date]])))</f>
        <v>1</v>
      </c>
      <c r="V182" s="38"/>
      <c r="W182" s="38"/>
      <c r="X182" s="38"/>
      <c r="Y182" s="38"/>
      <c r="Z182" s="38"/>
    </row>
    <row r="183" spans="4:26" ht="15" customHeight="1" x14ac:dyDescent="0.3">
      <c r="D183" s="39" t="str">
        <f>_xlfn.XLOOKUP(Table3253[[#This Row],[File Name]],'[1]Analyse 2 Detail 02-03'!A:A,'[1]Analyse 2 Detail 02-03'!R:R,"Not Found",0,1)</f>
        <v>Medica Europe B.V.</v>
      </c>
      <c r="E183" s="31" t="s">
        <v>118</v>
      </c>
      <c r="F183" s="40" t="s">
        <v>31</v>
      </c>
      <c r="G183" s="41">
        <v>0</v>
      </c>
      <c r="H183" s="7">
        <f>IF($F183="unclassified","N/A",(_xlfn.XLOOKUP($E183,[1]Sheet2!$A:$A,[1]Sheet2!Q:Q,"N/A",0,1)))</f>
        <v>1</v>
      </c>
      <c r="I183" s="7">
        <f>IF($F183="unclassified","N/A",(_xlfn.XLOOKUP($E183,[1]Sheet2!$A:$A,[1]Sheet2!R:R,"N/A",0,1)))</f>
        <v>1</v>
      </c>
      <c r="J183" s="7">
        <f>IF($F183="unclassified","N/A",(_xlfn.XLOOKUP($E183,[1]Sheet2!$A:$A,[1]Sheet2!S:S,"N/A",0,1)))</f>
        <v>1</v>
      </c>
      <c r="K183" s="7">
        <f>IF($F183="unclassified","N/A",(_xlfn.XLOOKUP($E183,[1]Sheet2!$A:$A,[1]Sheet2!T:T,"N/A",0,1)))</f>
        <v>1</v>
      </c>
      <c r="L183" s="7">
        <f>IF($F183="unclassified","N/A",(_xlfn.XLOOKUP($E183,[1]Sheet2!$A:$A,[1]Sheet2!U:U,"N/A",0,1)))</f>
        <v>1</v>
      </c>
      <c r="M183" s="7">
        <f>IF($F183="unclassified","N/A",(_xlfn.XLOOKUP($E183,[1]Sheet2!$A:$A,[1]Sheet2!V:V,"N/A",0,1)))</f>
        <v>1</v>
      </c>
      <c r="N183" s="7"/>
      <c r="O183" s="7">
        <f>IF($F183="unclassified","N/A",(_xlfn.XLOOKUP($E183,[1]Sheet2!$A:$A,[1]Sheet2!W:W,"N/A",0,1)))</f>
        <v>1</v>
      </c>
      <c r="P183" s="7">
        <f>IF($F183="unclassified","N/A",(_xlfn.XLOOKUP($E183,[1]Sheet2!$A:$A,[1]Sheet2!X:X,"N/A",0,1)))</f>
        <v>1</v>
      </c>
      <c r="Q183" s="7">
        <f>IF($F183="unclassified","N/A",(_xlfn.XLOOKUP($E183,[1]Sheet2!$A:$A,[1]Sheet2!Y:Y,"N/A",0,1)))</f>
        <v>1</v>
      </c>
      <c r="R183" s="7">
        <f>IF($F183="unclassified","N/A",(_xlfn.XLOOKUP($E183,[1]Sheet2!$A:$A,[1]Sheet2!Z:Z,"N/A",0,1)))</f>
        <v>1</v>
      </c>
      <c r="S183" s="7">
        <f>IF($F183="unclassified","N/A",(_xlfn.XLOOKUP($E183,[1]Sheet2!$A:$A,[1]Sheet2!AA:AA,"N/A",0,1)))</f>
        <v>1</v>
      </c>
      <c r="T183" s="7">
        <f>IF($F183="unclassified","N/A",(_xlfn.XLOOKUP($E183,[1]Sheet2!$A:$A,[1]Sheet2!AB:AB,"N/A",0,1)))</f>
        <v>1</v>
      </c>
      <c r="U183" s="35">
        <f>IF($F183="unclassified","N/A",(AVERAGE(Table3253[[#This Row],[PO nr]:[Delivery Date]])))</f>
        <v>1</v>
      </c>
      <c r="V183" s="38"/>
      <c r="W183" s="38"/>
      <c r="X183" s="38"/>
      <c r="Y183" s="38"/>
      <c r="Z183" s="38"/>
    </row>
    <row r="184" spans="4:26" ht="15" customHeight="1" x14ac:dyDescent="0.3">
      <c r="D184" s="39" t="str">
        <f>_xlfn.XLOOKUP(Table3253[[#This Row],[File Name]],'[1]Analyse 2 Detail 02-03'!A:A,'[1]Analyse 2 Detail 02-03'!R:R,"Not Found",0,1)</f>
        <v>Medica Europe B.V.</v>
      </c>
      <c r="E184" s="31" t="s">
        <v>118</v>
      </c>
      <c r="F184" s="40" t="s">
        <v>31</v>
      </c>
      <c r="G184" s="41">
        <v>0</v>
      </c>
      <c r="H184" s="7">
        <f>IF($F184="unclassified","N/A",(_xlfn.XLOOKUP($E184,[1]Sheet2!$A:$A,[1]Sheet2!Q:Q,"N/A",0,1)))</f>
        <v>1</v>
      </c>
      <c r="I184" s="7">
        <f>IF($F184="unclassified","N/A",(_xlfn.XLOOKUP($E184,[1]Sheet2!$A:$A,[1]Sheet2!R:R,"N/A",0,1)))</f>
        <v>1</v>
      </c>
      <c r="J184" s="7">
        <f>IF($F184="unclassified","N/A",(_xlfn.XLOOKUP($E184,[1]Sheet2!$A:$A,[1]Sheet2!S:S,"N/A",0,1)))</f>
        <v>1</v>
      </c>
      <c r="K184" s="7">
        <f>IF($F184="unclassified","N/A",(_xlfn.XLOOKUP($E184,[1]Sheet2!$A:$A,[1]Sheet2!T:T,"N/A",0,1)))</f>
        <v>1</v>
      </c>
      <c r="L184" s="7">
        <f>IF($F184="unclassified","N/A",(_xlfn.XLOOKUP($E184,[1]Sheet2!$A:$A,[1]Sheet2!U:U,"N/A",0,1)))</f>
        <v>1</v>
      </c>
      <c r="M184" s="7">
        <f>IF($F184="unclassified","N/A",(_xlfn.XLOOKUP($E184,[1]Sheet2!$A:$A,[1]Sheet2!V:V,"N/A",0,1)))</f>
        <v>1</v>
      </c>
      <c r="N184" s="7"/>
      <c r="O184" s="7">
        <f>IF($F184="unclassified","N/A",(_xlfn.XLOOKUP($E184,[1]Sheet2!$A:$A,[1]Sheet2!W:W,"N/A",0,1)))</f>
        <v>1</v>
      </c>
      <c r="P184" s="7">
        <f>IF($F184="unclassified","N/A",(_xlfn.XLOOKUP($E184,[1]Sheet2!$A:$A,[1]Sheet2!X:X,"N/A",0,1)))</f>
        <v>1</v>
      </c>
      <c r="Q184" s="7">
        <f>IF($F184="unclassified","N/A",(_xlfn.XLOOKUP($E184,[1]Sheet2!$A:$A,[1]Sheet2!Y:Y,"N/A",0,1)))</f>
        <v>1</v>
      </c>
      <c r="R184" s="7">
        <f>IF($F184="unclassified","N/A",(_xlfn.XLOOKUP($E184,[1]Sheet2!$A:$A,[1]Sheet2!Z:Z,"N/A",0,1)))</f>
        <v>1</v>
      </c>
      <c r="S184" s="7">
        <f>IF($F184="unclassified","N/A",(_xlfn.XLOOKUP($E184,[1]Sheet2!$A:$A,[1]Sheet2!AA:AA,"N/A",0,1)))</f>
        <v>1</v>
      </c>
      <c r="T184" s="7">
        <f>IF($F184="unclassified","N/A",(_xlfn.XLOOKUP($E184,[1]Sheet2!$A:$A,[1]Sheet2!AB:AB,"N/A",0,1)))</f>
        <v>1</v>
      </c>
      <c r="U184" s="35">
        <f>IF($F184="unclassified","N/A",(AVERAGE(Table3253[[#This Row],[PO nr]:[Delivery Date]])))</f>
        <v>1</v>
      </c>
      <c r="V184" s="38"/>
      <c r="W184" s="38"/>
      <c r="X184" s="38"/>
      <c r="Y184" s="38"/>
      <c r="Z184" s="38"/>
    </row>
    <row r="185" spans="4:26" ht="15" customHeight="1" x14ac:dyDescent="0.3">
      <c r="D185" s="39" t="str">
        <f>_xlfn.XLOOKUP(Table3253[[#This Row],[File Name]],'[1]Analyse 2 Detail 02-03'!A:A,'[1]Analyse 2 Detail 02-03'!R:R,"Not Found",0,1)</f>
        <v>Fresenius Medical Care Nederland BV</v>
      </c>
      <c r="E185" s="31" t="s">
        <v>119</v>
      </c>
      <c r="F185" s="40" t="s">
        <v>31</v>
      </c>
      <c r="G185" s="41">
        <v>5</v>
      </c>
      <c r="H185" s="7">
        <f>IF($F185="unclassified","N/A",(_xlfn.XLOOKUP($E185,[1]Sheet2!$A:$A,[1]Sheet2!Q:Q,"N/A",0,1)))</f>
        <v>1</v>
      </c>
      <c r="I185" s="7">
        <f>IF($F185="unclassified","N/A",(_xlfn.XLOOKUP($E185,[1]Sheet2!$A:$A,[1]Sheet2!R:R,"N/A",0,1)))</f>
        <v>1</v>
      </c>
      <c r="J185" s="7">
        <f>IF($F185="unclassified","N/A",(_xlfn.XLOOKUP($E185,[1]Sheet2!$A:$A,[1]Sheet2!S:S,"N/A",0,1)))</f>
        <v>1</v>
      </c>
      <c r="K185" s="7">
        <f>IF($F185="unclassified","N/A",(_xlfn.XLOOKUP($E185,[1]Sheet2!$A:$A,[1]Sheet2!T:T,"N/A",0,1)))</f>
        <v>1</v>
      </c>
      <c r="L185" s="7">
        <f>IF($F185="unclassified","N/A",(_xlfn.XLOOKUP($E185,[1]Sheet2!$A:$A,[1]Sheet2!U:U,"N/A",0,1)))</f>
        <v>1</v>
      </c>
      <c r="M185" s="7">
        <f>IF($F185="unclassified","N/A",(_xlfn.XLOOKUP($E185,[1]Sheet2!$A:$A,[1]Sheet2!V:V,"N/A",0,1)))</f>
        <v>1</v>
      </c>
      <c r="N185" s="7"/>
      <c r="O185" s="7">
        <f>IF($F185="unclassified","N/A",(_xlfn.XLOOKUP($E185,[1]Sheet2!$A:$A,[1]Sheet2!W:W,"N/A",0,1)))</f>
        <v>1</v>
      </c>
      <c r="P185" s="7">
        <f>IF($F185="unclassified","N/A",(_xlfn.XLOOKUP($E185,[1]Sheet2!$A:$A,[1]Sheet2!X:X,"N/A",0,1)))</f>
        <v>1</v>
      </c>
      <c r="Q185" s="7">
        <f>IF($F185="unclassified","N/A",(_xlfn.XLOOKUP($E185,[1]Sheet2!$A:$A,[1]Sheet2!Y:Y,"N/A",0,1)))</f>
        <v>1</v>
      </c>
      <c r="R185" s="7">
        <f>IF($F185="unclassified","N/A",(_xlfn.XLOOKUP($E185,[1]Sheet2!$A:$A,[1]Sheet2!Z:Z,"N/A",0,1)))</f>
        <v>1</v>
      </c>
      <c r="S185" s="7">
        <v>1</v>
      </c>
      <c r="T185" s="7">
        <v>1</v>
      </c>
      <c r="U185" s="35">
        <f>IF($F185="unclassified","N/A",(AVERAGE(Table3253[[#This Row],[PO nr]:[Delivery Date]])))</f>
        <v>1</v>
      </c>
      <c r="V185" s="38" t="s">
        <v>120</v>
      </c>
      <c r="W185" s="38" t="s">
        <v>121</v>
      </c>
      <c r="X185" s="38"/>
      <c r="Y185" s="38"/>
      <c r="Z185" s="38"/>
    </row>
    <row r="186" spans="4:26" ht="15" customHeight="1" x14ac:dyDescent="0.3">
      <c r="D186" s="39">
        <f>_xlfn.XLOOKUP(Table3253[[#This Row],[File Name]],'[1]Analyse 2 Detail 02-03'!A:A,'[1]Analyse 2 Detail 02-03'!R:R,"Not Found",0,1)</f>
        <v>0</v>
      </c>
      <c r="E186" s="31" t="s">
        <v>122</v>
      </c>
      <c r="F186" s="40" t="s">
        <v>31</v>
      </c>
      <c r="G186" s="41">
        <v>0</v>
      </c>
      <c r="H186" s="7">
        <v>1</v>
      </c>
      <c r="I186" s="7">
        <v>1</v>
      </c>
      <c r="J186" s="7">
        <v>1</v>
      </c>
      <c r="K186" s="7">
        <v>1</v>
      </c>
      <c r="L186" s="7">
        <v>1</v>
      </c>
      <c r="M186" s="7">
        <v>1</v>
      </c>
      <c r="N186" s="7"/>
      <c r="O186" s="7">
        <v>1</v>
      </c>
      <c r="P186" s="7">
        <v>1</v>
      </c>
      <c r="Q186" s="7">
        <v>1</v>
      </c>
      <c r="R186" s="7">
        <v>1</v>
      </c>
      <c r="S186" s="7">
        <v>1</v>
      </c>
      <c r="T186" s="7">
        <v>1</v>
      </c>
      <c r="U186" s="35">
        <f>IF($F186="unclassified","N/A",(AVERAGE(Table3253[[#This Row],[PO nr]:[Delivery Date]])))</f>
        <v>1</v>
      </c>
      <c r="V186" s="38"/>
      <c r="W186" s="38"/>
      <c r="X186" s="38"/>
      <c r="Y186" s="38"/>
      <c r="Z186" s="38"/>
    </row>
    <row r="187" spans="4:26" ht="15" customHeight="1" x14ac:dyDescent="0.3">
      <c r="D187" s="39" t="str">
        <f>_xlfn.XLOOKUP(Table3253[[#This Row],[File Name]],'[1]Analyse 2 Detail 02-03'!A:A,'[1]Analyse 2 Detail 02-03'!R:R,"Not Found",0,1)</f>
        <v>Fresenius Medical Care Nederland BV</v>
      </c>
      <c r="E187" s="31" t="s">
        <v>123</v>
      </c>
      <c r="F187" s="40" t="s">
        <v>31</v>
      </c>
      <c r="G187" s="41">
        <v>3</v>
      </c>
      <c r="H187" s="7">
        <f>IF($F187="unclassified","N/A",(_xlfn.XLOOKUP($E187,[1]Sheet2!$A:$A,[1]Sheet2!Q:Q,"N/A",0,1)))</f>
        <v>1</v>
      </c>
      <c r="I187" s="7">
        <f>IF($F187="unclassified","N/A",(_xlfn.XLOOKUP($E187,[1]Sheet2!$A:$A,[1]Sheet2!R:R,"N/A",0,1)))</f>
        <v>1</v>
      </c>
      <c r="J187" s="7">
        <f>IF($F187="unclassified","N/A",(_xlfn.XLOOKUP($E187,[1]Sheet2!$A:$A,[1]Sheet2!S:S,"N/A",0,1)))</f>
        <v>1</v>
      </c>
      <c r="K187" s="7">
        <f>IF($F187="unclassified","N/A",(_xlfn.XLOOKUP($E187,[1]Sheet2!$A:$A,[1]Sheet2!T:T,"N/A",0,1)))</f>
        <v>1</v>
      </c>
      <c r="L187" s="7">
        <f>IF($F187="unclassified","N/A",(_xlfn.XLOOKUP($E187,[1]Sheet2!$A:$A,[1]Sheet2!U:U,"N/A",0,1)))</f>
        <v>1</v>
      </c>
      <c r="M187" s="7">
        <f>IF($F187="unclassified","N/A",(_xlfn.XLOOKUP($E187,[1]Sheet2!$A:$A,[1]Sheet2!V:V,"N/A",0,1)))</f>
        <v>1</v>
      </c>
      <c r="N187" s="7"/>
      <c r="O187" s="7">
        <f>IF($F187="unclassified","N/A",(_xlfn.XLOOKUP($E187,[1]Sheet2!$A:$A,[1]Sheet2!W:W,"N/A",0,1)))</f>
        <v>1</v>
      </c>
      <c r="P187" s="7">
        <f>IF($F187="unclassified","N/A",(_xlfn.XLOOKUP($E187,[1]Sheet2!$A:$A,[1]Sheet2!X:X,"N/A",0,1)))</f>
        <v>1</v>
      </c>
      <c r="Q187" s="7">
        <f>IF($F187="unclassified","N/A",(_xlfn.XLOOKUP($E187,[1]Sheet2!$A:$A,[1]Sheet2!Y:Y,"N/A",0,1)))</f>
        <v>1</v>
      </c>
      <c r="R187" s="7">
        <f>IF($F187="unclassified","N/A",(_xlfn.XLOOKUP($E187,[1]Sheet2!$A:$A,[1]Sheet2!Z:Z,"N/A",0,1)))</f>
        <v>1</v>
      </c>
      <c r="S187" s="7">
        <f>IF($F187="unclassified","N/A",(_xlfn.XLOOKUP($E187,[1]Sheet2!$A:$A,[1]Sheet2!AA:AA,"N/A",0,1)))</f>
        <v>1</v>
      </c>
      <c r="T187" s="7">
        <v>1</v>
      </c>
      <c r="U187" s="35">
        <f>IF($F187="unclassified","N/A",(AVERAGE(Table3253[[#This Row],[PO nr]:[Delivery Date]])))</f>
        <v>1</v>
      </c>
      <c r="V187" s="38" t="s">
        <v>124</v>
      </c>
      <c r="W187" s="38"/>
      <c r="X187" s="38"/>
      <c r="Y187" s="38"/>
      <c r="Z187" s="38"/>
    </row>
    <row r="188" spans="4:26" ht="15" customHeight="1" x14ac:dyDescent="0.3">
      <c r="D188" s="39" t="str">
        <f>_xlfn.XLOOKUP(Table3253[[#This Row],[File Name]],'[1]Analyse 2 Detail 02-03'!A:A,'[1]Analyse 2 Detail 02-03'!R:R,"Not Found",0,1)</f>
        <v>Fresenius Medical Care Nederland BV</v>
      </c>
      <c r="E188" s="31" t="s">
        <v>125</v>
      </c>
      <c r="F188" s="40" t="s">
        <v>31</v>
      </c>
      <c r="G188" s="41">
        <v>1</v>
      </c>
      <c r="H188" s="7">
        <f>IF($F188="unclassified","N/A",(_xlfn.XLOOKUP($E188,[1]Sheet2!$A:$A,[1]Sheet2!Q:Q,"N/A",0,1)))</f>
        <v>1</v>
      </c>
      <c r="I188" s="7">
        <f>IF($F188="unclassified","N/A",(_xlfn.XLOOKUP($E188,[1]Sheet2!$A:$A,[1]Sheet2!R:R,"N/A",0,1)))</f>
        <v>1</v>
      </c>
      <c r="J188" s="7">
        <f>IF($F188="unclassified","N/A",(_xlfn.XLOOKUP($E188,[1]Sheet2!$A:$A,[1]Sheet2!S:S,"N/A",0,1)))</f>
        <v>1</v>
      </c>
      <c r="K188" s="7">
        <f>IF($F188="unclassified","N/A",(_xlfn.XLOOKUP($E188,[1]Sheet2!$A:$A,[1]Sheet2!T:T,"N/A",0,1)))</f>
        <v>1</v>
      </c>
      <c r="L188" s="7">
        <f>IF($F188="unclassified","N/A",(_xlfn.XLOOKUP($E188,[1]Sheet2!$A:$A,[1]Sheet2!U:U,"N/A",0,1)))</f>
        <v>1</v>
      </c>
      <c r="M188" s="7">
        <f>IF($F188="unclassified","N/A",(_xlfn.XLOOKUP($E188,[1]Sheet2!$A:$A,[1]Sheet2!V:V,"N/A",0,1)))</f>
        <v>1</v>
      </c>
      <c r="N188" s="7"/>
      <c r="O188" s="7">
        <f>IF($F188="unclassified","N/A",(_xlfn.XLOOKUP($E188,[1]Sheet2!$A:$A,[1]Sheet2!W:W,"N/A",0,1)))</f>
        <v>1</v>
      </c>
      <c r="P188" s="7">
        <f>IF($F188="unclassified","N/A",(_xlfn.XLOOKUP($E188,[1]Sheet2!$A:$A,[1]Sheet2!X:X,"N/A",0,1)))</f>
        <v>1</v>
      </c>
      <c r="Q188" s="7">
        <f>IF($F188="unclassified","N/A",(_xlfn.XLOOKUP($E188,[1]Sheet2!$A:$A,[1]Sheet2!Y:Y,"N/A",0,1)))</f>
        <v>1</v>
      </c>
      <c r="R188" s="7">
        <f>IF($F188="unclassified","N/A",(_xlfn.XLOOKUP($E188,[1]Sheet2!$A:$A,[1]Sheet2!Z:Z,"N/A",0,1)))</f>
        <v>1</v>
      </c>
      <c r="S188" s="7">
        <v>1</v>
      </c>
      <c r="T188" s="7">
        <v>1</v>
      </c>
      <c r="U188" s="35">
        <f>IF($F188="unclassified","N/A",(AVERAGE(Table3253[[#This Row],[PO nr]:[Delivery Date]])))</f>
        <v>1</v>
      </c>
      <c r="V188" s="38" t="s">
        <v>126</v>
      </c>
      <c r="W188" s="38" t="s">
        <v>121</v>
      </c>
      <c r="X188" s="38"/>
      <c r="Y188" s="38"/>
      <c r="Z188" s="38"/>
    </row>
    <row r="189" spans="4:26" ht="15" customHeight="1" x14ac:dyDescent="0.3">
      <c r="D189" s="39">
        <f>_xlfn.XLOOKUP(Table3253[[#This Row],[File Name]],'[1]Analyse 2 Detail 02-03'!A:A,'[1]Analyse 2 Detail 02-03'!R:R,"Not Found",0,1)</f>
        <v>0</v>
      </c>
      <c r="E189" s="31" t="s">
        <v>127</v>
      </c>
      <c r="F189" s="40" t="s">
        <v>37</v>
      </c>
      <c r="G189" s="41">
        <v>0</v>
      </c>
      <c r="H189" s="7" t="str">
        <f>IF($F189="unclassified","N/A",(_xlfn.XLOOKUP($E189,[1]Sheet2!$A:$A,[1]Sheet2!Q:Q,"N/A",0,1)))</f>
        <v>N/A</v>
      </c>
      <c r="I189" s="7" t="str">
        <f>IF($F189="unclassified","N/A",(_xlfn.XLOOKUP($E189,[1]Sheet2!$A:$A,[1]Sheet2!R:R,"N/A",0,1)))</f>
        <v>N/A</v>
      </c>
      <c r="J189" s="7" t="str">
        <f>IF($F189="unclassified","N/A",(_xlfn.XLOOKUP($E189,[1]Sheet2!$A:$A,[1]Sheet2!S:S,"N/A",0,1)))</f>
        <v>N/A</v>
      </c>
      <c r="K189" s="7" t="str">
        <f>IF($F189="unclassified","N/A",(_xlfn.XLOOKUP($E189,[1]Sheet2!$A:$A,[1]Sheet2!T:T,"N/A",0,1)))</f>
        <v>N/A</v>
      </c>
      <c r="L189" s="7" t="str">
        <f>IF($F189="unclassified","N/A",(_xlfn.XLOOKUP($E189,[1]Sheet2!$A:$A,[1]Sheet2!U:U,"N/A",0,1)))</f>
        <v>N/A</v>
      </c>
      <c r="M189" s="7" t="str">
        <f>IF($F189="unclassified","N/A",(_xlfn.XLOOKUP($E189,[1]Sheet2!$A:$A,[1]Sheet2!V:V,"N/A",0,1)))</f>
        <v>N/A</v>
      </c>
      <c r="N189" s="7"/>
      <c r="O189" s="7" t="str">
        <f>IF($F189="unclassified","N/A",(_xlfn.XLOOKUP($E189,[1]Sheet2!$A:$A,[1]Sheet2!W:W,"N/A",0,1)))</f>
        <v>N/A</v>
      </c>
      <c r="P189" s="7" t="str">
        <f>IF($F189="unclassified","N/A",(_xlfn.XLOOKUP($E189,[1]Sheet2!$A:$A,[1]Sheet2!X:X,"N/A",0,1)))</f>
        <v>N/A</v>
      </c>
      <c r="Q189" s="7" t="str">
        <f>IF($F189="unclassified","N/A",(_xlfn.XLOOKUP($E189,[1]Sheet2!$A:$A,[1]Sheet2!Y:Y,"N/A",0,1)))</f>
        <v>N/A</v>
      </c>
      <c r="R189" s="7" t="str">
        <f>IF($F189="unclassified","N/A",(_xlfn.XLOOKUP($E189,[1]Sheet2!$A:$A,[1]Sheet2!Z:Z,"N/A",0,1)))</f>
        <v>N/A</v>
      </c>
      <c r="S189" s="7" t="str">
        <f>IF($F189="unclassified","N/A",(_xlfn.XLOOKUP($E189,[1]Sheet2!$A:$A,[1]Sheet2!AA:AA,"N/A",0,1)))</f>
        <v>N/A</v>
      </c>
      <c r="T189" s="7" t="str">
        <f>IF($F189="unclassified","N/A",(_xlfn.XLOOKUP($E189,[1]Sheet2!$A:$A,[1]Sheet2!AB:AB,"N/A",0,1)))</f>
        <v>N/A</v>
      </c>
      <c r="U189" s="35" t="str">
        <f>IF($F189="unclassified","N/A",(AVERAGE(Table3253[[#This Row],[PO nr]:[Delivery Date]])))</f>
        <v>N/A</v>
      </c>
      <c r="V189" s="38"/>
      <c r="W189" s="38"/>
      <c r="X189" s="38"/>
      <c r="Y189" s="38"/>
      <c r="Z189" s="38"/>
    </row>
    <row r="190" spans="4:26" ht="15" customHeight="1" x14ac:dyDescent="0.3">
      <c r="D190" s="39">
        <f>_xlfn.XLOOKUP(Table3253[[#This Row],[File Name]],'[1]Analyse 2 Detail 02-03'!A:A,'[1]Analyse 2 Detail 02-03'!R:R,"Not Found",0,1)</f>
        <v>0</v>
      </c>
      <c r="E190" s="31" t="s">
        <v>128</v>
      </c>
      <c r="F190" s="40" t="s">
        <v>37</v>
      </c>
      <c r="G190" s="41">
        <v>0</v>
      </c>
      <c r="H190" s="7" t="str">
        <f>IF($F190="unclassified","N/A",(_xlfn.XLOOKUP($E190,[1]Sheet2!$A:$A,[1]Sheet2!Q:Q,"N/A",0,1)))</f>
        <v>N/A</v>
      </c>
      <c r="I190" s="7" t="str">
        <f>IF($F190="unclassified","N/A",(_xlfn.XLOOKUP($E190,[1]Sheet2!$A:$A,[1]Sheet2!R:R,"N/A",0,1)))</f>
        <v>N/A</v>
      </c>
      <c r="J190" s="7" t="str">
        <f>IF($F190="unclassified","N/A",(_xlfn.XLOOKUP($E190,[1]Sheet2!$A:$A,[1]Sheet2!S:S,"N/A",0,1)))</f>
        <v>N/A</v>
      </c>
      <c r="K190" s="7" t="str">
        <f>IF($F190="unclassified","N/A",(_xlfn.XLOOKUP($E190,[1]Sheet2!$A:$A,[1]Sheet2!T:T,"N/A",0,1)))</f>
        <v>N/A</v>
      </c>
      <c r="L190" s="7" t="str">
        <f>IF($F190="unclassified","N/A",(_xlfn.XLOOKUP($E190,[1]Sheet2!$A:$A,[1]Sheet2!U:U,"N/A",0,1)))</f>
        <v>N/A</v>
      </c>
      <c r="M190" s="7" t="str">
        <f>IF($F190="unclassified","N/A",(_xlfn.XLOOKUP($E190,[1]Sheet2!$A:$A,[1]Sheet2!V:V,"N/A",0,1)))</f>
        <v>N/A</v>
      </c>
      <c r="N190" s="7"/>
      <c r="O190" s="7" t="str">
        <f>IF($F190="unclassified","N/A",(_xlfn.XLOOKUP($E190,[1]Sheet2!$A:$A,[1]Sheet2!W:W,"N/A",0,1)))</f>
        <v>N/A</v>
      </c>
      <c r="P190" s="7" t="str">
        <f>IF($F190="unclassified","N/A",(_xlfn.XLOOKUP($E190,[1]Sheet2!$A:$A,[1]Sheet2!X:X,"N/A",0,1)))</f>
        <v>N/A</v>
      </c>
      <c r="Q190" s="7" t="str">
        <f>IF($F190="unclassified","N/A",(_xlfn.XLOOKUP($E190,[1]Sheet2!$A:$A,[1]Sheet2!Y:Y,"N/A",0,1)))</f>
        <v>N/A</v>
      </c>
      <c r="R190" s="7" t="str">
        <f>IF($F190="unclassified","N/A",(_xlfn.XLOOKUP($E190,[1]Sheet2!$A:$A,[1]Sheet2!Z:Z,"N/A",0,1)))</f>
        <v>N/A</v>
      </c>
      <c r="S190" s="7" t="str">
        <f>IF($F190="unclassified","N/A",(_xlfn.XLOOKUP($E190,[1]Sheet2!$A:$A,[1]Sheet2!AA:AA,"N/A",0,1)))</f>
        <v>N/A</v>
      </c>
      <c r="T190" s="7" t="str">
        <f>IF($F190="unclassified","N/A",(_xlfn.XLOOKUP($E190,[1]Sheet2!$A:$A,[1]Sheet2!AB:AB,"N/A",0,1)))</f>
        <v>N/A</v>
      </c>
      <c r="U190" s="35" t="str">
        <f>IF($F190="unclassified","N/A",(AVERAGE(Table3253[[#This Row],[PO nr]:[Delivery Date]])))</f>
        <v>N/A</v>
      </c>
      <c r="V190" s="38"/>
      <c r="W190" s="38"/>
      <c r="X190" s="38"/>
      <c r="Y190" s="38"/>
      <c r="Z190" s="38"/>
    </row>
    <row r="191" spans="4:26" ht="15" customHeight="1" x14ac:dyDescent="0.3">
      <c r="D191" s="39">
        <f>_xlfn.XLOOKUP(Table3253[[#This Row],[File Name]],'[1]Analyse 2 Detail 02-03'!A:A,'[1]Analyse 2 Detail 02-03'!R:R,"Not Found",0,1)</f>
        <v>0</v>
      </c>
      <c r="E191" s="31" t="s">
        <v>129</v>
      </c>
      <c r="F191" s="40" t="s">
        <v>37</v>
      </c>
      <c r="G191" s="41">
        <v>0</v>
      </c>
      <c r="H191" s="7" t="str">
        <f>IF($F191="unclassified","N/A",(_xlfn.XLOOKUP($E191,[1]Sheet2!$A:$A,[1]Sheet2!Q:Q,"N/A",0,1)))</f>
        <v>N/A</v>
      </c>
      <c r="I191" s="7" t="str">
        <f>IF($F191="unclassified","N/A",(_xlfn.XLOOKUP($E191,[1]Sheet2!$A:$A,[1]Sheet2!R:R,"N/A",0,1)))</f>
        <v>N/A</v>
      </c>
      <c r="J191" s="7" t="str">
        <f>IF($F191="unclassified","N/A",(_xlfn.XLOOKUP($E191,[1]Sheet2!$A:$A,[1]Sheet2!S:S,"N/A",0,1)))</f>
        <v>N/A</v>
      </c>
      <c r="K191" s="7" t="str">
        <f>IF($F191="unclassified","N/A",(_xlfn.XLOOKUP($E191,[1]Sheet2!$A:$A,[1]Sheet2!T:T,"N/A",0,1)))</f>
        <v>N/A</v>
      </c>
      <c r="L191" s="7" t="str">
        <f>IF($F191="unclassified","N/A",(_xlfn.XLOOKUP($E191,[1]Sheet2!$A:$A,[1]Sheet2!U:U,"N/A",0,1)))</f>
        <v>N/A</v>
      </c>
      <c r="M191" s="7" t="str">
        <f>IF($F191="unclassified","N/A",(_xlfn.XLOOKUP($E191,[1]Sheet2!$A:$A,[1]Sheet2!V:V,"N/A",0,1)))</f>
        <v>N/A</v>
      </c>
      <c r="N191" s="7"/>
      <c r="O191" s="7" t="str">
        <f>IF($F191="unclassified","N/A",(_xlfn.XLOOKUP($E191,[1]Sheet2!$A:$A,[1]Sheet2!W:W,"N/A",0,1)))</f>
        <v>N/A</v>
      </c>
      <c r="P191" s="7" t="str">
        <f>IF($F191="unclassified","N/A",(_xlfn.XLOOKUP($E191,[1]Sheet2!$A:$A,[1]Sheet2!X:X,"N/A",0,1)))</f>
        <v>N/A</v>
      </c>
      <c r="Q191" s="7" t="str">
        <f>IF($F191="unclassified","N/A",(_xlfn.XLOOKUP($E191,[1]Sheet2!$A:$A,[1]Sheet2!Y:Y,"N/A",0,1)))</f>
        <v>N/A</v>
      </c>
      <c r="R191" s="7" t="str">
        <f>IF($F191="unclassified","N/A",(_xlfn.XLOOKUP($E191,[1]Sheet2!$A:$A,[1]Sheet2!Z:Z,"N/A",0,1)))</f>
        <v>N/A</v>
      </c>
      <c r="S191" s="7" t="str">
        <f>IF($F191="unclassified","N/A",(_xlfn.XLOOKUP($E191,[1]Sheet2!$A:$A,[1]Sheet2!AA:AA,"N/A",0,1)))</f>
        <v>N/A</v>
      </c>
      <c r="T191" s="7" t="str">
        <f>IF($F191="unclassified","N/A",(_xlfn.XLOOKUP($E191,[1]Sheet2!$A:$A,[1]Sheet2!AB:AB,"N/A",0,1)))</f>
        <v>N/A</v>
      </c>
      <c r="U191" s="35" t="str">
        <f>IF($F191="unclassified","N/A",(AVERAGE(Table3253[[#This Row],[PO nr]:[Delivery Date]])))</f>
        <v>N/A</v>
      </c>
      <c r="V191" s="38"/>
      <c r="W191" s="38"/>
      <c r="X191" s="38"/>
      <c r="Y191" s="38"/>
      <c r="Z191" s="38"/>
    </row>
    <row r="192" spans="4:26" ht="15" customHeight="1" x14ac:dyDescent="0.3">
      <c r="D192" s="39">
        <f>_xlfn.XLOOKUP(Table3253[[#This Row],[File Name]],'[1]Analyse 2 Detail 02-03'!A:A,'[1]Analyse 2 Detail 02-03'!R:R,"Not Found",0,1)</f>
        <v>0</v>
      </c>
      <c r="E192" s="31" t="s">
        <v>130</v>
      </c>
      <c r="F192" s="40" t="s">
        <v>37</v>
      </c>
      <c r="G192" s="41">
        <v>0</v>
      </c>
      <c r="H192" s="7" t="str">
        <f>IF($F192="unclassified","N/A",(_xlfn.XLOOKUP($E192,[1]Sheet2!$A:$A,[1]Sheet2!Q:Q,"N/A",0,1)))</f>
        <v>N/A</v>
      </c>
      <c r="I192" s="7" t="str">
        <f>IF($F192="unclassified","N/A",(_xlfn.XLOOKUP($E192,[1]Sheet2!$A:$A,[1]Sheet2!R:R,"N/A",0,1)))</f>
        <v>N/A</v>
      </c>
      <c r="J192" s="7" t="str">
        <f>IF($F192="unclassified","N/A",(_xlfn.XLOOKUP($E192,[1]Sheet2!$A:$A,[1]Sheet2!S:S,"N/A",0,1)))</f>
        <v>N/A</v>
      </c>
      <c r="K192" s="7" t="str">
        <f>IF($F192="unclassified","N/A",(_xlfn.XLOOKUP($E192,[1]Sheet2!$A:$A,[1]Sheet2!T:T,"N/A",0,1)))</f>
        <v>N/A</v>
      </c>
      <c r="L192" s="7" t="str">
        <f>IF($F192="unclassified","N/A",(_xlfn.XLOOKUP($E192,[1]Sheet2!$A:$A,[1]Sheet2!U:U,"N/A",0,1)))</f>
        <v>N/A</v>
      </c>
      <c r="M192" s="7" t="str">
        <f>IF($F192="unclassified","N/A",(_xlfn.XLOOKUP($E192,[1]Sheet2!$A:$A,[1]Sheet2!V:V,"N/A",0,1)))</f>
        <v>N/A</v>
      </c>
      <c r="N192" s="7"/>
      <c r="O192" s="7" t="str">
        <f>IF($F192="unclassified","N/A",(_xlfn.XLOOKUP($E192,[1]Sheet2!$A:$A,[1]Sheet2!W:W,"N/A",0,1)))</f>
        <v>N/A</v>
      </c>
      <c r="P192" s="7" t="str">
        <f>IF($F192="unclassified","N/A",(_xlfn.XLOOKUP($E192,[1]Sheet2!$A:$A,[1]Sheet2!X:X,"N/A",0,1)))</f>
        <v>N/A</v>
      </c>
      <c r="Q192" s="7" t="str">
        <f>IF($F192="unclassified","N/A",(_xlfn.XLOOKUP($E192,[1]Sheet2!$A:$A,[1]Sheet2!Y:Y,"N/A",0,1)))</f>
        <v>N/A</v>
      </c>
      <c r="R192" s="7" t="str">
        <f>IF($F192="unclassified","N/A",(_xlfn.XLOOKUP($E192,[1]Sheet2!$A:$A,[1]Sheet2!Z:Z,"N/A",0,1)))</f>
        <v>N/A</v>
      </c>
      <c r="S192" s="7" t="str">
        <f>IF($F192="unclassified","N/A",(_xlfn.XLOOKUP($E192,[1]Sheet2!$A:$A,[1]Sheet2!AA:AA,"N/A",0,1)))</f>
        <v>N/A</v>
      </c>
      <c r="T192" s="7" t="str">
        <f>IF($F192="unclassified","N/A",(_xlfn.XLOOKUP($E192,[1]Sheet2!$A:$A,[1]Sheet2!AB:AB,"N/A",0,1)))</f>
        <v>N/A</v>
      </c>
      <c r="U192" s="35" t="str">
        <f>IF($F192="unclassified","N/A",(AVERAGE(Table3253[[#This Row],[PO nr]:[Delivery Date]])))</f>
        <v>N/A</v>
      </c>
      <c r="V192" s="38"/>
      <c r="W192" s="38"/>
      <c r="X192" s="38"/>
      <c r="Y192" s="38"/>
      <c r="Z192" s="38"/>
    </row>
    <row r="193" spans="4:26" ht="15" customHeight="1" x14ac:dyDescent="0.3">
      <c r="D193" s="39">
        <f>_xlfn.XLOOKUP(Table3253[[#This Row],[File Name]],'[1]Analyse 2 Detail 02-03'!A:A,'[1]Analyse 2 Detail 02-03'!R:R,"Not Found",0,1)</f>
        <v>0</v>
      </c>
      <c r="E193" s="31" t="s">
        <v>131</v>
      </c>
      <c r="F193" s="40" t="s">
        <v>37</v>
      </c>
      <c r="G193" s="41">
        <v>0</v>
      </c>
      <c r="H193" s="7" t="str">
        <f>IF($F193="unclassified","N/A",(_xlfn.XLOOKUP($E193,[1]Sheet2!$A:$A,[1]Sheet2!Q:Q,"N/A",0,1)))</f>
        <v>N/A</v>
      </c>
      <c r="I193" s="7" t="str">
        <f>IF($F193="unclassified","N/A",(_xlfn.XLOOKUP($E193,[1]Sheet2!$A:$A,[1]Sheet2!R:R,"N/A",0,1)))</f>
        <v>N/A</v>
      </c>
      <c r="J193" s="7" t="str">
        <f>IF($F193="unclassified","N/A",(_xlfn.XLOOKUP($E193,[1]Sheet2!$A:$A,[1]Sheet2!S:S,"N/A",0,1)))</f>
        <v>N/A</v>
      </c>
      <c r="K193" s="7" t="str">
        <f>IF($F193="unclassified","N/A",(_xlfn.XLOOKUP($E193,[1]Sheet2!$A:$A,[1]Sheet2!T:T,"N/A",0,1)))</f>
        <v>N/A</v>
      </c>
      <c r="L193" s="7" t="str">
        <f>IF($F193="unclassified","N/A",(_xlfn.XLOOKUP($E193,[1]Sheet2!$A:$A,[1]Sheet2!U:U,"N/A",0,1)))</f>
        <v>N/A</v>
      </c>
      <c r="M193" s="7" t="str">
        <f>IF($F193="unclassified","N/A",(_xlfn.XLOOKUP($E193,[1]Sheet2!$A:$A,[1]Sheet2!V:V,"N/A",0,1)))</f>
        <v>N/A</v>
      </c>
      <c r="N193" s="7"/>
      <c r="O193" s="7" t="str">
        <f>IF($F193="unclassified","N/A",(_xlfn.XLOOKUP($E193,[1]Sheet2!$A:$A,[1]Sheet2!W:W,"N/A",0,1)))</f>
        <v>N/A</v>
      </c>
      <c r="P193" s="7" t="str">
        <f>IF($F193="unclassified","N/A",(_xlfn.XLOOKUP($E193,[1]Sheet2!$A:$A,[1]Sheet2!X:X,"N/A",0,1)))</f>
        <v>N/A</v>
      </c>
      <c r="Q193" s="7" t="str">
        <f>IF($F193="unclassified","N/A",(_xlfn.XLOOKUP($E193,[1]Sheet2!$A:$A,[1]Sheet2!Y:Y,"N/A",0,1)))</f>
        <v>N/A</v>
      </c>
      <c r="R193" s="7" t="str">
        <f>IF($F193="unclassified","N/A",(_xlfn.XLOOKUP($E193,[1]Sheet2!$A:$A,[1]Sheet2!Z:Z,"N/A",0,1)))</f>
        <v>N/A</v>
      </c>
      <c r="S193" s="7" t="str">
        <f>IF($F193="unclassified","N/A",(_xlfn.XLOOKUP($E193,[1]Sheet2!$A:$A,[1]Sheet2!AA:AA,"N/A",0,1)))</f>
        <v>N/A</v>
      </c>
      <c r="T193" s="7" t="str">
        <f>IF($F193="unclassified","N/A",(_xlfn.XLOOKUP($E193,[1]Sheet2!$A:$A,[1]Sheet2!AB:AB,"N/A",0,1)))</f>
        <v>N/A</v>
      </c>
      <c r="U193" s="35" t="str">
        <f>IF($F193="unclassified","N/A",(AVERAGE(Table3253[[#This Row],[PO nr]:[Delivery Date]])))</f>
        <v>N/A</v>
      </c>
      <c r="V193" s="38"/>
      <c r="W193" s="38"/>
      <c r="X193" s="38"/>
      <c r="Y193" s="38"/>
      <c r="Z193" s="38"/>
    </row>
    <row r="194" spans="4:26" ht="15" customHeight="1" x14ac:dyDescent="0.3">
      <c r="D194" s="39">
        <f>_xlfn.XLOOKUP(Table3253[[#This Row],[File Name]],'[1]Analyse 2 Detail 02-03'!A:A,'[1]Analyse 2 Detail 02-03'!R:R,"Not Found",0,1)</f>
        <v>0</v>
      </c>
      <c r="E194" s="31" t="s">
        <v>132</v>
      </c>
      <c r="F194" s="40" t="s">
        <v>37</v>
      </c>
      <c r="G194" s="41">
        <v>0</v>
      </c>
      <c r="H194" s="7" t="str">
        <f>IF($F194="unclassified","N/A",(_xlfn.XLOOKUP($E194,[1]Sheet2!$A:$A,[1]Sheet2!Q:Q,"N/A",0,1)))</f>
        <v>N/A</v>
      </c>
      <c r="I194" s="7" t="str">
        <f>IF($F194="unclassified","N/A",(_xlfn.XLOOKUP($E194,[1]Sheet2!$A:$A,[1]Sheet2!R:R,"N/A",0,1)))</f>
        <v>N/A</v>
      </c>
      <c r="J194" s="7" t="str">
        <f>IF($F194="unclassified","N/A",(_xlfn.XLOOKUP($E194,[1]Sheet2!$A:$A,[1]Sheet2!S:S,"N/A",0,1)))</f>
        <v>N/A</v>
      </c>
      <c r="K194" s="7" t="str">
        <f>IF($F194="unclassified","N/A",(_xlfn.XLOOKUP($E194,[1]Sheet2!$A:$A,[1]Sheet2!T:T,"N/A",0,1)))</f>
        <v>N/A</v>
      </c>
      <c r="L194" s="7" t="str">
        <f>IF($F194="unclassified","N/A",(_xlfn.XLOOKUP($E194,[1]Sheet2!$A:$A,[1]Sheet2!U:U,"N/A",0,1)))</f>
        <v>N/A</v>
      </c>
      <c r="M194" s="7" t="str">
        <f>IF($F194="unclassified","N/A",(_xlfn.XLOOKUP($E194,[1]Sheet2!$A:$A,[1]Sheet2!V:V,"N/A",0,1)))</f>
        <v>N/A</v>
      </c>
      <c r="N194" s="7"/>
      <c r="O194" s="7" t="str">
        <f>IF($F194="unclassified","N/A",(_xlfn.XLOOKUP($E194,[1]Sheet2!$A:$A,[1]Sheet2!W:W,"N/A",0,1)))</f>
        <v>N/A</v>
      </c>
      <c r="P194" s="7" t="str">
        <f>IF($F194="unclassified","N/A",(_xlfn.XLOOKUP($E194,[1]Sheet2!$A:$A,[1]Sheet2!X:X,"N/A",0,1)))</f>
        <v>N/A</v>
      </c>
      <c r="Q194" s="7" t="str">
        <f>IF($F194="unclassified","N/A",(_xlfn.XLOOKUP($E194,[1]Sheet2!$A:$A,[1]Sheet2!Y:Y,"N/A",0,1)))</f>
        <v>N/A</v>
      </c>
      <c r="R194" s="7" t="str">
        <f>IF($F194="unclassified","N/A",(_xlfn.XLOOKUP($E194,[1]Sheet2!$A:$A,[1]Sheet2!Z:Z,"N/A",0,1)))</f>
        <v>N/A</v>
      </c>
      <c r="S194" s="7" t="str">
        <f>IF($F194="unclassified","N/A",(_xlfn.XLOOKUP($E194,[1]Sheet2!$A:$A,[1]Sheet2!AA:AA,"N/A",0,1)))</f>
        <v>N/A</v>
      </c>
      <c r="T194" s="7" t="str">
        <f>IF($F194="unclassified","N/A",(_xlfn.XLOOKUP($E194,[1]Sheet2!$A:$A,[1]Sheet2!AB:AB,"N/A",0,1)))</f>
        <v>N/A</v>
      </c>
      <c r="U194" s="35" t="str">
        <f>IF($F194="unclassified","N/A",(AVERAGE(Table3253[[#This Row],[PO nr]:[Delivery Date]])))</f>
        <v>N/A</v>
      </c>
      <c r="V194" s="38"/>
      <c r="W194" s="38"/>
      <c r="X194" s="38"/>
      <c r="Y194" s="38"/>
      <c r="Z194" s="38"/>
    </row>
    <row r="195" spans="4:26" ht="15" customHeight="1" x14ac:dyDescent="0.3">
      <c r="D195" s="39">
        <f>_xlfn.XLOOKUP(Table3253[[#This Row],[File Name]],'[1]Analyse 2 Detail 02-03'!A:A,'[1]Analyse 2 Detail 02-03'!R:R,"Not Found",0,1)</f>
        <v>0</v>
      </c>
      <c r="E195" s="31" t="s">
        <v>132</v>
      </c>
      <c r="F195" s="40" t="s">
        <v>37</v>
      </c>
      <c r="G195" s="41">
        <v>0</v>
      </c>
      <c r="H195" s="7" t="str">
        <f>IF($F195="unclassified","N/A",(_xlfn.XLOOKUP($E195,[1]Sheet2!$A:$A,[1]Sheet2!Q:Q,"N/A",0,1)))</f>
        <v>N/A</v>
      </c>
      <c r="I195" s="7" t="str">
        <f>IF($F195="unclassified","N/A",(_xlfn.XLOOKUP($E195,[1]Sheet2!$A:$A,[1]Sheet2!R:R,"N/A",0,1)))</f>
        <v>N/A</v>
      </c>
      <c r="J195" s="7" t="str">
        <f>IF($F195="unclassified","N/A",(_xlfn.XLOOKUP($E195,[1]Sheet2!$A:$A,[1]Sheet2!S:S,"N/A",0,1)))</f>
        <v>N/A</v>
      </c>
      <c r="K195" s="7" t="str">
        <f>IF($F195="unclassified","N/A",(_xlfn.XLOOKUP($E195,[1]Sheet2!$A:$A,[1]Sheet2!T:T,"N/A",0,1)))</f>
        <v>N/A</v>
      </c>
      <c r="L195" s="7" t="str">
        <f>IF($F195="unclassified","N/A",(_xlfn.XLOOKUP($E195,[1]Sheet2!$A:$A,[1]Sheet2!U:U,"N/A",0,1)))</f>
        <v>N/A</v>
      </c>
      <c r="M195" s="7" t="str">
        <f>IF($F195="unclassified","N/A",(_xlfn.XLOOKUP($E195,[1]Sheet2!$A:$A,[1]Sheet2!V:V,"N/A",0,1)))</f>
        <v>N/A</v>
      </c>
      <c r="N195" s="7"/>
      <c r="O195" s="7" t="str">
        <f>IF($F195="unclassified","N/A",(_xlfn.XLOOKUP($E195,[1]Sheet2!$A:$A,[1]Sheet2!W:W,"N/A",0,1)))</f>
        <v>N/A</v>
      </c>
      <c r="P195" s="7" t="str">
        <f>IF($F195="unclassified","N/A",(_xlfn.XLOOKUP($E195,[1]Sheet2!$A:$A,[1]Sheet2!X:X,"N/A",0,1)))</f>
        <v>N/A</v>
      </c>
      <c r="Q195" s="7" t="str">
        <f>IF($F195="unclassified","N/A",(_xlfn.XLOOKUP($E195,[1]Sheet2!$A:$A,[1]Sheet2!Y:Y,"N/A",0,1)))</f>
        <v>N/A</v>
      </c>
      <c r="R195" s="7" t="str">
        <f>IF($F195="unclassified","N/A",(_xlfn.XLOOKUP($E195,[1]Sheet2!$A:$A,[1]Sheet2!Z:Z,"N/A",0,1)))</f>
        <v>N/A</v>
      </c>
      <c r="S195" s="7" t="str">
        <f>IF($F195="unclassified","N/A",(_xlfn.XLOOKUP($E195,[1]Sheet2!$A:$A,[1]Sheet2!AA:AA,"N/A",0,1)))</f>
        <v>N/A</v>
      </c>
      <c r="T195" s="7" t="str">
        <f>IF($F195="unclassified","N/A",(_xlfn.XLOOKUP($E195,[1]Sheet2!$A:$A,[1]Sheet2!AB:AB,"N/A",0,1)))</f>
        <v>N/A</v>
      </c>
      <c r="U195" s="35" t="str">
        <f>IF($F195="unclassified","N/A",(AVERAGE(Table3253[[#This Row],[PO nr]:[Delivery Date]])))</f>
        <v>N/A</v>
      </c>
      <c r="V195" s="38"/>
      <c r="W195" s="38"/>
      <c r="X195" s="38"/>
      <c r="Y195" s="38"/>
      <c r="Z195" s="38"/>
    </row>
    <row r="196" spans="4:26" ht="15" customHeight="1" x14ac:dyDescent="0.3">
      <c r="D196" s="39">
        <f>_xlfn.XLOOKUP(Table3253[[#This Row],[File Name]],'[1]Analyse 2 Detail 02-03'!A:A,'[1]Analyse 2 Detail 02-03'!R:R,"Not Found",0,1)</f>
        <v>0</v>
      </c>
      <c r="E196" s="31" t="s">
        <v>133</v>
      </c>
      <c r="F196" s="40" t="s">
        <v>37</v>
      </c>
      <c r="G196" s="41">
        <v>0</v>
      </c>
      <c r="H196" s="7" t="str">
        <f>IF($F196="unclassified","N/A",(_xlfn.XLOOKUP($E196,[1]Sheet2!$A:$A,[1]Sheet2!Q:Q,"N/A",0,1)))</f>
        <v>N/A</v>
      </c>
      <c r="I196" s="7" t="str">
        <f>IF($F196="unclassified","N/A",(_xlfn.XLOOKUP($E196,[1]Sheet2!$A:$A,[1]Sheet2!R:R,"N/A",0,1)))</f>
        <v>N/A</v>
      </c>
      <c r="J196" s="7" t="str">
        <f>IF($F196="unclassified","N/A",(_xlfn.XLOOKUP($E196,[1]Sheet2!$A:$A,[1]Sheet2!S:S,"N/A",0,1)))</f>
        <v>N/A</v>
      </c>
      <c r="K196" s="7" t="str">
        <f>IF($F196="unclassified","N/A",(_xlfn.XLOOKUP($E196,[1]Sheet2!$A:$A,[1]Sheet2!T:T,"N/A",0,1)))</f>
        <v>N/A</v>
      </c>
      <c r="L196" s="7" t="str">
        <f>IF($F196="unclassified","N/A",(_xlfn.XLOOKUP($E196,[1]Sheet2!$A:$A,[1]Sheet2!U:U,"N/A",0,1)))</f>
        <v>N/A</v>
      </c>
      <c r="M196" s="7" t="str">
        <f>IF($F196="unclassified","N/A",(_xlfn.XLOOKUP($E196,[1]Sheet2!$A:$A,[1]Sheet2!V:V,"N/A",0,1)))</f>
        <v>N/A</v>
      </c>
      <c r="N196" s="7"/>
      <c r="O196" s="7" t="str">
        <f>IF($F196="unclassified","N/A",(_xlfn.XLOOKUP($E196,[1]Sheet2!$A:$A,[1]Sheet2!W:W,"N/A",0,1)))</f>
        <v>N/A</v>
      </c>
      <c r="P196" s="7" t="str">
        <f>IF($F196="unclassified","N/A",(_xlfn.XLOOKUP($E196,[1]Sheet2!$A:$A,[1]Sheet2!X:X,"N/A",0,1)))</f>
        <v>N/A</v>
      </c>
      <c r="Q196" s="7" t="str">
        <f>IF($F196="unclassified","N/A",(_xlfn.XLOOKUP($E196,[1]Sheet2!$A:$A,[1]Sheet2!Y:Y,"N/A",0,1)))</f>
        <v>N/A</v>
      </c>
      <c r="R196" s="7" t="str">
        <f>IF($F196="unclassified","N/A",(_xlfn.XLOOKUP($E196,[1]Sheet2!$A:$A,[1]Sheet2!Z:Z,"N/A",0,1)))</f>
        <v>N/A</v>
      </c>
      <c r="S196" s="7" t="str">
        <f>IF($F196="unclassified","N/A",(_xlfn.XLOOKUP($E196,[1]Sheet2!$A:$A,[1]Sheet2!AA:AA,"N/A",0,1)))</f>
        <v>N/A</v>
      </c>
      <c r="T196" s="7" t="str">
        <f>IF($F196="unclassified","N/A",(_xlfn.XLOOKUP($E196,[1]Sheet2!$A:$A,[1]Sheet2!AB:AB,"N/A",0,1)))</f>
        <v>N/A</v>
      </c>
      <c r="U196" s="35" t="str">
        <f>IF($F196="unclassified","N/A",(AVERAGE(Table3253[[#This Row],[PO nr]:[Delivery Date]])))</f>
        <v>N/A</v>
      </c>
      <c r="V196" s="38"/>
      <c r="W196" s="38"/>
      <c r="X196" s="38"/>
      <c r="Y196" s="38"/>
      <c r="Z196" s="38"/>
    </row>
    <row r="197" spans="4:26" ht="15" customHeight="1" x14ac:dyDescent="0.3">
      <c r="D197" s="39">
        <f>_xlfn.XLOOKUP(Table3253[[#This Row],[File Name]],'[1]Analyse 2 Detail 02-03'!A:A,'[1]Analyse 2 Detail 02-03'!R:R,"Not Found",0,1)</f>
        <v>0</v>
      </c>
      <c r="E197" s="31" t="s">
        <v>134</v>
      </c>
      <c r="F197" s="40" t="s">
        <v>37</v>
      </c>
      <c r="G197" s="41">
        <v>0</v>
      </c>
      <c r="H197" s="7" t="str">
        <f>IF($F197="unclassified","N/A",(_xlfn.XLOOKUP($E197,[1]Sheet2!$A:$A,[1]Sheet2!Q:Q,"N/A",0,1)))</f>
        <v>N/A</v>
      </c>
      <c r="I197" s="7" t="str">
        <f>IF($F197="unclassified","N/A",(_xlfn.XLOOKUP($E197,[1]Sheet2!$A:$A,[1]Sheet2!R:R,"N/A",0,1)))</f>
        <v>N/A</v>
      </c>
      <c r="J197" s="7" t="str">
        <f>IF($F197="unclassified","N/A",(_xlfn.XLOOKUP($E197,[1]Sheet2!$A:$A,[1]Sheet2!S:S,"N/A",0,1)))</f>
        <v>N/A</v>
      </c>
      <c r="K197" s="7" t="str">
        <f>IF($F197="unclassified","N/A",(_xlfn.XLOOKUP($E197,[1]Sheet2!$A:$A,[1]Sheet2!T:T,"N/A",0,1)))</f>
        <v>N/A</v>
      </c>
      <c r="L197" s="7" t="str">
        <f>IF($F197="unclassified","N/A",(_xlfn.XLOOKUP($E197,[1]Sheet2!$A:$A,[1]Sheet2!U:U,"N/A",0,1)))</f>
        <v>N/A</v>
      </c>
      <c r="M197" s="7" t="str">
        <f>IF($F197="unclassified","N/A",(_xlfn.XLOOKUP($E197,[1]Sheet2!$A:$A,[1]Sheet2!V:V,"N/A",0,1)))</f>
        <v>N/A</v>
      </c>
      <c r="N197" s="7"/>
      <c r="O197" s="7" t="str">
        <f>IF($F197="unclassified","N/A",(_xlfn.XLOOKUP($E197,[1]Sheet2!$A:$A,[1]Sheet2!W:W,"N/A",0,1)))</f>
        <v>N/A</v>
      </c>
      <c r="P197" s="7" t="str">
        <f>IF($F197="unclassified","N/A",(_xlfn.XLOOKUP($E197,[1]Sheet2!$A:$A,[1]Sheet2!X:X,"N/A",0,1)))</f>
        <v>N/A</v>
      </c>
      <c r="Q197" s="7" t="str">
        <f>IF($F197="unclassified","N/A",(_xlfn.XLOOKUP($E197,[1]Sheet2!$A:$A,[1]Sheet2!Y:Y,"N/A",0,1)))</f>
        <v>N/A</v>
      </c>
      <c r="R197" s="7" t="str">
        <f>IF($F197="unclassified","N/A",(_xlfn.XLOOKUP($E197,[1]Sheet2!$A:$A,[1]Sheet2!Z:Z,"N/A",0,1)))</f>
        <v>N/A</v>
      </c>
      <c r="S197" s="7" t="str">
        <f>IF($F197="unclassified","N/A",(_xlfn.XLOOKUP($E197,[1]Sheet2!$A:$A,[1]Sheet2!AA:AA,"N/A",0,1)))</f>
        <v>N/A</v>
      </c>
      <c r="T197" s="7" t="str">
        <f>IF($F197="unclassified","N/A",(_xlfn.XLOOKUP($E197,[1]Sheet2!$A:$A,[1]Sheet2!AB:AB,"N/A",0,1)))</f>
        <v>N/A</v>
      </c>
      <c r="U197" s="35" t="str">
        <f>IF($F197="unclassified","N/A",(AVERAGE(Table3253[[#This Row],[PO nr]:[Delivery Date]])))</f>
        <v>N/A</v>
      </c>
      <c r="V197" s="38"/>
      <c r="W197" s="38"/>
      <c r="X197" s="38"/>
      <c r="Y197" s="38"/>
      <c r="Z197" s="38"/>
    </row>
    <row r="198" spans="4:26" ht="15" customHeight="1" x14ac:dyDescent="0.3">
      <c r="D198" s="39" t="str">
        <f>_xlfn.XLOOKUP(Table3253[[#This Row],[File Name]],'[1]Analyse 2 Detail 02-03'!A:A,'[1]Analyse 2 Detail 02-03'!R:R,"Not Found",0,1)</f>
        <v>QRS Healthcare BV</v>
      </c>
      <c r="E198" s="31" t="s">
        <v>135</v>
      </c>
      <c r="F198" s="40" t="s">
        <v>31</v>
      </c>
      <c r="G198" s="41">
        <v>0</v>
      </c>
      <c r="H198" s="7">
        <f>IF($F198="unclassified","N/A",(_xlfn.XLOOKUP($E198,[1]Sheet2!$A:$A,[1]Sheet2!Q:Q,"N/A",0,1)))</f>
        <v>1</v>
      </c>
      <c r="I198" s="7">
        <f>IF($F198="unclassified","N/A",(_xlfn.XLOOKUP($E198,[1]Sheet2!$A:$A,[1]Sheet2!R:R,"N/A",0,1)))</f>
        <v>1</v>
      </c>
      <c r="J198" s="7">
        <f>IF($F198="unclassified","N/A",(_xlfn.XLOOKUP($E198,[1]Sheet2!$A:$A,[1]Sheet2!S:S,"N/A",0,1)))</f>
        <v>1</v>
      </c>
      <c r="K198" s="7">
        <f>IF($F198="unclassified","N/A",(_xlfn.XLOOKUP($E198,[1]Sheet2!$A:$A,[1]Sheet2!T:T,"N/A",0,1)))</f>
        <v>1</v>
      </c>
      <c r="L198" s="7">
        <f>IF($F198="unclassified","N/A",(_xlfn.XLOOKUP($E198,[1]Sheet2!$A:$A,[1]Sheet2!U:U,"N/A",0,1)))</f>
        <v>1</v>
      </c>
      <c r="M198" s="7">
        <f>IF($F198="unclassified","N/A",(_xlfn.XLOOKUP($E198,[1]Sheet2!$A:$A,[1]Sheet2!V:V,"N/A",0,1)))</f>
        <v>1</v>
      </c>
      <c r="N198" s="7"/>
      <c r="O198" s="7">
        <f>IF($F198="unclassified","N/A",(_xlfn.XLOOKUP($E198,[1]Sheet2!$A:$A,[1]Sheet2!W:W,"N/A",0,1)))</f>
        <v>1</v>
      </c>
      <c r="P198" s="7">
        <f>IF($F198="unclassified","N/A",(_xlfn.XLOOKUP($E198,[1]Sheet2!$A:$A,[1]Sheet2!X:X,"N/A",0,1)))</f>
        <v>1</v>
      </c>
      <c r="Q198" s="7">
        <f>IF($F198="unclassified","N/A",(_xlfn.XLOOKUP($E198,[1]Sheet2!$A:$A,[1]Sheet2!Y:Y,"N/A",0,1)))</f>
        <v>1</v>
      </c>
      <c r="R198" s="7">
        <f>IF($F198="unclassified","N/A",(_xlfn.XLOOKUP($E198,[1]Sheet2!$A:$A,[1]Sheet2!Z:Z,"N/A",0,1)))</f>
        <v>1</v>
      </c>
      <c r="S198" s="7">
        <f>IF($F198="unclassified","N/A",(_xlfn.XLOOKUP($E198,[1]Sheet2!$A:$A,[1]Sheet2!AA:AA,"N/A",0,1)))</f>
        <v>1</v>
      </c>
      <c r="T198" s="7">
        <f>IF($F198="unclassified","N/A",(_xlfn.XLOOKUP($E198,[1]Sheet2!$A:$A,[1]Sheet2!AB:AB,"N/A",0,1)))</f>
        <v>1</v>
      </c>
      <c r="U198" s="35">
        <f>IF($F198="unclassified","N/A",(AVERAGE(Table3253[[#This Row],[PO nr]:[Delivery Date]])))</f>
        <v>1</v>
      </c>
      <c r="V198" s="38"/>
      <c r="W198" s="38"/>
      <c r="X198" s="38"/>
      <c r="Y198" s="38"/>
      <c r="Z198" s="38"/>
    </row>
    <row r="199" spans="4:26" ht="15" customHeight="1" x14ac:dyDescent="0.3">
      <c r="D199" s="39" t="str">
        <f>_xlfn.XLOOKUP(Table3253[[#This Row],[File Name]],'[1]Analyse 2 Detail 02-03'!A:A,'[1]Analyse 2 Detail 02-03'!R:R,"Not Found",0,1)</f>
        <v>Brocacef BV</v>
      </c>
      <c r="E199" s="31" t="s">
        <v>136</v>
      </c>
      <c r="F199" s="40" t="s">
        <v>31</v>
      </c>
      <c r="G199" s="41">
        <v>11</v>
      </c>
      <c r="H199" s="7">
        <f>IF($F199="unclassified","N/A",(_xlfn.XLOOKUP($E199,[1]Sheet2!$A:$A,[1]Sheet2!Q:Q,"N/A",0,1)))</f>
        <v>1</v>
      </c>
      <c r="I199" s="7">
        <f>IF($F199="unclassified","N/A",(_xlfn.XLOOKUP($E199,[1]Sheet2!$A:$A,[1]Sheet2!R:R,"N/A",0,1)))</f>
        <v>1</v>
      </c>
      <c r="J199" s="7">
        <f>IF($F199="unclassified","N/A",(_xlfn.XLOOKUP($E199,[1]Sheet2!$A:$A,[1]Sheet2!S:S,"N/A",0,1)))</f>
        <v>1</v>
      </c>
      <c r="K199" s="7">
        <f>IF($F199="unclassified","N/A",(_xlfn.XLOOKUP($E199,[1]Sheet2!$A:$A,[1]Sheet2!T:T,"N/A",0,1)))</f>
        <v>1</v>
      </c>
      <c r="L199" s="7">
        <f>IF($F199="unclassified","N/A",(_xlfn.XLOOKUP($E199,[1]Sheet2!$A:$A,[1]Sheet2!U:U,"N/A",0,1)))</f>
        <v>1</v>
      </c>
      <c r="M199" s="7">
        <v>1</v>
      </c>
      <c r="N199" s="7"/>
      <c r="O199" s="7">
        <f>IF($F199="unclassified","N/A",(_xlfn.XLOOKUP($E199,[1]Sheet2!$A:$A,[1]Sheet2!W:W,"N/A",0,1)))</f>
        <v>1</v>
      </c>
      <c r="P199" s="7">
        <f>IF($F199="unclassified","N/A",(_xlfn.XLOOKUP($E199,[1]Sheet2!$A:$A,[1]Sheet2!X:X,"N/A",0,1)))</f>
        <v>1</v>
      </c>
      <c r="Q199" s="7">
        <f>IF($F199="unclassified","N/A",(_xlfn.XLOOKUP($E199,[1]Sheet2!$A:$A,[1]Sheet2!Y:Y,"N/A",0,1)))</f>
        <v>1</v>
      </c>
      <c r="R199" s="7">
        <f>IF($F199="unclassified","N/A",(_xlfn.XLOOKUP($E199,[1]Sheet2!$A:$A,[1]Sheet2!Z:Z,"N/A",0,1)))</f>
        <v>1</v>
      </c>
      <c r="S199" s="7">
        <v>1</v>
      </c>
      <c r="T199" s="7">
        <v>1</v>
      </c>
      <c r="U199" s="35">
        <f>IF($F199="unclassified","N/A",(AVERAGE(Table3253[[#This Row],[PO nr]:[Delivery Date]])))</f>
        <v>1</v>
      </c>
      <c r="V199" s="38" t="s">
        <v>137</v>
      </c>
      <c r="W199" s="38"/>
      <c r="X199" s="38"/>
      <c r="Y199" s="38"/>
      <c r="Z199" s="38"/>
    </row>
    <row r="200" spans="4:26" ht="15" customHeight="1" x14ac:dyDescent="0.3">
      <c r="D200" s="39" t="str">
        <f>_xlfn.XLOOKUP(Table3253[[#This Row],[File Name]],'[1]Analyse 2 Detail 02-03'!A:A,'[1]Analyse 2 Detail 02-03'!R:R,"Not Found",0,1)</f>
        <v>Brocacef</v>
      </c>
      <c r="E200" s="31" t="s">
        <v>138</v>
      </c>
      <c r="F200" s="40" t="s">
        <v>31</v>
      </c>
      <c r="G200" s="41">
        <v>2</v>
      </c>
      <c r="H200" s="7">
        <f>IF($F200="unclassified","N/A",(_xlfn.XLOOKUP($E200,[1]Sheet2!$A:$A,[1]Sheet2!Q:Q,"N/A",0,1)))</f>
        <v>1</v>
      </c>
      <c r="I200" s="7">
        <f>IF($F200="unclassified","N/A",(_xlfn.XLOOKUP($E200,[1]Sheet2!$A:$A,[1]Sheet2!R:R,"N/A",0,1)))</f>
        <v>1</v>
      </c>
      <c r="J200" s="7">
        <f>IF($F200="unclassified","N/A",(_xlfn.XLOOKUP($E200,[1]Sheet2!$A:$A,[1]Sheet2!S:S,"N/A",0,1)))</f>
        <v>1</v>
      </c>
      <c r="K200" s="7">
        <f>IF($F200="unclassified","N/A",(_xlfn.XLOOKUP($E200,[1]Sheet2!$A:$A,[1]Sheet2!T:T,"N/A",0,1)))</f>
        <v>1</v>
      </c>
      <c r="L200" s="7">
        <f>IF($F200="unclassified","N/A",(_xlfn.XLOOKUP($E200,[1]Sheet2!$A:$A,[1]Sheet2!U:U,"N/A",0,1)))</f>
        <v>1</v>
      </c>
      <c r="M200" s="7">
        <v>1</v>
      </c>
      <c r="N200" s="7"/>
      <c r="O200" s="7">
        <f>IF($F200="unclassified","N/A",(_xlfn.XLOOKUP($E200,[1]Sheet2!$A:$A,[1]Sheet2!W:W,"N/A",0,1)))</f>
        <v>1</v>
      </c>
      <c r="P200" s="7">
        <f>IF($F200="unclassified","N/A",(_xlfn.XLOOKUP($E200,[1]Sheet2!$A:$A,[1]Sheet2!X:X,"N/A",0,1)))</f>
        <v>1</v>
      </c>
      <c r="Q200" s="7">
        <f>IF($F200="unclassified","N/A",(_xlfn.XLOOKUP($E200,[1]Sheet2!$A:$A,[1]Sheet2!Y:Y,"N/A",0,1)))</f>
        <v>1</v>
      </c>
      <c r="R200" s="7">
        <f>IF($F200="unclassified","N/A",(_xlfn.XLOOKUP($E200,[1]Sheet2!$A:$A,[1]Sheet2!Z:Z,"N/A",0,1)))</f>
        <v>1</v>
      </c>
      <c r="S200" s="7">
        <v>1</v>
      </c>
      <c r="T200" s="7">
        <f>IF($F200="unclassified","N/A",(_xlfn.XLOOKUP($E200,[1]Sheet2!$A:$A,[1]Sheet2!AB:AB,"N/A",0,1)))</f>
        <v>1</v>
      </c>
      <c r="U200" s="35">
        <f>IF($F200="unclassified","N/A",(AVERAGE(Table3253[[#This Row],[PO nr]:[Delivery Date]])))</f>
        <v>1</v>
      </c>
      <c r="V200" s="38" t="s">
        <v>139</v>
      </c>
      <c r="W200" s="38"/>
      <c r="X200" s="38"/>
      <c r="Y200" s="38"/>
      <c r="Z200" s="38"/>
    </row>
    <row r="201" spans="4:26" ht="15" customHeight="1" x14ac:dyDescent="0.3">
      <c r="D201" s="39" t="str">
        <f>_xlfn.XLOOKUP(Table3253[[#This Row],[File Name]],'[1]Analyse 2 Detail 02-03'!A:A,'[1]Analyse 2 Detail 02-03'!R:R,"Not Found",0,1)</f>
        <v>Van Hoeckel</v>
      </c>
      <c r="E201" s="31" t="s">
        <v>140</v>
      </c>
      <c r="F201" s="40" t="s">
        <v>31</v>
      </c>
      <c r="G201" s="41">
        <v>2</v>
      </c>
      <c r="H201" s="7">
        <v>1</v>
      </c>
      <c r="I201" s="7">
        <v>1</v>
      </c>
      <c r="J201" s="7">
        <f>IF($F201="unclassified","N/A",(_xlfn.XLOOKUP($E201,[1]Sheet2!$A:$A,[1]Sheet2!S:S,"N/A",0,1)))</f>
        <v>1</v>
      </c>
      <c r="K201" s="7">
        <f>IF($F201="unclassified","N/A",(_xlfn.XLOOKUP($E201,[1]Sheet2!$A:$A,[1]Sheet2!T:T,"N/A",0,1)))</f>
        <v>1</v>
      </c>
      <c r="L201" s="7">
        <f>IF($F201="unclassified","N/A",(_xlfn.XLOOKUP($E201,[1]Sheet2!$A:$A,[1]Sheet2!U:U,"N/A",0,1)))</f>
        <v>1</v>
      </c>
      <c r="M201" s="7">
        <v>1</v>
      </c>
      <c r="N201" s="7"/>
      <c r="O201" s="7">
        <f>IF($F201="unclassified","N/A",(_xlfn.XLOOKUP($E201,[1]Sheet2!$A:$A,[1]Sheet2!W:W,"N/A",0,1)))</f>
        <v>1</v>
      </c>
      <c r="P201" s="7">
        <f>IF($F201="unclassified","N/A",(_xlfn.XLOOKUP($E201,[1]Sheet2!$A:$A,[1]Sheet2!X:X,"N/A",0,1)))</f>
        <v>1</v>
      </c>
      <c r="Q201" s="7">
        <f>IF($F201="unclassified","N/A",(_xlfn.XLOOKUP($E201,[1]Sheet2!$A:$A,[1]Sheet2!Y:Y,"N/A",0,1)))</f>
        <v>1</v>
      </c>
      <c r="R201" s="7">
        <f>IF($F201="unclassified","N/A",(_xlfn.XLOOKUP($E201,[1]Sheet2!$A:$A,[1]Sheet2!Z:Z,"N/A",0,1)))</f>
        <v>1</v>
      </c>
      <c r="S201" s="7">
        <v>1</v>
      </c>
      <c r="T201" s="7">
        <f>IF($F201="unclassified","N/A",(_xlfn.XLOOKUP($E201,[1]Sheet2!$A:$A,[1]Sheet2!AB:AB,"N/A",0,1)))</f>
        <v>1</v>
      </c>
      <c r="U201" s="35">
        <f>IF($F201="unclassified","N/A",(AVERAGE(Table3253[[#This Row],[PO nr]:[Delivery Date]])))</f>
        <v>1</v>
      </c>
      <c r="V201" s="52" t="s">
        <v>141</v>
      </c>
      <c r="W201" s="38" t="s">
        <v>142</v>
      </c>
      <c r="X201" s="38"/>
      <c r="Y201" s="38"/>
      <c r="Z201" s="38"/>
    </row>
    <row r="202" spans="4:26" ht="15" customHeight="1" x14ac:dyDescent="0.3">
      <c r="D202" s="39" t="str">
        <f>_xlfn.XLOOKUP(Table3253[[#This Row],[File Name]],'[1]Analyse 2 Detail 02-03'!A:A,'[1]Analyse 2 Detail 02-03'!R:R,"Not Found",0,1)</f>
        <v>Van Hoeckel</v>
      </c>
      <c r="E202" s="31" t="s">
        <v>143</v>
      </c>
      <c r="F202" s="40" t="s">
        <v>31</v>
      </c>
      <c r="G202" s="41">
        <v>3</v>
      </c>
      <c r="H202" s="7">
        <f>IF($F202="unclassified","N/A",(_xlfn.XLOOKUP($E202,[1]Sheet2!$A:$A,[1]Sheet2!Q:Q,"N/A",0,1)))</f>
        <v>1</v>
      </c>
      <c r="I202" s="7">
        <v>1</v>
      </c>
      <c r="J202" s="7">
        <f>IF($F202="unclassified","N/A",(_xlfn.XLOOKUP($E202,[1]Sheet2!$A:$A,[1]Sheet2!S:S,"N/A",0,1)))</f>
        <v>1</v>
      </c>
      <c r="K202" s="7">
        <f>IF($F202="unclassified","N/A",(_xlfn.XLOOKUP($E202,[1]Sheet2!$A:$A,[1]Sheet2!T:T,"N/A",0,1)))</f>
        <v>1</v>
      </c>
      <c r="L202" s="7">
        <f>IF($F202="unclassified","N/A",(_xlfn.XLOOKUP($E202,[1]Sheet2!$A:$A,[1]Sheet2!U:U,"N/A",0,1)))</f>
        <v>1</v>
      </c>
      <c r="M202" s="7">
        <v>1</v>
      </c>
      <c r="N202" s="7"/>
      <c r="O202" s="7">
        <f>IF($F202="unclassified","N/A",(_xlfn.XLOOKUP($E202,[1]Sheet2!$A:$A,[1]Sheet2!W:W,"N/A",0,1)))</f>
        <v>1</v>
      </c>
      <c r="P202" s="7">
        <f>IF($F202="unclassified","N/A",(_xlfn.XLOOKUP($E202,[1]Sheet2!$A:$A,[1]Sheet2!X:X,"N/A",0,1)))</f>
        <v>1</v>
      </c>
      <c r="Q202" s="7">
        <f>IF($F202="unclassified","N/A",(_xlfn.XLOOKUP($E202,[1]Sheet2!$A:$A,[1]Sheet2!Y:Y,"N/A",0,1)))</f>
        <v>1</v>
      </c>
      <c r="R202" s="7">
        <f>IF($F202="unclassified","N/A",(_xlfn.XLOOKUP($E202,[1]Sheet2!$A:$A,[1]Sheet2!Z:Z,"N/A",0,1)))</f>
        <v>1</v>
      </c>
      <c r="S202" s="7">
        <v>1</v>
      </c>
      <c r="T202" s="7">
        <f>IF($F202="unclassified","N/A",(_xlfn.XLOOKUP($E202,[1]Sheet2!$A:$A,[1]Sheet2!AB:AB,"N/A",0,1)))</f>
        <v>1</v>
      </c>
      <c r="U202" s="35">
        <f>IF($F202="unclassified","N/A",(AVERAGE(Table3253[[#This Row],[PO nr]:[Delivery Date]])))</f>
        <v>1</v>
      </c>
      <c r="V202" s="52" t="s">
        <v>144</v>
      </c>
      <c r="W202" s="38" t="s">
        <v>142</v>
      </c>
      <c r="X202" s="38"/>
      <c r="Y202" s="38"/>
      <c r="Z202" s="38"/>
    </row>
    <row r="203" spans="4:26" ht="15" customHeight="1" x14ac:dyDescent="0.3">
      <c r="D203" s="39" t="str">
        <f>_xlfn.XLOOKUP(Table3253[[#This Row],[File Name]],'[1]Analyse 2 Detail 02-03'!A:A,'[1]Analyse 2 Detail 02-03'!R:R,"Not Found",0,1)</f>
        <v>Van Hoeckel</v>
      </c>
      <c r="E203" s="31" t="s">
        <v>145</v>
      </c>
      <c r="F203" s="40" t="s">
        <v>31</v>
      </c>
      <c r="G203" s="41">
        <v>4</v>
      </c>
      <c r="H203" s="7">
        <f>IF($F203="unclassified","N/A",(_xlfn.XLOOKUP($E203,[1]Sheet2!$A:$A,[1]Sheet2!Q:Q,"N/A",0,1)))</f>
        <v>1</v>
      </c>
      <c r="I203" s="7">
        <v>1</v>
      </c>
      <c r="J203" s="7">
        <f>IF($F203="unclassified","N/A",(_xlfn.XLOOKUP($E203,[1]Sheet2!$A:$A,[1]Sheet2!S:S,"N/A",0,1)))</f>
        <v>1</v>
      </c>
      <c r="K203" s="7">
        <f>IF($F203="unclassified","N/A",(_xlfn.XLOOKUP($E203,[1]Sheet2!$A:$A,[1]Sheet2!T:T,"N/A",0,1)))</f>
        <v>1</v>
      </c>
      <c r="L203" s="7">
        <f>IF($F203="unclassified","N/A",(_xlfn.XLOOKUP($E203,[1]Sheet2!$A:$A,[1]Sheet2!U:U,"N/A",0,1)))</f>
        <v>1</v>
      </c>
      <c r="M203" s="7">
        <v>1</v>
      </c>
      <c r="N203" s="7"/>
      <c r="O203" s="7">
        <f>IF($F203="unclassified","N/A",(_xlfn.XLOOKUP($E203,[1]Sheet2!$A:$A,[1]Sheet2!W:W,"N/A",0,1)))</f>
        <v>1</v>
      </c>
      <c r="P203" s="7">
        <f>IF($F203="unclassified","N/A",(_xlfn.XLOOKUP($E203,[1]Sheet2!$A:$A,[1]Sheet2!X:X,"N/A",0,1)))</f>
        <v>1</v>
      </c>
      <c r="Q203" s="7">
        <f>IF($F203="unclassified","N/A",(_xlfn.XLOOKUP($E203,[1]Sheet2!$A:$A,[1]Sheet2!Y:Y,"N/A",0,1)))</f>
        <v>1</v>
      </c>
      <c r="R203" s="7">
        <v>1</v>
      </c>
      <c r="S203" s="7">
        <v>1</v>
      </c>
      <c r="T203" s="7">
        <f>IF($F203="unclassified","N/A",(_xlfn.XLOOKUP($E203,[1]Sheet2!$A:$A,[1]Sheet2!AB:AB,"N/A",0,1)))</f>
        <v>1</v>
      </c>
      <c r="U203" s="35">
        <f>IF($F203="unclassified","N/A",(AVERAGE(Table3253[[#This Row],[PO nr]:[Delivery Date]])))</f>
        <v>1</v>
      </c>
      <c r="V203" s="52" t="s">
        <v>146</v>
      </c>
      <c r="W203" s="38" t="s">
        <v>142</v>
      </c>
      <c r="X203" s="38"/>
      <c r="Y203" s="38"/>
      <c r="Z203" s="38"/>
    </row>
    <row r="204" spans="4:26" ht="15" customHeight="1" x14ac:dyDescent="0.3">
      <c r="D204" s="39" t="str">
        <f>_xlfn.XLOOKUP(Table3253[[#This Row],[File Name]],'[1]Analyse 2 Detail 02-03'!A:A,'[1]Analyse 2 Detail 02-03'!R:R,"Not Found",0,1)</f>
        <v>G3 Medical B.V.</v>
      </c>
      <c r="E204" s="31" t="s">
        <v>147</v>
      </c>
      <c r="F204" s="40" t="s">
        <v>31</v>
      </c>
      <c r="G204" s="41">
        <v>0</v>
      </c>
      <c r="H204" s="7">
        <f>IF($F204="unclassified","N/A",(_xlfn.XLOOKUP($E204,[1]Sheet2!$A:$A,[1]Sheet2!Q:Q,"N/A",0,1)))</f>
        <v>1</v>
      </c>
      <c r="I204" s="7">
        <f>IF($F204="unclassified","N/A",(_xlfn.XLOOKUP($E204,[1]Sheet2!$A:$A,[1]Sheet2!R:R,"N/A",0,1)))</f>
        <v>1</v>
      </c>
      <c r="J204" s="7">
        <f>IF($F204="unclassified","N/A",(_xlfn.XLOOKUP($E204,[1]Sheet2!$A:$A,[1]Sheet2!S:S,"N/A",0,1)))</f>
        <v>1</v>
      </c>
      <c r="K204" s="7">
        <f>IF($F204="unclassified","N/A",(_xlfn.XLOOKUP($E204,[1]Sheet2!$A:$A,[1]Sheet2!T:T,"N/A",0,1)))</f>
        <v>1</v>
      </c>
      <c r="L204" s="7">
        <f>IF($F204="unclassified","N/A",(_xlfn.XLOOKUP($E204,[1]Sheet2!$A:$A,[1]Sheet2!U:U,"N/A",0,1)))</f>
        <v>1</v>
      </c>
      <c r="M204" s="7">
        <f>IF($F204="unclassified","N/A",(_xlfn.XLOOKUP($E204,[1]Sheet2!$A:$A,[1]Sheet2!V:V,"N/A",0,1)))</f>
        <v>1</v>
      </c>
      <c r="N204" s="7"/>
      <c r="O204" s="7">
        <f>IF($F204="unclassified","N/A",(_xlfn.XLOOKUP($E204,[1]Sheet2!$A:$A,[1]Sheet2!W:W,"N/A",0,1)))</f>
        <v>1</v>
      </c>
      <c r="P204" s="7">
        <f>IF($F204="unclassified","N/A",(_xlfn.XLOOKUP($E204,[1]Sheet2!$A:$A,[1]Sheet2!X:X,"N/A",0,1)))</f>
        <v>1</v>
      </c>
      <c r="Q204" s="7">
        <f>IF($F204="unclassified","N/A",(_xlfn.XLOOKUP($E204,[1]Sheet2!$A:$A,[1]Sheet2!Y:Y,"N/A",0,1)))</f>
        <v>1</v>
      </c>
      <c r="R204" s="7">
        <f>IF($F204="unclassified","N/A",(_xlfn.XLOOKUP($E204,[1]Sheet2!$A:$A,[1]Sheet2!Z:Z,"N/A",0,1)))</f>
        <v>1</v>
      </c>
      <c r="S204" s="7">
        <f>IF($F204="unclassified","N/A",(_xlfn.XLOOKUP($E204,[1]Sheet2!$A:$A,[1]Sheet2!AA:AA,"N/A",0,1)))</f>
        <v>1</v>
      </c>
      <c r="T204" s="7">
        <f>IF($F204="unclassified","N/A",(_xlfn.XLOOKUP($E204,[1]Sheet2!$A:$A,[1]Sheet2!AB:AB,"N/A",0,1)))</f>
        <v>1</v>
      </c>
      <c r="U204" s="35">
        <f>IF($F204="unclassified","N/A",(AVERAGE(Table3253[[#This Row],[PO nr]:[Delivery Date]])))</f>
        <v>1</v>
      </c>
      <c r="V204" s="38"/>
      <c r="W204" s="38"/>
      <c r="X204" s="38"/>
      <c r="Y204" s="38"/>
      <c r="Z204" s="38"/>
    </row>
    <row r="205" spans="4:26" ht="15" customHeight="1" x14ac:dyDescent="0.3">
      <c r="D205" s="39" t="str">
        <f>_xlfn.XLOOKUP(Table3253[[#This Row],[File Name]],'[1]Analyse 2 Detail 02-03'!A:A,'[1]Analyse 2 Detail 02-03'!R:R,"Not Found",0,1)</f>
        <v>G3 Medical B.V.</v>
      </c>
      <c r="E205" s="31" t="s">
        <v>148</v>
      </c>
      <c r="F205" s="40" t="s">
        <v>31</v>
      </c>
      <c r="G205" s="41">
        <v>0</v>
      </c>
      <c r="H205" s="7">
        <f>IF($F205="unclassified","N/A",(_xlfn.XLOOKUP($E205,[1]Sheet2!$A:$A,[1]Sheet2!Q:Q,"N/A",0,1)))</f>
        <v>1</v>
      </c>
      <c r="I205" s="7">
        <f>IF($F205="unclassified","N/A",(_xlfn.XLOOKUP($E205,[1]Sheet2!$A:$A,[1]Sheet2!R:R,"N/A",0,1)))</f>
        <v>1</v>
      </c>
      <c r="J205" s="7">
        <f>IF($F205="unclassified","N/A",(_xlfn.XLOOKUP($E205,[1]Sheet2!$A:$A,[1]Sheet2!S:S,"N/A",0,1)))</f>
        <v>1</v>
      </c>
      <c r="K205" s="7">
        <f>IF($F205="unclassified","N/A",(_xlfn.XLOOKUP($E205,[1]Sheet2!$A:$A,[1]Sheet2!T:T,"N/A",0,1)))</f>
        <v>1</v>
      </c>
      <c r="L205" s="7">
        <f>IF($F205="unclassified","N/A",(_xlfn.XLOOKUP($E205,[1]Sheet2!$A:$A,[1]Sheet2!U:U,"N/A",0,1)))</f>
        <v>1</v>
      </c>
      <c r="M205" s="7">
        <f>IF($F205="unclassified","N/A",(_xlfn.XLOOKUP($E205,[1]Sheet2!$A:$A,[1]Sheet2!V:V,"N/A",0,1)))</f>
        <v>1</v>
      </c>
      <c r="N205" s="7"/>
      <c r="O205" s="7">
        <f>IF($F205="unclassified","N/A",(_xlfn.XLOOKUP($E205,[1]Sheet2!$A:$A,[1]Sheet2!W:W,"N/A",0,1)))</f>
        <v>1</v>
      </c>
      <c r="P205" s="7">
        <f>IF($F205="unclassified","N/A",(_xlfn.XLOOKUP($E205,[1]Sheet2!$A:$A,[1]Sheet2!X:X,"N/A",0,1)))</f>
        <v>1</v>
      </c>
      <c r="Q205" s="7">
        <f>IF($F205="unclassified","N/A",(_xlfn.XLOOKUP($E205,[1]Sheet2!$A:$A,[1]Sheet2!Y:Y,"N/A",0,1)))</f>
        <v>1</v>
      </c>
      <c r="R205" s="7">
        <f>IF($F205="unclassified","N/A",(_xlfn.XLOOKUP($E205,[1]Sheet2!$A:$A,[1]Sheet2!Z:Z,"N/A",0,1)))</f>
        <v>1</v>
      </c>
      <c r="S205" s="7">
        <f>IF($F205="unclassified","N/A",(_xlfn.XLOOKUP($E205,[1]Sheet2!$A:$A,[1]Sheet2!AA:AA,"N/A",0,1)))</f>
        <v>1</v>
      </c>
      <c r="T205" s="7">
        <f>IF($F205="unclassified","N/A",(_xlfn.XLOOKUP($E205,[1]Sheet2!$A:$A,[1]Sheet2!AB:AB,"N/A",0,1)))</f>
        <v>1</v>
      </c>
      <c r="U205" s="35">
        <f>IF($F205="unclassified","N/A",(AVERAGE(Table3253[[#This Row],[PO nr]:[Delivery Date]])))</f>
        <v>1</v>
      </c>
      <c r="V205" s="38"/>
      <c r="W205" s="38"/>
      <c r="X205" s="38"/>
      <c r="Y205" s="38"/>
      <c r="Z205" s="38"/>
    </row>
    <row r="206" spans="4:26" ht="15" customHeight="1" x14ac:dyDescent="0.3">
      <c r="D206" s="39">
        <f>_xlfn.XLOOKUP(Table3253[[#This Row],[File Name]],'[1]Analyse 2 Detail 02-03'!A:A,'[1]Analyse 2 Detail 02-03'!R:R,"Not Found",0,1)</f>
        <v>0</v>
      </c>
      <c r="E206" s="31" t="s">
        <v>149</v>
      </c>
      <c r="F206" s="40" t="s">
        <v>37</v>
      </c>
      <c r="G206" s="41">
        <v>0</v>
      </c>
      <c r="H206" s="7" t="str">
        <f>IF($F206="unclassified","N/A",(_xlfn.XLOOKUP($E206,[1]Sheet2!$A:$A,[1]Sheet2!Q:Q,"N/A",0,1)))</f>
        <v>N/A</v>
      </c>
      <c r="I206" s="7" t="str">
        <f>IF($F206="unclassified","N/A",(_xlfn.XLOOKUP($E206,[1]Sheet2!$A:$A,[1]Sheet2!R:R,"N/A",0,1)))</f>
        <v>N/A</v>
      </c>
      <c r="J206" s="7" t="str">
        <f>IF($F206="unclassified","N/A",(_xlfn.XLOOKUP($E206,[1]Sheet2!$A:$A,[1]Sheet2!S:S,"N/A",0,1)))</f>
        <v>N/A</v>
      </c>
      <c r="K206" s="7" t="str">
        <f>IF($F206="unclassified","N/A",(_xlfn.XLOOKUP($E206,[1]Sheet2!$A:$A,[1]Sheet2!T:T,"N/A",0,1)))</f>
        <v>N/A</v>
      </c>
      <c r="L206" s="7" t="str">
        <f>IF($F206="unclassified","N/A",(_xlfn.XLOOKUP($E206,[1]Sheet2!$A:$A,[1]Sheet2!U:U,"N/A",0,1)))</f>
        <v>N/A</v>
      </c>
      <c r="M206" s="7" t="str">
        <f>IF($F206="unclassified","N/A",(_xlfn.XLOOKUP($E206,[1]Sheet2!$A:$A,[1]Sheet2!V:V,"N/A",0,1)))</f>
        <v>N/A</v>
      </c>
      <c r="N206" s="7"/>
      <c r="O206" s="7" t="str">
        <f>IF($F206="unclassified","N/A",(_xlfn.XLOOKUP($E206,[1]Sheet2!$A:$A,[1]Sheet2!W:W,"N/A",0,1)))</f>
        <v>N/A</v>
      </c>
      <c r="P206" s="7" t="str">
        <f>IF($F206="unclassified","N/A",(_xlfn.XLOOKUP($E206,[1]Sheet2!$A:$A,[1]Sheet2!X:X,"N/A",0,1)))</f>
        <v>N/A</v>
      </c>
      <c r="Q206" s="7" t="str">
        <f>IF($F206="unclassified","N/A",(_xlfn.XLOOKUP($E206,[1]Sheet2!$A:$A,[1]Sheet2!Y:Y,"N/A",0,1)))</f>
        <v>N/A</v>
      </c>
      <c r="R206" s="7" t="str">
        <f>IF($F206="unclassified","N/A",(_xlfn.XLOOKUP($E206,[1]Sheet2!$A:$A,[1]Sheet2!Z:Z,"N/A",0,1)))</f>
        <v>N/A</v>
      </c>
      <c r="S206" s="7" t="str">
        <f>IF($F206="unclassified","N/A",(_xlfn.XLOOKUP($E206,[1]Sheet2!$A:$A,[1]Sheet2!AA:AA,"N/A",0,1)))</f>
        <v>N/A</v>
      </c>
      <c r="T206" s="7" t="str">
        <f>IF($F206="unclassified","N/A",(_xlfn.XLOOKUP($E206,[1]Sheet2!$A:$A,[1]Sheet2!AB:AB,"N/A",0,1)))</f>
        <v>N/A</v>
      </c>
      <c r="U206" s="35" t="str">
        <f>IF($F206="unclassified","N/A",(AVERAGE(Table3253[[#This Row],[PO nr]:[Delivery Date]])))</f>
        <v>N/A</v>
      </c>
      <c r="V206" s="38"/>
      <c r="W206" s="38"/>
      <c r="X206" s="38"/>
      <c r="Y206" s="38"/>
      <c r="Z206" s="38"/>
    </row>
    <row r="207" spans="4:26" ht="15" customHeight="1" x14ac:dyDescent="0.3">
      <c r="D207" s="39" t="str">
        <f>_xlfn.XLOOKUP(Table3253[[#This Row],[File Name]],'[1]Analyse 2 Detail 02-03'!A:A,'[1]Analyse 2 Detail 02-03'!R:R,"Not Found",0,1)</f>
        <v>G3 Medical B.V.</v>
      </c>
      <c r="E207" s="31" t="s">
        <v>150</v>
      </c>
      <c r="F207" s="40" t="s">
        <v>31</v>
      </c>
      <c r="G207" s="41">
        <v>0</v>
      </c>
      <c r="H207" s="7">
        <f>IF($F207="unclassified","N/A",(_xlfn.XLOOKUP($E207,[1]Sheet2!$A:$A,[1]Sheet2!Q:Q,"N/A",0,1)))</f>
        <v>1</v>
      </c>
      <c r="I207" s="7">
        <f>IF($F207="unclassified","N/A",(_xlfn.XLOOKUP($E207,[1]Sheet2!$A:$A,[1]Sheet2!R:R,"N/A",0,1)))</f>
        <v>1</v>
      </c>
      <c r="J207" s="7">
        <f>IF($F207="unclassified","N/A",(_xlfn.XLOOKUP($E207,[1]Sheet2!$A:$A,[1]Sheet2!S:S,"N/A",0,1)))</f>
        <v>1</v>
      </c>
      <c r="K207" s="7">
        <f>IF($F207="unclassified","N/A",(_xlfn.XLOOKUP($E207,[1]Sheet2!$A:$A,[1]Sheet2!T:T,"N/A",0,1)))</f>
        <v>1</v>
      </c>
      <c r="L207" s="7">
        <f>IF($F207="unclassified","N/A",(_xlfn.XLOOKUP($E207,[1]Sheet2!$A:$A,[1]Sheet2!U:U,"N/A",0,1)))</f>
        <v>1</v>
      </c>
      <c r="M207" s="7">
        <f>IF($F207="unclassified","N/A",(_xlfn.XLOOKUP($E207,[1]Sheet2!$A:$A,[1]Sheet2!V:V,"N/A",0,1)))</f>
        <v>1</v>
      </c>
      <c r="N207" s="7"/>
      <c r="O207" s="7">
        <f>IF($F207="unclassified","N/A",(_xlfn.XLOOKUP($E207,[1]Sheet2!$A:$A,[1]Sheet2!W:W,"N/A",0,1)))</f>
        <v>1</v>
      </c>
      <c r="P207" s="7">
        <f>IF($F207="unclassified","N/A",(_xlfn.XLOOKUP($E207,[1]Sheet2!$A:$A,[1]Sheet2!X:X,"N/A",0,1)))</f>
        <v>1</v>
      </c>
      <c r="Q207" s="7">
        <f>IF($F207="unclassified","N/A",(_xlfn.XLOOKUP($E207,[1]Sheet2!$A:$A,[1]Sheet2!Y:Y,"N/A",0,1)))</f>
        <v>1</v>
      </c>
      <c r="R207" s="7">
        <f>IF($F207="unclassified","N/A",(_xlfn.XLOOKUP($E207,[1]Sheet2!$A:$A,[1]Sheet2!Z:Z,"N/A",0,1)))</f>
        <v>1</v>
      </c>
      <c r="S207" s="7">
        <f>IF($F207="unclassified","N/A",(_xlfn.XLOOKUP($E207,[1]Sheet2!$A:$A,[1]Sheet2!AA:AA,"N/A",0,1)))</f>
        <v>1</v>
      </c>
      <c r="T207" s="7">
        <f>IF($F207="unclassified","N/A",(_xlfn.XLOOKUP($E207,[1]Sheet2!$A:$A,[1]Sheet2!AB:AB,"N/A",0,1)))</f>
        <v>1</v>
      </c>
      <c r="U207" s="35">
        <f>IF($F207="unclassified","N/A",(AVERAGE(Table3253[[#This Row],[PO nr]:[Delivery Date]])))</f>
        <v>1</v>
      </c>
      <c r="V207" s="38"/>
      <c r="W207" s="38"/>
      <c r="X207" s="38"/>
      <c r="Y207" s="38"/>
      <c r="Z207" s="38"/>
    </row>
    <row r="208" spans="4:26" ht="15" customHeight="1" x14ac:dyDescent="0.3">
      <c r="D208" s="39" t="str">
        <f>_xlfn.XLOOKUP(Table3253[[#This Row],[File Name]],'[1]Analyse 2 Detail 02-03'!A:A,'[1]Analyse 2 Detail 02-03'!R:R,"Not Found",0,1)</f>
        <v>G3 Medical B.V.</v>
      </c>
      <c r="E208" s="31" t="s">
        <v>151</v>
      </c>
      <c r="F208" s="40" t="s">
        <v>31</v>
      </c>
      <c r="G208" s="41">
        <v>0</v>
      </c>
      <c r="H208" s="7">
        <f>IF($F208="unclassified","N/A",(_xlfn.XLOOKUP($E208,[1]Sheet2!$A:$A,[1]Sheet2!Q:Q,"N/A",0,1)))</f>
        <v>1</v>
      </c>
      <c r="I208" s="7">
        <f>IF($F208="unclassified","N/A",(_xlfn.XLOOKUP($E208,[1]Sheet2!$A:$A,[1]Sheet2!R:R,"N/A",0,1)))</f>
        <v>1</v>
      </c>
      <c r="J208" s="7">
        <f>IF($F208="unclassified","N/A",(_xlfn.XLOOKUP($E208,[1]Sheet2!$A:$A,[1]Sheet2!S:S,"N/A",0,1)))</f>
        <v>1</v>
      </c>
      <c r="K208" s="7">
        <f>IF($F208="unclassified","N/A",(_xlfn.XLOOKUP($E208,[1]Sheet2!$A:$A,[1]Sheet2!T:T,"N/A",0,1)))</f>
        <v>1</v>
      </c>
      <c r="L208" s="7">
        <f>IF($F208="unclassified","N/A",(_xlfn.XLOOKUP($E208,[1]Sheet2!$A:$A,[1]Sheet2!U:U,"N/A",0,1)))</f>
        <v>1</v>
      </c>
      <c r="M208" s="7">
        <f>IF($F208="unclassified","N/A",(_xlfn.XLOOKUP($E208,[1]Sheet2!$A:$A,[1]Sheet2!V:V,"N/A",0,1)))</f>
        <v>1</v>
      </c>
      <c r="N208" s="7"/>
      <c r="O208" s="7">
        <f>IF($F208="unclassified","N/A",(_xlfn.XLOOKUP($E208,[1]Sheet2!$A:$A,[1]Sheet2!W:W,"N/A",0,1)))</f>
        <v>1</v>
      </c>
      <c r="P208" s="7">
        <f>IF($F208="unclassified","N/A",(_xlfn.XLOOKUP($E208,[1]Sheet2!$A:$A,[1]Sheet2!X:X,"N/A",0,1)))</f>
        <v>1</v>
      </c>
      <c r="Q208" s="7">
        <f>IF($F208="unclassified","N/A",(_xlfn.XLOOKUP($E208,[1]Sheet2!$A:$A,[1]Sheet2!Y:Y,"N/A",0,1)))</f>
        <v>1</v>
      </c>
      <c r="R208" s="7">
        <f>IF($F208="unclassified","N/A",(_xlfn.XLOOKUP($E208,[1]Sheet2!$A:$A,[1]Sheet2!Z:Z,"N/A",0,1)))</f>
        <v>1</v>
      </c>
      <c r="S208" s="7">
        <f>IF($F208="unclassified","N/A",(_xlfn.XLOOKUP($E208,[1]Sheet2!$A:$A,[1]Sheet2!AA:AA,"N/A",0,1)))</f>
        <v>1</v>
      </c>
      <c r="T208" s="7">
        <f>IF($F208="unclassified","N/A",(_xlfn.XLOOKUP($E208,[1]Sheet2!$A:$A,[1]Sheet2!AB:AB,"N/A",0,1)))</f>
        <v>1</v>
      </c>
      <c r="U208" s="35">
        <f>IF($F208="unclassified","N/A",(AVERAGE(Table3253[[#This Row],[PO nr]:[Delivery Date]])))</f>
        <v>1</v>
      </c>
      <c r="V208" s="38"/>
      <c r="W208" s="38"/>
      <c r="X208" s="38"/>
      <c r="Y208" s="38"/>
      <c r="Z208" s="38"/>
    </row>
    <row r="209" spans="4:26" ht="15" customHeight="1" x14ac:dyDescent="0.3">
      <c r="D209" s="39">
        <f>_xlfn.XLOOKUP(Table3253[[#This Row],[File Name]],'[1]Analyse 2 Detail 02-03'!A:A,'[1]Analyse 2 Detail 02-03'!R:R,"Not Found",0,1)</f>
        <v>0</v>
      </c>
      <c r="E209" s="31" t="s">
        <v>152</v>
      </c>
      <c r="F209" s="40" t="s">
        <v>37</v>
      </c>
      <c r="G209" s="41">
        <v>0</v>
      </c>
      <c r="H209" s="7" t="str">
        <f>IF($F209="unclassified","N/A",(_xlfn.XLOOKUP($E209,[1]Sheet2!$A:$A,[1]Sheet2!Q:Q,"N/A",0,1)))</f>
        <v>N/A</v>
      </c>
      <c r="I209" s="7" t="str">
        <f>IF($F209="unclassified","N/A",(_xlfn.XLOOKUP($E209,[1]Sheet2!$A:$A,[1]Sheet2!R:R,"N/A",0,1)))</f>
        <v>N/A</v>
      </c>
      <c r="J209" s="7" t="str">
        <f>IF($F209="unclassified","N/A",(_xlfn.XLOOKUP($E209,[1]Sheet2!$A:$A,[1]Sheet2!S:S,"N/A",0,1)))</f>
        <v>N/A</v>
      </c>
      <c r="K209" s="7" t="str">
        <f>IF($F209="unclassified","N/A",(_xlfn.XLOOKUP($E209,[1]Sheet2!$A:$A,[1]Sheet2!T:T,"N/A",0,1)))</f>
        <v>N/A</v>
      </c>
      <c r="L209" s="7" t="str">
        <f>IF($F209="unclassified","N/A",(_xlfn.XLOOKUP($E209,[1]Sheet2!$A:$A,[1]Sheet2!U:U,"N/A",0,1)))</f>
        <v>N/A</v>
      </c>
      <c r="M209" s="7" t="str">
        <f>IF($F209="unclassified","N/A",(_xlfn.XLOOKUP($E209,[1]Sheet2!$A:$A,[1]Sheet2!V:V,"N/A",0,1)))</f>
        <v>N/A</v>
      </c>
      <c r="N209" s="7"/>
      <c r="O209" s="7" t="str">
        <f>IF($F209="unclassified","N/A",(_xlfn.XLOOKUP($E209,[1]Sheet2!$A:$A,[1]Sheet2!W:W,"N/A",0,1)))</f>
        <v>N/A</v>
      </c>
      <c r="P209" s="7" t="str">
        <f>IF($F209="unclassified","N/A",(_xlfn.XLOOKUP($E209,[1]Sheet2!$A:$A,[1]Sheet2!X:X,"N/A",0,1)))</f>
        <v>N/A</v>
      </c>
      <c r="Q209" s="7" t="str">
        <f>IF($F209="unclassified","N/A",(_xlfn.XLOOKUP($E209,[1]Sheet2!$A:$A,[1]Sheet2!Y:Y,"N/A",0,1)))</f>
        <v>N/A</v>
      </c>
      <c r="R209" s="7" t="str">
        <f>IF($F209="unclassified","N/A",(_xlfn.XLOOKUP($E209,[1]Sheet2!$A:$A,[1]Sheet2!Z:Z,"N/A",0,1)))</f>
        <v>N/A</v>
      </c>
      <c r="S209" s="7" t="str">
        <f>IF($F209="unclassified","N/A",(_xlfn.XLOOKUP($E209,[1]Sheet2!$A:$A,[1]Sheet2!AA:AA,"N/A",0,1)))</f>
        <v>N/A</v>
      </c>
      <c r="T209" s="7" t="str">
        <f>IF($F209="unclassified","N/A",(_xlfn.XLOOKUP($E209,[1]Sheet2!$A:$A,[1]Sheet2!AB:AB,"N/A",0,1)))</f>
        <v>N/A</v>
      </c>
      <c r="U209" s="35" t="str">
        <f>IF($F209="unclassified","N/A",(AVERAGE(Table3253[[#This Row],[PO nr]:[Delivery Date]])))</f>
        <v>N/A</v>
      </c>
      <c r="V209" s="38"/>
      <c r="W209" s="38"/>
      <c r="X209" s="38"/>
      <c r="Y209" s="38"/>
      <c r="Z209" s="38"/>
    </row>
    <row r="210" spans="4:26" ht="15" customHeight="1" x14ac:dyDescent="0.3">
      <c r="D210" s="39">
        <f>_xlfn.XLOOKUP(Table3253[[#This Row],[File Name]],'[1]Analyse 2 Detail 02-03'!A:A,'[1]Analyse 2 Detail 02-03'!R:R,"Not Found",0,1)</f>
        <v>0</v>
      </c>
      <c r="E210" s="31" t="s">
        <v>153</v>
      </c>
      <c r="F210" s="40" t="s">
        <v>37</v>
      </c>
      <c r="G210" s="41">
        <v>0</v>
      </c>
      <c r="H210" s="7" t="str">
        <f>IF($F210="unclassified","N/A",(_xlfn.XLOOKUP($E210,[1]Sheet2!$A:$A,[1]Sheet2!Q:Q,"N/A",0,1)))</f>
        <v>N/A</v>
      </c>
      <c r="I210" s="7" t="str">
        <f>IF($F210="unclassified","N/A",(_xlfn.XLOOKUP($E210,[1]Sheet2!$A:$A,[1]Sheet2!R:R,"N/A",0,1)))</f>
        <v>N/A</v>
      </c>
      <c r="J210" s="7" t="str">
        <f>IF($F210="unclassified","N/A",(_xlfn.XLOOKUP($E210,[1]Sheet2!$A:$A,[1]Sheet2!S:S,"N/A",0,1)))</f>
        <v>N/A</v>
      </c>
      <c r="K210" s="7" t="str">
        <f>IF($F210="unclassified","N/A",(_xlfn.XLOOKUP($E210,[1]Sheet2!$A:$A,[1]Sheet2!T:T,"N/A",0,1)))</f>
        <v>N/A</v>
      </c>
      <c r="L210" s="7" t="str">
        <f>IF($F210="unclassified","N/A",(_xlfn.XLOOKUP($E210,[1]Sheet2!$A:$A,[1]Sheet2!U:U,"N/A",0,1)))</f>
        <v>N/A</v>
      </c>
      <c r="M210" s="7" t="str">
        <f>IF($F210="unclassified","N/A",(_xlfn.XLOOKUP($E210,[1]Sheet2!$A:$A,[1]Sheet2!V:V,"N/A",0,1)))</f>
        <v>N/A</v>
      </c>
      <c r="N210" s="7"/>
      <c r="O210" s="7" t="str">
        <f>IF($F210="unclassified","N/A",(_xlfn.XLOOKUP($E210,[1]Sheet2!$A:$A,[1]Sheet2!W:W,"N/A",0,1)))</f>
        <v>N/A</v>
      </c>
      <c r="P210" s="7" t="str">
        <f>IF($F210="unclassified","N/A",(_xlfn.XLOOKUP($E210,[1]Sheet2!$A:$A,[1]Sheet2!X:X,"N/A",0,1)))</f>
        <v>N/A</v>
      </c>
      <c r="Q210" s="7" t="str">
        <f>IF($F210="unclassified","N/A",(_xlfn.XLOOKUP($E210,[1]Sheet2!$A:$A,[1]Sheet2!Y:Y,"N/A",0,1)))</f>
        <v>N/A</v>
      </c>
      <c r="R210" s="7" t="str">
        <f>IF($F210="unclassified","N/A",(_xlfn.XLOOKUP($E210,[1]Sheet2!$A:$A,[1]Sheet2!Z:Z,"N/A",0,1)))</f>
        <v>N/A</v>
      </c>
      <c r="S210" s="7" t="str">
        <f>IF($F210="unclassified","N/A",(_xlfn.XLOOKUP($E210,[1]Sheet2!$A:$A,[1]Sheet2!AA:AA,"N/A",0,1)))</f>
        <v>N/A</v>
      </c>
      <c r="T210" s="7" t="str">
        <f>IF($F210="unclassified","N/A",(_xlfn.XLOOKUP($E210,[1]Sheet2!$A:$A,[1]Sheet2!AB:AB,"N/A",0,1)))</f>
        <v>N/A</v>
      </c>
      <c r="U210" s="35" t="str">
        <f>IF($F210="unclassified","N/A",(AVERAGE(Table3253[[#This Row],[PO nr]:[Delivery Date]])))</f>
        <v>N/A</v>
      </c>
      <c r="V210" s="38"/>
      <c r="W210" s="38"/>
      <c r="X210" s="38"/>
      <c r="Y210" s="38"/>
      <c r="Z210" s="38"/>
    </row>
    <row r="211" spans="4:26" ht="15" customHeight="1" x14ac:dyDescent="0.3">
      <c r="D211" s="39" t="str">
        <f>_xlfn.XLOOKUP(Table3253[[#This Row],[File Name]],'[1]Analyse 2 Detail 02-03'!A:A,'[1]Analyse 2 Detail 02-03'!R:R,"Not Found",0,1)</f>
        <v>G3 Medical B.V.</v>
      </c>
      <c r="E211" s="31" t="s">
        <v>154</v>
      </c>
      <c r="F211" s="40" t="s">
        <v>31</v>
      </c>
      <c r="G211" s="41">
        <v>0</v>
      </c>
      <c r="H211" s="7">
        <f>IF($F211="unclassified","N/A",(_xlfn.XLOOKUP($E211,[1]Sheet2!$A:$A,[1]Sheet2!Q:Q,"N/A",0,1)))</f>
        <v>1</v>
      </c>
      <c r="I211" s="7">
        <f>IF($F211="unclassified","N/A",(_xlfn.XLOOKUP($E211,[1]Sheet2!$A:$A,[1]Sheet2!R:R,"N/A",0,1)))</f>
        <v>1</v>
      </c>
      <c r="J211" s="7">
        <f>IF($F211="unclassified","N/A",(_xlfn.XLOOKUP($E211,[1]Sheet2!$A:$A,[1]Sheet2!S:S,"N/A",0,1)))</f>
        <v>1</v>
      </c>
      <c r="K211" s="7">
        <f>IF($F211="unclassified","N/A",(_xlfn.XLOOKUP($E211,[1]Sheet2!$A:$A,[1]Sheet2!T:T,"N/A",0,1)))</f>
        <v>1</v>
      </c>
      <c r="L211" s="7">
        <f>IF($F211="unclassified","N/A",(_xlfn.XLOOKUP($E211,[1]Sheet2!$A:$A,[1]Sheet2!U:U,"N/A",0,1)))</f>
        <v>1</v>
      </c>
      <c r="M211" s="7">
        <f>IF($F211="unclassified","N/A",(_xlfn.XLOOKUP($E211,[1]Sheet2!$A:$A,[1]Sheet2!V:V,"N/A",0,1)))</f>
        <v>1</v>
      </c>
      <c r="N211" s="7"/>
      <c r="O211" s="7">
        <f>IF($F211="unclassified","N/A",(_xlfn.XLOOKUP($E211,[1]Sheet2!$A:$A,[1]Sheet2!W:W,"N/A",0,1)))</f>
        <v>1</v>
      </c>
      <c r="P211" s="7">
        <f>IF($F211="unclassified","N/A",(_xlfn.XLOOKUP($E211,[1]Sheet2!$A:$A,[1]Sheet2!X:X,"N/A",0,1)))</f>
        <v>1</v>
      </c>
      <c r="Q211" s="7">
        <f>IF($F211="unclassified","N/A",(_xlfn.XLOOKUP($E211,[1]Sheet2!$A:$A,[1]Sheet2!Y:Y,"N/A",0,1)))</f>
        <v>1</v>
      </c>
      <c r="R211" s="7">
        <f>IF($F211="unclassified","N/A",(_xlfn.XLOOKUP($E211,[1]Sheet2!$A:$A,[1]Sheet2!Z:Z,"N/A",0,1)))</f>
        <v>1</v>
      </c>
      <c r="S211" s="7">
        <f>IF($F211="unclassified","N/A",(_xlfn.XLOOKUP($E211,[1]Sheet2!$A:$A,[1]Sheet2!AA:AA,"N/A",0,1)))</f>
        <v>1</v>
      </c>
      <c r="T211" s="7">
        <f>IF($F211="unclassified","N/A",(_xlfn.XLOOKUP($E211,[1]Sheet2!$A:$A,[1]Sheet2!AB:AB,"N/A",0,1)))</f>
        <v>1</v>
      </c>
      <c r="U211" s="35">
        <f>IF($F211="unclassified","N/A",(AVERAGE(Table3253[[#This Row],[PO nr]:[Delivery Date]])))</f>
        <v>1</v>
      </c>
      <c r="V211" s="38"/>
      <c r="W211" s="38"/>
      <c r="X211" s="38"/>
      <c r="Y211" s="38"/>
      <c r="Z211" s="38"/>
    </row>
    <row r="212" spans="4:26" ht="15" customHeight="1" x14ac:dyDescent="0.3">
      <c r="D212" s="39" t="str">
        <f>_xlfn.XLOOKUP(Table3253[[#This Row],[File Name]],'[1]Analyse 2 Detail 02-03'!A:A,'[1]Analyse 2 Detail 02-03'!R:R,"Not Found",0,1)</f>
        <v>G3 Medical B.V.</v>
      </c>
      <c r="E212" s="31" t="s">
        <v>155</v>
      </c>
      <c r="F212" s="40" t="s">
        <v>31</v>
      </c>
      <c r="G212" s="41">
        <v>0</v>
      </c>
      <c r="H212" s="7">
        <f>IF($F212="unclassified","N/A",(_xlfn.XLOOKUP($E212,[1]Sheet2!$A:$A,[1]Sheet2!Q:Q,"N/A",0,1)))</f>
        <v>1</v>
      </c>
      <c r="I212" s="7">
        <f>IF($F212="unclassified","N/A",(_xlfn.XLOOKUP($E212,[1]Sheet2!$A:$A,[1]Sheet2!R:R,"N/A",0,1)))</f>
        <v>1</v>
      </c>
      <c r="J212" s="7">
        <f>IF($F212="unclassified","N/A",(_xlfn.XLOOKUP($E212,[1]Sheet2!$A:$A,[1]Sheet2!S:S,"N/A",0,1)))</f>
        <v>1</v>
      </c>
      <c r="K212" s="7">
        <f>IF($F212="unclassified","N/A",(_xlfn.XLOOKUP($E212,[1]Sheet2!$A:$A,[1]Sheet2!T:T,"N/A",0,1)))</f>
        <v>1</v>
      </c>
      <c r="L212" s="7">
        <f>IF($F212="unclassified","N/A",(_xlfn.XLOOKUP($E212,[1]Sheet2!$A:$A,[1]Sheet2!U:U,"N/A",0,1)))</f>
        <v>1</v>
      </c>
      <c r="M212" s="7">
        <f>IF($F212="unclassified","N/A",(_xlfn.XLOOKUP($E212,[1]Sheet2!$A:$A,[1]Sheet2!V:V,"N/A",0,1)))</f>
        <v>1</v>
      </c>
      <c r="N212" s="7"/>
      <c r="O212" s="7">
        <f>IF($F212="unclassified","N/A",(_xlfn.XLOOKUP($E212,[1]Sheet2!$A:$A,[1]Sheet2!W:W,"N/A",0,1)))</f>
        <v>1</v>
      </c>
      <c r="P212" s="7">
        <f>IF($F212="unclassified","N/A",(_xlfn.XLOOKUP($E212,[1]Sheet2!$A:$A,[1]Sheet2!X:X,"N/A",0,1)))</f>
        <v>1</v>
      </c>
      <c r="Q212" s="7">
        <f>IF($F212="unclassified","N/A",(_xlfn.XLOOKUP($E212,[1]Sheet2!$A:$A,[1]Sheet2!Y:Y,"N/A",0,1)))</f>
        <v>1</v>
      </c>
      <c r="R212" s="7">
        <f>IF($F212="unclassified","N/A",(_xlfn.XLOOKUP($E212,[1]Sheet2!$A:$A,[1]Sheet2!Z:Z,"N/A",0,1)))</f>
        <v>1</v>
      </c>
      <c r="S212" s="7">
        <f>IF($F212="unclassified","N/A",(_xlfn.XLOOKUP($E212,[1]Sheet2!$A:$A,[1]Sheet2!AA:AA,"N/A",0,1)))</f>
        <v>1</v>
      </c>
      <c r="T212" s="7">
        <f>IF($F212="unclassified","N/A",(_xlfn.XLOOKUP($E212,[1]Sheet2!$A:$A,[1]Sheet2!AB:AB,"N/A",0,1)))</f>
        <v>1</v>
      </c>
      <c r="U212" s="35">
        <f>IF($F212="unclassified","N/A",(AVERAGE(Table3253[[#This Row],[PO nr]:[Delivery Date]])))</f>
        <v>1</v>
      </c>
      <c r="V212" s="38"/>
      <c r="W212" s="38"/>
      <c r="X212" s="38"/>
      <c r="Y212" s="38"/>
      <c r="Z212" s="38"/>
    </row>
    <row r="213" spans="4:26" ht="15" customHeight="1" thickBot="1" x14ac:dyDescent="0.35">
      <c r="D213" s="55" t="str">
        <f>_xlfn.XLOOKUP(Table3253[[#This Row],[File Name]],'[1]Analyse 2 Detail 02-03'!A:A,'[1]Analyse 2 Detail 02-03'!R:R,"Not Found",0,1)</f>
        <v>G3 Medical B.V.</v>
      </c>
      <c r="E213" s="56" t="s">
        <v>156</v>
      </c>
      <c r="F213" s="57" t="s">
        <v>31</v>
      </c>
      <c r="G213" s="58">
        <v>0</v>
      </c>
      <c r="H213" s="7">
        <f>IF($F213="unclassified","N/A",(_xlfn.XLOOKUP($E213,[1]Sheet2!$A:$A,[1]Sheet2!Q:Q,"N/A",0,1)))</f>
        <v>1</v>
      </c>
      <c r="I213" s="7">
        <f>IF($F213="unclassified","N/A",(_xlfn.XLOOKUP($E213,[1]Sheet2!$A:$A,[1]Sheet2!R:R,"N/A",0,1)))</f>
        <v>1</v>
      </c>
      <c r="J213" s="7">
        <f>IF($F213="unclassified","N/A",(_xlfn.XLOOKUP($E213,[1]Sheet2!$A:$A,[1]Sheet2!S:S,"N/A",0,1)))</f>
        <v>1</v>
      </c>
      <c r="K213" s="7">
        <f>IF($F213="unclassified","N/A",(_xlfn.XLOOKUP($E213,[1]Sheet2!$A:$A,[1]Sheet2!T:T,"N/A",0,1)))</f>
        <v>1</v>
      </c>
      <c r="L213" s="7">
        <f>IF($F213="unclassified","N/A",(_xlfn.XLOOKUP($E213,[1]Sheet2!$A:$A,[1]Sheet2!U:U,"N/A",0,1)))</f>
        <v>1</v>
      </c>
      <c r="M213" s="7">
        <f>IF($F213="unclassified","N/A",(_xlfn.XLOOKUP($E213,[1]Sheet2!$A:$A,[1]Sheet2!V:V,"N/A",0,1)))</f>
        <v>1</v>
      </c>
      <c r="N213" s="7"/>
      <c r="O213" s="7">
        <f>IF($F213="unclassified","N/A",(_xlfn.XLOOKUP($E213,[1]Sheet2!$A:$A,[1]Sheet2!W:W,"N/A",0,1)))</f>
        <v>1</v>
      </c>
      <c r="P213" s="7">
        <f>IF($F213="unclassified","N/A",(_xlfn.XLOOKUP($E213,[1]Sheet2!$A:$A,[1]Sheet2!X:X,"N/A",0,1)))</f>
        <v>1</v>
      </c>
      <c r="Q213" s="7">
        <f>IF($F213="unclassified","N/A",(_xlfn.XLOOKUP($E213,[1]Sheet2!$A:$A,[1]Sheet2!Y:Y,"N/A",0,1)))</f>
        <v>1</v>
      </c>
      <c r="R213" s="7">
        <f>IF($F213="unclassified","N/A",(_xlfn.XLOOKUP($E213,[1]Sheet2!$A:$A,[1]Sheet2!Z:Z,"N/A",0,1)))</f>
        <v>1</v>
      </c>
      <c r="S213" s="7">
        <f>IF($F213="unclassified","N/A",(_xlfn.XLOOKUP($E213,[1]Sheet2!$A:$A,[1]Sheet2!AA:AA,"N/A",0,1)))</f>
        <v>1</v>
      </c>
      <c r="T213" s="7">
        <f>IF($F213="unclassified","N/A",(_xlfn.XLOOKUP($E213,[1]Sheet2!$A:$A,[1]Sheet2!AB:AB,"N/A",0,1)))</f>
        <v>1</v>
      </c>
      <c r="U213" s="35">
        <f>IF($F213="unclassified","N/A",(AVERAGE(Table3253[[#This Row],[PO nr]:[Delivery Date]])))</f>
        <v>1</v>
      </c>
      <c r="V213" s="59"/>
      <c r="W213" s="59"/>
      <c r="X213" s="59"/>
      <c r="Y213" s="59"/>
      <c r="Z213" s="38"/>
    </row>
  </sheetData>
  <mergeCells count="2">
    <mergeCell ref="H5:T5"/>
    <mergeCell ref="H113:T113"/>
  </mergeCells>
  <conditionalFormatting sqref="H4:U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U105">
    <cfRule type="colorScale" priority="4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conditionalFormatting sqref="H112:U1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5:U213">
    <cfRule type="colorScale" priority="2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Analyse HL 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Fenno Feremans</dc:creator>
  <cp:lastModifiedBy>Fenno Feremans</cp:lastModifiedBy>
  <dcterms:created xsi:type="dcterms:W3CDTF">2026-03-31T09:04:27Z</dcterms:created>
  <dcterms:modified xsi:type="dcterms:W3CDTF">2026-03-31T09:04:51Z</dcterms:modified>
</cp:coreProperties>
</file>