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ronos-my.sharepoint.com/personal/feremfe_cronos_be/Documents/Stage/design-UI-card/"/>
    </mc:Choice>
  </mc:AlternateContent>
  <xr:revisionPtr revIDLastSave="1734" documentId="8_{FD0BABF1-1BF8-4E6A-9185-5A5EEF86AB39}" xr6:coauthVersionLast="47" xr6:coauthVersionMax="47" xr10:uidLastSave="{9B60B250-6A0C-467F-B206-732DE8183759}"/>
  <bookViews>
    <workbookView xWindow="975" yWindow="-15240" windowWidth="21600" windowHeight="11235" firstSheet="5" activeTab="9" xr2:uid="{273E2ED6-A1F3-40FF-8561-706C809856B3}"/>
  </bookViews>
  <sheets>
    <sheet name="Top 300" sheetId="11" r:id="rId1"/>
    <sheet name="Analyse HL 2 (3)" sheetId="18" r:id="rId2"/>
    <sheet name="SAPUI5 Export" sheetId="7" r:id="rId3"/>
    <sheet name="Analyse 1 Documents 27-02" sheetId="8" r:id="rId4"/>
    <sheet name="Analyse 2 Detail 02-03" sheetId="10" r:id="rId5"/>
    <sheet name="Pivot" sheetId="14" r:id="rId6"/>
    <sheet name="Sheet2" sheetId="16" r:id="rId7"/>
    <sheet name="Analyse HL 1" sheetId="4" r:id="rId8"/>
    <sheet name="Analyse HL 2" sheetId="9" r:id="rId9"/>
    <sheet name="Analyse HL 2 (2)" sheetId="17" r:id="rId10"/>
    <sheet name="Business rules" sheetId="12" r:id="rId11"/>
    <sheet name="Overzicht" sheetId="13" r:id="rId12"/>
  </sheets>
  <definedNames>
    <definedName name="_xlnm._FilterDatabase" localSheetId="3" hidden="1">'Analyse 1 Documents 27-02'!$A$1:$I$100</definedName>
    <definedName name="_xlnm._FilterDatabase" localSheetId="4" hidden="1">'Analyse 2 Detail 02-03'!$A$2:$AK$495</definedName>
    <definedName name="_xlnm._FilterDatabase" localSheetId="10" hidden="1">'Business rules'!$A$1:$G$8</definedName>
    <definedName name="_xlnm._FilterDatabase" localSheetId="2" hidden="1">'SAPUI5 Export'!$A$1:$I$22</definedName>
    <definedName name="_xlnm._FilterDatabase" localSheetId="0" hidden="1">'Top 300'!$B$1:$H$445</definedName>
  </definedNames>
  <calcPr calcId="191028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5" i="18" l="1"/>
  <c r="D105" i="18"/>
  <c r="C105" i="18" s="1"/>
  <c r="U104" i="18"/>
  <c r="D104" i="18"/>
  <c r="C104" i="18" s="1"/>
  <c r="U103" i="18"/>
  <c r="D103" i="18"/>
  <c r="C103" i="18" s="1"/>
  <c r="U102" i="18"/>
  <c r="D102" i="18"/>
  <c r="C102" i="18" s="1"/>
  <c r="U101" i="18"/>
  <c r="D101" i="18"/>
  <c r="C101" i="18" s="1"/>
  <c r="U100" i="18"/>
  <c r="D100" i="18"/>
  <c r="C100" i="18" s="1"/>
  <c r="U99" i="18"/>
  <c r="D99" i="18"/>
  <c r="C99" i="18" s="1"/>
  <c r="U98" i="18"/>
  <c r="D98" i="18"/>
  <c r="C98" i="18" s="1"/>
  <c r="U97" i="18"/>
  <c r="D97" i="18"/>
  <c r="C97" i="18" s="1"/>
  <c r="U96" i="18"/>
  <c r="D96" i="18"/>
  <c r="C96" i="18" s="1"/>
  <c r="U95" i="18"/>
  <c r="D95" i="18"/>
  <c r="C95" i="18" s="1"/>
  <c r="U94" i="18"/>
  <c r="D94" i="18"/>
  <c r="C94" i="18" s="1"/>
  <c r="U93" i="18"/>
  <c r="D93" i="18"/>
  <c r="C93" i="18" s="1"/>
  <c r="U92" i="18"/>
  <c r="D92" i="18"/>
  <c r="C92" i="18" s="1"/>
  <c r="U91" i="18"/>
  <c r="D91" i="18"/>
  <c r="C91" i="18" s="1"/>
  <c r="U90" i="18"/>
  <c r="D90" i="18"/>
  <c r="C90" i="18" s="1"/>
  <c r="U89" i="18"/>
  <c r="D89" i="18"/>
  <c r="C89" i="18" s="1"/>
  <c r="U88" i="18"/>
  <c r="D88" i="18"/>
  <c r="C88" i="18" s="1"/>
  <c r="U87" i="18"/>
  <c r="D87" i="18"/>
  <c r="C87" i="18" s="1"/>
  <c r="U86" i="18"/>
  <c r="D86" i="18"/>
  <c r="C86" i="18" s="1"/>
  <c r="U85" i="18"/>
  <c r="D85" i="18"/>
  <c r="C85" i="18" s="1"/>
  <c r="U84" i="18"/>
  <c r="D84" i="18"/>
  <c r="C84" i="18" s="1"/>
  <c r="U83" i="18"/>
  <c r="D83" i="18"/>
  <c r="C83" i="18" s="1"/>
  <c r="U82" i="18"/>
  <c r="D82" i="18"/>
  <c r="C82" i="18" s="1"/>
  <c r="U81" i="18"/>
  <c r="D81" i="18"/>
  <c r="C81" i="18" s="1"/>
  <c r="U80" i="18"/>
  <c r="D80" i="18"/>
  <c r="C80" i="18" s="1"/>
  <c r="U79" i="18"/>
  <c r="D79" i="18"/>
  <c r="C79" i="18" s="1"/>
  <c r="U78" i="18"/>
  <c r="D78" i="18"/>
  <c r="C78" i="18" s="1"/>
  <c r="U77" i="18"/>
  <c r="D77" i="18"/>
  <c r="C77" i="18" s="1"/>
  <c r="U76" i="18"/>
  <c r="D76" i="18"/>
  <c r="C76" i="18" s="1"/>
  <c r="U75" i="18"/>
  <c r="D75" i="18"/>
  <c r="C75" i="18" s="1"/>
  <c r="U74" i="18"/>
  <c r="D74" i="18"/>
  <c r="C74" i="18" s="1"/>
  <c r="U73" i="18"/>
  <c r="D73" i="18"/>
  <c r="C73" i="18" s="1"/>
  <c r="U72" i="18"/>
  <c r="D72" i="18"/>
  <c r="C72" i="18" s="1"/>
  <c r="U71" i="18"/>
  <c r="D71" i="18"/>
  <c r="C71" i="18" s="1"/>
  <c r="U70" i="18"/>
  <c r="D70" i="18"/>
  <c r="C70" i="18" s="1"/>
  <c r="U69" i="18"/>
  <c r="D69" i="18"/>
  <c r="C69" i="18" s="1"/>
  <c r="U68" i="18"/>
  <c r="D68" i="18"/>
  <c r="C68" i="18" s="1"/>
  <c r="U67" i="18"/>
  <c r="D67" i="18"/>
  <c r="C67" i="18" s="1"/>
  <c r="U66" i="18"/>
  <c r="D66" i="18"/>
  <c r="C66" i="18" s="1"/>
  <c r="U65" i="18"/>
  <c r="D65" i="18"/>
  <c r="C65" i="18" s="1"/>
  <c r="U64" i="18"/>
  <c r="D64" i="18"/>
  <c r="C64" i="18" s="1"/>
  <c r="U63" i="18"/>
  <c r="D63" i="18"/>
  <c r="C63" i="18" s="1"/>
  <c r="U62" i="18"/>
  <c r="D62" i="18"/>
  <c r="C62" i="18" s="1"/>
  <c r="U61" i="18"/>
  <c r="D61" i="18"/>
  <c r="C61" i="18" s="1"/>
  <c r="U60" i="18"/>
  <c r="D60" i="18"/>
  <c r="C60" i="18" s="1"/>
  <c r="U59" i="18"/>
  <c r="D59" i="18"/>
  <c r="C59" i="18" s="1"/>
  <c r="U58" i="18"/>
  <c r="D58" i="18"/>
  <c r="C58" i="18" s="1"/>
  <c r="U57" i="18"/>
  <c r="D57" i="18"/>
  <c r="C57" i="18" s="1"/>
  <c r="U56" i="18"/>
  <c r="D56" i="18"/>
  <c r="C56" i="18" s="1"/>
  <c r="U55" i="18"/>
  <c r="D55" i="18"/>
  <c r="C55" i="18" s="1"/>
  <c r="U54" i="18"/>
  <c r="D54" i="18"/>
  <c r="C54" i="18" s="1"/>
  <c r="U53" i="18"/>
  <c r="D53" i="18"/>
  <c r="C53" i="18" s="1"/>
  <c r="U52" i="18"/>
  <c r="D52" i="18"/>
  <c r="C52" i="18" s="1"/>
  <c r="U51" i="18"/>
  <c r="D51" i="18"/>
  <c r="C51" i="18" s="1"/>
  <c r="U50" i="18"/>
  <c r="D50" i="18"/>
  <c r="C50" i="18" s="1"/>
  <c r="U49" i="18"/>
  <c r="D49" i="18"/>
  <c r="C49" i="18" s="1"/>
  <c r="U48" i="18"/>
  <c r="D48" i="18"/>
  <c r="C48" i="18" s="1"/>
  <c r="U47" i="18"/>
  <c r="D47" i="18"/>
  <c r="C47" i="18" s="1"/>
  <c r="U46" i="18"/>
  <c r="D46" i="18"/>
  <c r="C46" i="18" s="1"/>
  <c r="U45" i="18"/>
  <c r="D45" i="18"/>
  <c r="C45" i="18" s="1"/>
  <c r="U44" i="18"/>
  <c r="D44" i="18"/>
  <c r="C44" i="18" s="1"/>
  <c r="U43" i="18"/>
  <c r="D43" i="18"/>
  <c r="C43" i="18" s="1"/>
  <c r="U42" i="18"/>
  <c r="D42" i="18"/>
  <c r="C42" i="18" s="1"/>
  <c r="U41" i="18"/>
  <c r="D41" i="18"/>
  <c r="C41" i="18" s="1"/>
  <c r="U40" i="18"/>
  <c r="D40" i="18"/>
  <c r="C40" i="18" s="1"/>
  <c r="U39" i="18"/>
  <c r="D39" i="18"/>
  <c r="C39" i="18" s="1"/>
  <c r="U38" i="18"/>
  <c r="D38" i="18"/>
  <c r="C38" i="18" s="1"/>
  <c r="U37" i="18"/>
  <c r="D37" i="18"/>
  <c r="C37" i="18" s="1"/>
  <c r="U36" i="18"/>
  <c r="D36" i="18"/>
  <c r="C36" i="18" s="1"/>
  <c r="U35" i="18"/>
  <c r="D35" i="18"/>
  <c r="C35" i="18" s="1"/>
  <c r="U34" i="18"/>
  <c r="D34" i="18"/>
  <c r="C34" i="18" s="1"/>
  <c r="U33" i="18"/>
  <c r="D33" i="18"/>
  <c r="C33" i="18" s="1"/>
  <c r="U32" i="18"/>
  <c r="D32" i="18"/>
  <c r="C32" i="18" s="1"/>
  <c r="U31" i="18"/>
  <c r="D31" i="18"/>
  <c r="C31" i="18" s="1"/>
  <c r="U30" i="18"/>
  <c r="D30" i="18"/>
  <c r="C30" i="18" s="1"/>
  <c r="U29" i="18"/>
  <c r="D29" i="18"/>
  <c r="C29" i="18" s="1"/>
  <c r="U28" i="18"/>
  <c r="D28" i="18"/>
  <c r="C28" i="18" s="1"/>
  <c r="U27" i="18"/>
  <c r="D27" i="18"/>
  <c r="C27" i="18" s="1"/>
  <c r="U26" i="18"/>
  <c r="D26" i="18"/>
  <c r="C26" i="18" s="1"/>
  <c r="U25" i="18"/>
  <c r="D25" i="18"/>
  <c r="C25" i="18" s="1"/>
  <c r="U24" i="18"/>
  <c r="D24" i="18"/>
  <c r="C24" i="18" s="1"/>
  <c r="U23" i="18"/>
  <c r="D23" i="18"/>
  <c r="C23" i="18" s="1"/>
  <c r="U22" i="18"/>
  <c r="D22" i="18"/>
  <c r="C22" i="18" s="1"/>
  <c r="U21" i="18"/>
  <c r="D21" i="18"/>
  <c r="C21" i="18" s="1"/>
  <c r="U20" i="18"/>
  <c r="D20" i="18"/>
  <c r="C20" i="18" s="1"/>
  <c r="U19" i="18"/>
  <c r="D19" i="18"/>
  <c r="C19" i="18" s="1"/>
  <c r="U18" i="18"/>
  <c r="D18" i="18"/>
  <c r="C18" i="18" s="1"/>
  <c r="U17" i="18"/>
  <c r="D17" i="18"/>
  <c r="C17" i="18" s="1"/>
  <c r="U16" i="18"/>
  <c r="D16" i="18"/>
  <c r="C16" i="18" s="1"/>
  <c r="U15" i="18"/>
  <c r="D15" i="18"/>
  <c r="C15" i="18" s="1"/>
  <c r="U14" i="18"/>
  <c r="D14" i="18"/>
  <c r="C14" i="18" s="1"/>
  <c r="U13" i="18"/>
  <c r="D13" i="18"/>
  <c r="C13" i="18" s="1"/>
  <c r="U12" i="18"/>
  <c r="D12" i="18"/>
  <c r="C12" i="18" s="1"/>
  <c r="U11" i="18"/>
  <c r="D11" i="18"/>
  <c r="C11" i="18" s="1"/>
  <c r="U10" i="18"/>
  <c r="D10" i="18"/>
  <c r="C10" i="18" s="1"/>
  <c r="U9" i="18"/>
  <c r="D9" i="18"/>
  <c r="C9" i="18" s="1"/>
  <c r="U8" i="18"/>
  <c r="D8" i="18"/>
  <c r="C8" i="18" s="1"/>
  <c r="U7" i="18"/>
  <c r="D7" i="18"/>
  <c r="C7" i="18" s="1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U4" i="18" s="1"/>
  <c r="G4" i="18"/>
  <c r="F4" i="18"/>
  <c r="E4" i="18"/>
  <c r="D18" i="9"/>
  <c r="C18" i="9" s="1"/>
  <c r="P26" i="13"/>
  <c r="G27" i="13"/>
  <c r="H27" i="13"/>
  <c r="I27" i="13"/>
  <c r="J27" i="13"/>
  <c r="K27" i="13"/>
  <c r="L27" i="13"/>
  <c r="M27" i="13"/>
  <c r="N27" i="13"/>
  <c r="O27" i="13"/>
  <c r="P27" i="13"/>
  <c r="F27" i="13"/>
  <c r="E27" i="13"/>
  <c r="D27" i="13"/>
  <c r="E25" i="13"/>
  <c r="D25" i="13"/>
  <c r="H25" i="13"/>
  <c r="I25" i="13"/>
  <c r="J25" i="13"/>
  <c r="K25" i="13"/>
  <c r="L25" i="13"/>
  <c r="M25" i="13"/>
  <c r="N25" i="13"/>
  <c r="O25" i="13"/>
  <c r="P25" i="13"/>
  <c r="G25" i="13"/>
  <c r="F25" i="13"/>
  <c r="G26" i="13"/>
  <c r="H26" i="13"/>
  <c r="I26" i="13"/>
  <c r="J26" i="13"/>
  <c r="K26" i="13"/>
  <c r="L26" i="13"/>
  <c r="M26" i="13"/>
  <c r="N26" i="13"/>
  <c r="O26" i="13"/>
  <c r="F26" i="13"/>
  <c r="D26" i="13"/>
  <c r="E26" i="13"/>
  <c r="E12" i="13"/>
  <c r="E11" i="13"/>
  <c r="F11" i="13"/>
  <c r="S13" i="17"/>
  <c r="D115" i="17"/>
  <c r="D116" i="17"/>
  <c r="D117" i="17"/>
  <c r="D118" i="17"/>
  <c r="D119" i="17"/>
  <c r="D120" i="17"/>
  <c r="H120" i="17"/>
  <c r="I120" i="17"/>
  <c r="J120" i="17"/>
  <c r="K120" i="17"/>
  <c r="L120" i="17"/>
  <c r="M120" i="17"/>
  <c r="O120" i="17"/>
  <c r="P120" i="17"/>
  <c r="Q120" i="17"/>
  <c r="R120" i="17"/>
  <c r="S120" i="17"/>
  <c r="T120" i="17"/>
  <c r="U120" i="17"/>
  <c r="D121" i="17"/>
  <c r="D122" i="17"/>
  <c r="I122" i="17"/>
  <c r="J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H137" i="17"/>
  <c r="I137" i="17"/>
  <c r="J137" i="17"/>
  <c r="K137" i="17"/>
  <c r="L137" i="17"/>
  <c r="M137" i="17"/>
  <c r="O137" i="17"/>
  <c r="P137" i="17"/>
  <c r="Q137" i="17"/>
  <c r="R137" i="17"/>
  <c r="S137" i="17"/>
  <c r="T137" i="17"/>
  <c r="U137" i="17"/>
  <c r="D138" i="17"/>
  <c r="H138" i="17"/>
  <c r="I138" i="17"/>
  <c r="J138" i="17"/>
  <c r="K138" i="17"/>
  <c r="L138" i="17"/>
  <c r="M138" i="17"/>
  <c r="O138" i="17"/>
  <c r="P138" i="17"/>
  <c r="Q138" i="17"/>
  <c r="R138" i="17"/>
  <c r="S138" i="17"/>
  <c r="T138" i="17"/>
  <c r="U138" i="17"/>
  <c r="D139" i="17"/>
  <c r="D140" i="17"/>
  <c r="D141" i="17"/>
  <c r="D142" i="17"/>
  <c r="D143" i="17"/>
  <c r="D144" i="17"/>
  <c r="D145" i="17"/>
  <c r="D146" i="17"/>
  <c r="D147" i="17"/>
  <c r="D148" i="17"/>
  <c r="H148" i="17"/>
  <c r="I148" i="17"/>
  <c r="J148" i="17"/>
  <c r="K148" i="17"/>
  <c r="L148" i="17"/>
  <c r="M148" i="17"/>
  <c r="O148" i="17"/>
  <c r="P148" i="17"/>
  <c r="Q148" i="17"/>
  <c r="R148" i="17"/>
  <c r="S148" i="17"/>
  <c r="T148" i="17"/>
  <c r="U148" i="17"/>
  <c r="D149" i="17"/>
  <c r="Q149" i="17"/>
  <c r="D150" i="17"/>
  <c r="D151" i="17"/>
  <c r="D152" i="17"/>
  <c r="D153" i="17"/>
  <c r="D154" i="17"/>
  <c r="D155" i="17"/>
  <c r="D156" i="17"/>
  <c r="D157" i="17"/>
  <c r="H157" i="17"/>
  <c r="I157" i="17"/>
  <c r="J157" i="17"/>
  <c r="K157" i="17"/>
  <c r="L157" i="17"/>
  <c r="M157" i="17"/>
  <c r="O157" i="17"/>
  <c r="P157" i="17"/>
  <c r="Q157" i="17"/>
  <c r="R157" i="17"/>
  <c r="S157" i="17"/>
  <c r="T157" i="17"/>
  <c r="U157" i="17"/>
  <c r="D158" i="17"/>
  <c r="H158" i="17"/>
  <c r="I158" i="17"/>
  <c r="J158" i="17"/>
  <c r="K158" i="17"/>
  <c r="L158" i="17"/>
  <c r="M158" i="17"/>
  <c r="O158" i="17"/>
  <c r="P158" i="17"/>
  <c r="Q158" i="17"/>
  <c r="R158" i="17"/>
  <c r="S158" i="17"/>
  <c r="T158" i="17"/>
  <c r="U158" i="17"/>
  <c r="D159" i="17"/>
  <c r="H159" i="17"/>
  <c r="I159" i="17"/>
  <c r="J159" i="17"/>
  <c r="K159" i="17"/>
  <c r="L159" i="17"/>
  <c r="M159" i="17"/>
  <c r="O159" i="17"/>
  <c r="P159" i="17"/>
  <c r="Q159" i="17"/>
  <c r="R159" i="17"/>
  <c r="S159" i="17"/>
  <c r="T159" i="17"/>
  <c r="U159" i="17"/>
  <c r="D160" i="17"/>
  <c r="H160" i="17"/>
  <c r="I160" i="17"/>
  <c r="J160" i="17"/>
  <c r="K160" i="17"/>
  <c r="L160" i="17"/>
  <c r="M160" i="17"/>
  <c r="O160" i="17"/>
  <c r="P160" i="17"/>
  <c r="Q160" i="17"/>
  <c r="R160" i="17"/>
  <c r="S160" i="17"/>
  <c r="T160" i="17"/>
  <c r="U160" i="17"/>
  <c r="D161" i="17"/>
  <c r="H161" i="17"/>
  <c r="I161" i="17"/>
  <c r="J161" i="17"/>
  <c r="K161" i="17"/>
  <c r="L161" i="17"/>
  <c r="M161" i="17"/>
  <c r="O161" i="17"/>
  <c r="P161" i="17"/>
  <c r="Q161" i="17"/>
  <c r="R161" i="17"/>
  <c r="S161" i="17"/>
  <c r="T161" i="17"/>
  <c r="U161" i="17"/>
  <c r="D162" i="17"/>
  <c r="H162" i="17"/>
  <c r="I162" i="17"/>
  <c r="J162" i="17"/>
  <c r="K162" i="17"/>
  <c r="L162" i="17"/>
  <c r="M162" i="17"/>
  <c r="O162" i="17"/>
  <c r="P162" i="17"/>
  <c r="Q162" i="17"/>
  <c r="R162" i="17"/>
  <c r="S162" i="17"/>
  <c r="T162" i="17"/>
  <c r="U162" i="17"/>
  <c r="D163" i="17"/>
  <c r="K163" i="17"/>
  <c r="L163" i="17"/>
  <c r="D164" i="17"/>
  <c r="D165" i="17"/>
  <c r="D166" i="17"/>
  <c r="D167" i="17"/>
  <c r="D168" i="17"/>
  <c r="H168" i="17"/>
  <c r="I168" i="17"/>
  <c r="J168" i="17"/>
  <c r="K168" i="17"/>
  <c r="L168" i="17"/>
  <c r="M168" i="17"/>
  <c r="O168" i="17"/>
  <c r="P168" i="17"/>
  <c r="Q168" i="17"/>
  <c r="R168" i="17"/>
  <c r="S168" i="17"/>
  <c r="T168" i="17"/>
  <c r="U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U182" i="17"/>
  <c r="D183" i="17"/>
  <c r="D184" i="17"/>
  <c r="D185" i="17"/>
  <c r="D186" i="17"/>
  <c r="U186" i="17"/>
  <c r="D187" i="17"/>
  <c r="D188" i="17"/>
  <c r="M188" i="17"/>
  <c r="D189" i="17"/>
  <c r="H189" i="17"/>
  <c r="I189" i="17"/>
  <c r="J189" i="17"/>
  <c r="K189" i="17"/>
  <c r="L189" i="17"/>
  <c r="M189" i="17"/>
  <c r="O189" i="17"/>
  <c r="P189" i="17"/>
  <c r="Q189" i="17"/>
  <c r="R189" i="17"/>
  <c r="S189" i="17"/>
  <c r="T189" i="17"/>
  <c r="U189" i="17"/>
  <c r="D190" i="17"/>
  <c r="H190" i="17"/>
  <c r="I190" i="17"/>
  <c r="J190" i="17"/>
  <c r="K190" i="17"/>
  <c r="L190" i="17"/>
  <c r="M190" i="17"/>
  <c r="O190" i="17"/>
  <c r="P190" i="17"/>
  <c r="Q190" i="17"/>
  <c r="R190" i="17"/>
  <c r="S190" i="17"/>
  <c r="T190" i="17"/>
  <c r="U190" i="17"/>
  <c r="D191" i="17"/>
  <c r="H191" i="17"/>
  <c r="I191" i="17"/>
  <c r="J191" i="17"/>
  <c r="K191" i="17"/>
  <c r="L191" i="17"/>
  <c r="M191" i="17"/>
  <c r="O191" i="17"/>
  <c r="P191" i="17"/>
  <c r="Q191" i="17"/>
  <c r="R191" i="17"/>
  <c r="S191" i="17"/>
  <c r="T191" i="17"/>
  <c r="U191" i="17"/>
  <c r="D192" i="17"/>
  <c r="H192" i="17"/>
  <c r="I192" i="17"/>
  <c r="J192" i="17"/>
  <c r="K192" i="17"/>
  <c r="L192" i="17"/>
  <c r="M192" i="17"/>
  <c r="O192" i="17"/>
  <c r="P192" i="17"/>
  <c r="Q192" i="17"/>
  <c r="R192" i="17"/>
  <c r="S192" i="17"/>
  <c r="T192" i="17"/>
  <c r="U192" i="17"/>
  <c r="D193" i="17"/>
  <c r="H193" i="17"/>
  <c r="I193" i="17"/>
  <c r="J193" i="17"/>
  <c r="K193" i="17"/>
  <c r="L193" i="17"/>
  <c r="M193" i="17"/>
  <c r="O193" i="17"/>
  <c r="P193" i="17"/>
  <c r="Q193" i="17"/>
  <c r="R193" i="17"/>
  <c r="S193" i="17"/>
  <c r="T193" i="17"/>
  <c r="U193" i="17"/>
  <c r="D194" i="17"/>
  <c r="H194" i="17"/>
  <c r="I194" i="17"/>
  <c r="J194" i="17"/>
  <c r="K194" i="17"/>
  <c r="L194" i="17"/>
  <c r="M194" i="17"/>
  <c r="O194" i="17"/>
  <c r="P194" i="17"/>
  <c r="Q194" i="17"/>
  <c r="R194" i="17"/>
  <c r="S194" i="17"/>
  <c r="T194" i="17"/>
  <c r="U194" i="17"/>
  <c r="D195" i="17"/>
  <c r="H195" i="17"/>
  <c r="I195" i="17"/>
  <c r="J195" i="17"/>
  <c r="K195" i="17"/>
  <c r="L195" i="17"/>
  <c r="M195" i="17"/>
  <c r="O195" i="17"/>
  <c r="P195" i="17"/>
  <c r="Q195" i="17"/>
  <c r="R195" i="17"/>
  <c r="S195" i="17"/>
  <c r="T195" i="17"/>
  <c r="U195" i="17"/>
  <c r="D196" i="17"/>
  <c r="H196" i="17"/>
  <c r="I196" i="17"/>
  <c r="J196" i="17"/>
  <c r="K196" i="17"/>
  <c r="L196" i="17"/>
  <c r="M196" i="17"/>
  <c r="O196" i="17"/>
  <c r="P196" i="17"/>
  <c r="Q196" i="17"/>
  <c r="R196" i="17"/>
  <c r="S196" i="17"/>
  <c r="T196" i="17"/>
  <c r="U196" i="17"/>
  <c r="D197" i="17"/>
  <c r="H197" i="17"/>
  <c r="I197" i="17"/>
  <c r="J197" i="17"/>
  <c r="K197" i="17"/>
  <c r="L197" i="17"/>
  <c r="M197" i="17"/>
  <c r="O197" i="17"/>
  <c r="P197" i="17"/>
  <c r="Q197" i="17"/>
  <c r="R197" i="17"/>
  <c r="S197" i="17"/>
  <c r="T197" i="17"/>
  <c r="U197" i="17"/>
  <c r="D198" i="17"/>
  <c r="D199" i="17"/>
  <c r="R199" i="17"/>
  <c r="D200" i="17"/>
  <c r="D201" i="17"/>
  <c r="D202" i="17"/>
  <c r="D203" i="17"/>
  <c r="D204" i="17"/>
  <c r="D205" i="17"/>
  <c r="M205" i="17"/>
  <c r="P205" i="17"/>
  <c r="D206" i="17"/>
  <c r="H206" i="17"/>
  <c r="I206" i="17"/>
  <c r="J206" i="17"/>
  <c r="K206" i="17"/>
  <c r="L206" i="17"/>
  <c r="M206" i="17"/>
  <c r="O206" i="17"/>
  <c r="P206" i="17"/>
  <c r="Q206" i="17"/>
  <c r="R206" i="17"/>
  <c r="S206" i="17"/>
  <c r="T206" i="17"/>
  <c r="U206" i="17"/>
  <c r="D207" i="17"/>
  <c r="D208" i="17"/>
  <c r="D209" i="17"/>
  <c r="H209" i="17"/>
  <c r="I209" i="17"/>
  <c r="J209" i="17"/>
  <c r="K209" i="17"/>
  <c r="L209" i="17"/>
  <c r="M209" i="17"/>
  <c r="O209" i="17"/>
  <c r="P209" i="17"/>
  <c r="Q209" i="17"/>
  <c r="R209" i="17"/>
  <c r="S209" i="17"/>
  <c r="T209" i="17"/>
  <c r="U209" i="17"/>
  <c r="D210" i="17"/>
  <c r="H210" i="17"/>
  <c r="I210" i="17"/>
  <c r="J210" i="17"/>
  <c r="K210" i="17"/>
  <c r="L210" i="17"/>
  <c r="M210" i="17"/>
  <c r="O210" i="17"/>
  <c r="P210" i="17"/>
  <c r="Q210" i="17"/>
  <c r="R210" i="17"/>
  <c r="S210" i="17"/>
  <c r="T210" i="17"/>
  <c r="U210" i="17"/>
  <c r="D211" i="17"/>
  <c r="D212" i="17"/>
  <c r="D213" i="17"/>
  <c r="E112" i="17"/>
  <c r="F112" i="17"/>
  <c r="G112" i="17"/>
  <c r="U12" i="17"/>
  <c r="U29" i="17"/>
  <c r="U30" i="17"/>
  <c r="U40" i="17"/>
  <c r="U49" i="17"/>
  <c r="U50" i="17"/>
  <c r="U51" i="17"/>
  <c r="U52" i="17"/>
  <c r="U53" i="17"/>
  <c r="U54" i="17"/>
  <c r="U60" i="17"/>
  <c r="U74" i="17"/>
  <c r="U78" i="17"/>
  <c r="U81" i="17"/>
  <c r="U82" i="17"/>
  <c r="U83" i="17"/>
  <c r="U84" i="17"/>
  <c r="U85" i="17"/>
  <c r="U86" i="17"/>
  <c r="U87" i="17"/>
  <c r="U88" i="17"/>
  <c r="U89" i="17"/>
  <c r="U98" i="17"/>
  <c r="U101" i="17"/>
  <c r="U102" i="17"/>
  <c r="O12" i="17"/>
  <c r="P12" i="17"/>
  <c r="Q12" i="17"/>
  <c r="R12" i="17"/>
  <c r="S12" i="17"/>
  <c r="T12" i="17"/>
  <c r="Q22" i="17"/>
  <c r="P24" i="17"/>
  <c r="O29" i="17"/>
  <c r="P29" i="17"/>
  <c r="Q29" i="17"/>
  <c r="R29" i="17"/>
  <c r="S29" i="17"/>
  <c r="T29" i="17"/>
  <c r="O30" i="17"/>
  <c r="P30" i="17"/>
  <c r="Q30" i="17"/>
  <c r="R30" i="17"/>
  <c r="S30" i="17"/>
  <c r="T30" i="17"/>
  <c r="Q36" i="17"/>
  <c r="O40" i="17"/>
  <c r="P40" i="17"/>
  <c r="Q40" i="17"/>
  <c r="R40" i="17"/>
  <c r="S40" i="17"/>
  <c r="T40" i="17"/>
  <c r="Q44" i="17"/>
  <c r="P46" i="17"/>
  <c r="O49" i="17"/>
  <c r="P49" i="17"/>
  <c r="Q49" i="17"/>
  <c r="R49" i="17"/>
  <c r="S49" i="17"/>
  <c r="T49" i="17"/>
  <c r="O50" i="17"/>
  <c r="P50" i="17"/>
  <c r="Q50" i="17"/>
  <c r="R50" i="17"/>
  <c r="S50" i="17"/>
  <c r="T50" i="17"/>
  <c r="O51" i="17"/>
  <c r="P51" i="17"/>
  <c r="Q51" i="17"/>
  <c r="R51" i="17"/>
  <c r="S51" i="17"/>
  <c r="T51" i="17"/>
  <c r="O52" i="17"/>
  <c r="P52" i="17"/>
  <c r="Q52" i="17"/>
  <c r="R52" i="17"/>
  <c r="S52" i="17"/>
  <c r="T52" i="17"/>
  <c r="O53" i="17"/>
  <c r="P53" i="17"/>
  <c r="Q53" i="17"/>
  <c r="R53" i="17"/>
  <c r="S53" i="17"/>
  <c r="T53" i="17"/>
  <c r="O54" i="17"/>
  <c r="P54" i="17"/>
  <c r="Q54" i="17"/>
  <c r="R54" i="17"/>
  <c r="S54" i="17"/>
  <c r="T54" i="17"/>
  <c r="O60" i="17"/>
  <c r="P60" i="17"/>
  <c r="Q60" i="17"/>
  <c r="R60" i="17"/>
  <c r="S60" i="17"/>
  <c r="T60" i="17"/>
  <c r="Q63" i="17"/>
  <c r="R63" i="17"/>
  <c r="S66" i="17"/>
  <c r="Q67" i="17"/>
  <c r="O70" i="17"/>
  <c r="P70" i="17"/>
  <c r="O73" i="17"/>
  <c r="Q76" i="17"/>
  <c r="R76" i="17"/>
  <c r="S79" i="17"/>
  <c r="T79" i="17"/>
  <c r="O81" i="17"/>
  <c r="P81" i="17"/>
  <c r="Q81" i="17"/>
  <c r="R81" i="17"/>
  <c r="S81" i="17"/>
  <c r="T81" i="17"/>
  <c r="O82" i="17"/>
  <c r="P82" i="17"/>
  <c r="Q82" i="17"/>
  <c r="R82" i="17"/>
  <c r="S82" i="17"/>
  <c r="T82" i="17"/>
  <c r="O83" i="17"/>
  <c r="P83" i="17"/>
  <c r="Q83" i="17"/>
  <c r="R83" i="17"/>
  <c r="S83" i="17"/>
  <c r="T83" i="17"/>
  <c r="O84" i="17"/>
  <c r="P84" i="17"/>
  <c r="Q84" i="17"/>
  <c r="R84" i="17"/>
  <c r="S84" i="17"/>
  <c r="T84" i="17"/>
  <c r="O85" i="17"/>
  <c r="P85" i="17"/>
  <c r="Q85" i="17"/>
  <c r="R85" i="17"/>
  <c r="S85" i="17"/>
  <c r="T85" i="17"/>
  <c r="O86" i="17"/>
  <c r="P86" i="17"/>
  <c r="Q86" i="17"/>
  <c r="R86" i="17"/>
  <c r="S86" i="17"/>
  <c r="T86" i="17"/>
  <c r="O87" i="17"/>
  <c r="P87" i="17"/>
  <c r="Q87" i="17"/>
  <c r="R87" i="17"/>
  <c r="S87" i="17"/>
  <c r="T87" i="17"/>
  <c r="O88" i="17"/>
  <c r="P88" i="17"/>
  <c r="Q88" i="17"/>
  <c r="R88" i="17"/>
  <c r="S88" i="17"/>
  <c r="T88" i="17"/>
  <c r="O89" i="17"/>
  <c r="P89" i="17"/>
  <c r="Q89" i="17"/>
  <c r="R89" i="17"/>
  <c r="S89" i="17"/>
  <c r="T89" i="17"/>
  <c r="O90" i="17"/>
  <c r="P92" i="17"/>
  <c r="Q92" i="17"/>
  <c r="S94" i="17"/>
  <c r="T94" i="17"/>
  <c r="O97" i="17"/>
  <c r="Q97" i="17"/>
  <c r="O98" i="17"/>
  <c r="P98" i="17"/>
  <c r="Q98" i="17"/>
  <c r="R98" i="17"/>
  <c r="S98" i="17"/>
  <c r="T98" i="17"/>
  <c r="Q99" i="17"/>
  <c r="R99" i="17"/>
  <c r="O101" i="17"/>
  <c r="P101" i="17"/>
  <c r="Q101" i="17"/>
  <c r="R101" i="17"/>
  <c r="S101" i="17"/>
  <c r="T101" i="17"/>
  <c r="O102" i="17"/>
  <c r="P102" i="17"/>
  <c r="Q102" i="17"/>
  <c r="R102" i="17"/>
  <c r="S102" i="17"/>
  <c r="T102" i="17"/>
  <c r="S103" i="17"/>
  <c r="T103" i="17"/>
  <c r="P7" i="17"/>
  <c r="J9" i="17"/>
  <c r="H12" i="17"/>
  <c r="I12" i="17"/>
  <c r="J12" i="17"/>
  <c r="K12" i="17"/>
  <c r="L12" i="17"/>
  <c r="M12" i="17"/>
  <c r="H14" i="17"/>
  <c r="J14" i="17"/>
  <c r="K16" i="17"/>
  <c r="L16" i="17"/>
  <c r="M18" i="17"/>
  <c r="H19" i="17"/>
  <c r="M23" i="17"/>
  <c r="J26" i="17"/>
  <c r="K28" i="17"/>
  <c r="L28" i="17"/>
  <c r="H29" i="17"/>
  <c r="I29" i="17"/>
  <c r="J29" i="17"/>
  <c r="K29" i="17"/>
  <c r="L29" i="17"/>
  <c r="M29" i="17"/>
  <c r="H30" i="17"/>
  <c r="I30" i="17"/>
  <c r="J30" i="17"/>
  <c r="K30" i="17"/>
  <c r="L30" i="17"/>
  <c r="M30" i="17"/>
  <c r="M32" i="17"/>
  <c r="H33" i="17"/>
  <c r="I35" i="17"/>
  <c r="J35" i="17"/>
  <c r="I37" i="17"/>
  <c r="J37" i="17"/>
  <c r="I39" i="17"/>
  <c r="J39" i="17"/>
  <c r="H40" i="17"/>
  <c r="I40" i="17"/>
  <c r="J40" i="17"/>
  <c r="K40" i="17"/>
  <c r="L40" i="17"/>
  <c r="M40" i="17"/>
  <c r="I41" i="17"/>
  <c r="J41" i="17"/>
  <c r="I43" i="17"/>
  <c r="J43" i="17"/>
  <c r="I45" i="17"/>
  <c r="J45" i="17"/>
  <c r="J47" i="17"/>
  <c r="H49" i="17"/>
  <c r="I49" i="17"/>
  <c r="J49" i="17"/>
  <c r="K49" i="17"/>
  <c r="L49" i="17"/>
  <c r="M49" i="17"/>
  <c r="H50" i="17"/>
  <c r="I50" i="17"/>
  <c r="J50" i="17"/>
  <c r="K50" i="17"/>
  <c r="L50" i="17"/>
  <c r="M50" i="17"/>
  <c r="H51" i="17"/>
  <c r="I51" i="17"/>
  <c r="J51" i="17"/>
  <c r="K51" i="17"/>
  <c r="L51" i="17"/>
  <c r="M51" i="17"/>
  <c r="H52" i="17"/>
  <c r="I52" i="17"/>
  <c r="J52" i="17"/>
  <c r="K52" i="17"/>
  <c r="L52" i="17"/>
  <c r="M52" i="17"/>
  <c r="H53" i="17"/>
  <c r="I53" i="17"/>
  <c r="J53" i="17"/>
  <c r="K53" i="17"/>
  <c r="L53" i="17"/>
  <c r="M53" i="17"/>
  <c r="H54" i="17"/>
  <c r="I54" i="17"/>
  <c r="J54" i="17"/>
  <c r="K54" i="17"/>
  <c r="L54" i="17"/>
  <c r="M54" i="17"/>
  <c r="I55" i="17"/>
  <c r="J55" i="17"/>
  <c r="I57" i="17"/>
  <c r="J57" i="17"/>
  <c r="I59" i="17"/>
  <c r="J59" i="17"/>
  <c r="H60" i="17"/>
  <c r="I60" i="17"/>
  <c r="J60" i="17"/>
  <c r="K60" i="17"/>
  <c r="L60" i="17"/>
  <c r="M60" i="17"/>
  <c r="I61" i="17"/>
  <c r="J61" i="17"/>
  <c r="I63" i="17"/>
  <c r="I65" i="17"/>
  <c r="J65" i="17"/>
  <c r="I67" i="17"/>
  <c r="J67" i="17"/>
  <c r="I69" i="17"/>
  <c r="J69" i="17"/>
  <c r="I71" i="17"/>
  <c r="J71" i="17"/>
  <c r="I73" i="17"/>
  <c r="J73" i="17"/>
  <c r="I79" i="17"/>
  <c r="J79" i="17"/>
  <c r="H81" i="17"/>
  <c r="I81" i="17"/>
  <c r="J81" i="17"/>
  <c r="K81" i="17"/>
  <c r="L81" i="17"/>
  <c r="M81" i="17"/>
  <c r="H82" i="17"/>
  <c r="I82" i="17"/>
  <c r="J82" i="17"/>
  <c r="K82" i="17"/>
  <c r="L82" i="17"/>
  <c r="M82" i="17"/>
  <c r="H83" i="17"/>
  <c r="I83" i="17"/>
  <c r="J83" i="17"/>
  <c r="K83" i="17"/>
  <c r="L83" i="17"/>
  <c r="M83" i="17"/>
  <c r="H84" i="17"/>
  <c r="I84" i="17"/>
  <c r="J84" i="17"/>
  <c r="K84" i="17"/>
  <c r="L84" i="17"/>
  <c r="M84" i="17"/>
  <c r="H85" i="17"/>
  <c r="I85" i="17"/>
  <c r="J85" i="17"/>
  <c r="K85" i="17"/>
  <c r="L85" i="17"/>
  <c r="M85" i="17"/>
  <c r="H86" i="17"/>
  <c r="I86" i="17"/>
  <c r="J86" i="17"/>
  <c r="K86" i="17"/>
  <c r="L86" i="17"/>
  <c r="M86" i="17"/>
  <c r="H87" i="17"/>
  <c r="I87" i="17"/>
  <c r="J87" i="17"/>
  <c r="K87" i="17"/>
  <c r="L87" i="17"/>
  <c r="M87" i="17"/>
  <c r="H88" i="17"/>
  <c r="I88" i="17"/>
  <c r="J88" i="17"/>
  <c r="K88" i="17"/>
  <c r="L88" i="17"/>
  <c r="M88" i="17"/>
  <c r="H89" i="17"/>
  <c r="I89" i="17"/>
  <c r="J89" i="17"/>
  <c r="K89" i="17"/>
  <c r="L89" i="17"/>
  <c r="M89" i="17"/>
  <c r="I91" i="17"/>
  <c r="J91" i="17"/>
  <c r="I93" i="17"/>
  <c r="J93" i="17"/>
  <c r="I95" i="17"/>
  <c r="J95" i="17"/>
  <c r="I97" i="17"/>
  <c r="J97" i="17"/>
  <c r="H98" i="17"/>
  <c r="I98" i="17"/>
  <c r="J98" i="17"/>
  <c r="K98" i="17"/>
  <c r="L98" i="17"/>
  <c r="M98" i="17"/>
  <c r="J99" i="17"/>
  <c r="H101" i="17"/>
  <c r="I101" i="17"/>
  <c r="J101" i="17"/>
  <c r="K101" i="17"/>
  <c r="L101" i="17"/>
  <c r="M101" i="17"/>
  <c r="H102" i="17"/>
  <c r="I102" i="17"/>
  <c r="J102" i="17"/>
  <c r="K102" i="17"/>
  <c r="L102" i="17"/>
  <c r="M102" i="17"/>
  <c r="I103" i="17"/>
  <c r="R3" i="16"/>
  <c r="S3" i="16"/>
  <c r="T3" i="16"/>
  <c r="U3" i="16"/>
  <c r="L116" i="17" s="1"/>
  <c r="V3" i="16"/>
  <c r="M116" i="17" s="1"/>
  <c r="W3" i="16"/>
  <c r="X3" i="16"/>
  <c r="P116" i="17" s="1"/>
  <c r="Y3" i="16"/>
  <c r="Q116" i="17" s="1"/>
  <c r="Z3" i="16"/>
  <c r="AA3" i="16"/>
  <c r="AB3" i="16"/>
  <c r="R4" i="16"/>
  <c r="I117" i="17" s="1"/>
  <c r="S4" i="16"/>
  <c r="J117" i="17" s="1"/>
  <c r="T4" i="16"/>
  <c r="U4" i="16"/>
  <c r="L117" i="17" s="1"/>
  <c r="V4" i="16"/>
  <c r="M117" i="17" s="1"/>
  <c r="W4" i="16"/>
  <c r="X4" i="16"/>
  <c r="Y4" i="16"/>
  <c r="Z4" i="16"/>
  <c r="AA4" i="16"/>
  <c r="AB4" i="16"/>
  <c r="R5" i="16"/>
  <c r="S5" i="16"/>
  <c r="J118" i="17" s="1"/>
  <c r="T5" i="16"/>
  <c r="K118" i="17" s="1"/>
  <c r="U5" i="16"/>
  <c r="V5" i="16"/>
  <c r="W5" i="16"/>
  <c r="X5" i="16"/>
  <c r="P118" i="17" s="1"/>
  <c r="Y5" i="16"/>
  <c r="Q118" i="17" s="1"/>
  <c r="Z5" i="16"/>
  <c r="R10" i="17" s="1"/>
  <c r="AA5" i="16"/>
  <c r="AB5" i="16"/>
  <c r="R6" i="16"/>
  <c r="I119" i="17" s="1"/>
  <c r="S6" i="16"/>
  <c r="J119" i="17" s="1"/>
  <c r="T6" i="16"/>
  <c r="U6" i="16"/>
  <c r="L119" i="17" s="1"/>
  <c r="V6" i="16"/>
  <c r="M119" i="17" s="1"/>
  <c r="W6" i="16"/>
  <c r="X6" i="16"/>
  <c r="Y6" i="16"/>
  <c r="Z6" i="16"/>
  <c r="AA6" i="16"/>
  <c r="AB6" i="16"/>
  <c r="R7" i="16"/>
  <c r="S7" i="16"/>
  <c r="T7" i="16"/>
  <c r="U7" i="16"/>
  <c r="V7" i="16"/>
  <c r="W7" i="16"/>
  <c r="X7" i="16"/>
  <c r="Y7" i="16"/>
  <c r="Z7" i="16"/>
  <c r="AA7" i="16"/>
  <c r="AB7" i="16"/>
  <c r="R8" i="16"/>
  <c r="I13" i="17" s="1"/>
  <c r="S8" i="16"/>
  <c r="J121" i="17" s="1"/>
  <c r="T8" i="16"/>
  <c r="U8" i="16"/>
  <c r="L13" i="17" s="1"/>
  <c r="V8" i="16"/>
  <c r="M13" i="17" s="1"/>
  <c r="W8" i="16"/>
  <c r="X8" i="16"/>
  <c r="Y8" i="16"/>
  <c r="Z8" i="16"/>
  <c r="AA8" i="16"/>
  <c r="AB8" i="16"/>
  <c r="R9" i="16"/>
  <c r="I123" i="17" s="1"/>
  <c r="S9" i="16"/>
  <c r="J123" i="17" s="1"/>
  <c r="T9" i="16"/>
  <c r="U9" i="16"/>
  <c r="L123" i="17" s="1"/>
  <c r="V9" i="16"/>
  <c r="M123" i="17" s="1"/>
  <c r="W9" i="16"/>
  <c r="X9" i="16"/>
  <c r="Y9" i="16"/>
  <c r="Z9" i="16"/>
  <c r="AA9" i="16"/>
  <c r="AB9" i="16"/>
  <c r="R10" i="16"/>
  <c r="S10" i="16"/>
  <c r="J124" i="17" s="1"/>
  <c r="T10" i="16"/>
  <c r="K124" i="17" s="1"/>
  <c r="U10" i="16"/>
  <c r="L124" i="17" s="1"/>
  <c r="V10" i="16"/>
  <c r="M124" i="17" s="1"/>
  <c r="W10" i="16"/>
  <c r="X10" i="16"/>
  <c r="P124" i="17" s="1"/>
  <c r="Y10" i="16"/>
  <c r="Q124" i="17" s="1"/>
  <c r="Z10" i="16"/>
  <c r="AA10" i="16"/>
  <c r="AB10" i="16"/>
  <c r="R11" i="16"/>
  <c r="I17" i="17" s="1"/>
  <c r="S11" i="16"/>
  <c r="J17" i="17" s="1"/>
  <c r="T11" i="16"/>
  <c r="K18" i="17" s="1"/>
  <c r="U11" i="16"/>
  <c r="L18" i="17" s="1"/>
  <c r="V11" i="16"/>
  <c r="M125" i="17" s="1"/>
  <c r="W11" i="16"/>
  <c r="X11" i="16"/>
  <c r="Y11" i="16"/>
  <c r="Z11" i="16"/>
  <c r="AA11" i="16"/>
  <c r="AB11" i="16"/>
  <c r="R12" i="16"/>
  <c r="I127" i="17" s="1"/>
  <c r="S12" i="16"/>
  <c r="J127" i="17" s="1"/>
  <c r="T12" i="16"/>
  <c r="U12" i="16"/>
  <c r="L127" i="17" s="1"/>
  <c r="V12" i="16"/>
  <c r="M127" i="17" s="1"/>
  <c r="W12" i="16"/>
  <c r="X12" i="16"/>
  <c r="Y12" i="16"/>
  <c r="Z12" i="16"/>
  <c r="AA12" i="16"/>
  <c r="AB12" i="16"/>
  <c r="R13" i="16"/>
  <c r="S13" i="16"/>
  <c r="J128" i="17" s="1"/>
  <c r="T13" i="16"/>
  <c r="K128" i="17" s="1"/>
  <c r="U13" i="16"/>
  <c r="L128" i="17" s="1"/>
  <c r="V13" i="16"/>
  <c r="M128" i="17" s="1"/>
  <c r="W13" i="16"/>
  <c r="X13" i="16"/>
  <c r="P128" i="17" s="1"/>
  <c r="Y13" i="16"/>
  <c r="Q128" i="17" s="1"/>
  <c r="Z13" i="16"/>
  <c r="AA13" i="16"/>
  <c r="AB13" i="16"/>
  <c r="R14" i="16"/>
  <c r="I129" i="17" s="1"/>
  <c r="S14" i="16"/>
  <c r="J129" i="17" s="1"/>
  <c r="T14" i="16"/>
  <c r="U14" i="16"/>
  <c r="L129" i="17" s="1"/>
  <c r="V14" i="16"/>
  <c r="M129" i="17" s="1"/>
  <c r="W14" i="16"/>
  <c r="X14" i="16"/>
  <c r="Y14" i="16"/>
  <c r="Z14" i="16"/>
  <c r="AA14" i="16"/>
  <c r="AB14" i="16"/>
  <c r="R15" i="16"/>
  <c r="S15" i="16"/>
  <c r="T15" i="16"/>
  <c r="U15" i="16"/>
  <c r="L130" i="17" s="1"/>
  <c r="V15" i="16"/>
  <c r="M130" i="17" s="1"/>
  <c r="W15" i="16"/>
  <c r="X15" i="16"/>
  <c r="P130" i="17" s="1"/>
  <c r="Y15" i="16"/>
  <c r="Q130" i="17" s="1"/>
  <c r="Z15" i="16"/>
  <c r="AA15" i="16"/>
  <c r="AB15" i="16"/>
  <c r="R16" i="16"/>
  <c r="I131" i="17" s="1"/>
  <c r="S16" i="16"/>
  <c r="J131" i="17" s="1"/>
  <c r="T16" i="16"/>
  <c r="U16" i="16"/>
  <c r="L131" i="17" s="1"/>
  <c r="V16" i="16"/>
  <c r="M131" i="17" s="1"/>
  <c r="W16" i="16"/>
  <c r="X16" i="16"/>
  <c r="Y16" i="16"/>
  <c r="Z16" i="16"/>
  <c r="AA16" i="16"/>
  <c r="AB16" i="16"/>
  <c r="R17" i="16"/>
  <c r="S17" i="16"/>
  <c r="J132" i="17" s="1"/>
  <c r="T17" i="16"/>
  <c r="K132" i="17" s="1"/>
  <c r="U17" i="16"/>
  <c r="V17" i="16"/>
  <c r="W17" i="16"/>
  <c r="X17" i="16"/>
  <c r="P132" i="17" s="1"/>
  <c r="Y17" i="16"/>
  <c r="Q132" i="17" s="1"/>
  <c r="Z17" i="16"/>
  <c r="AA17" i="16"/>
  <c r="AB17" i="16"/>
  <c r="R18" i="16"/>
  <c r="I133" i="17" s="1"/>
  <c r="S18" i="16"/>
  <c r="J133" i="17" s="1"/>
  <c r="T18" i="16"/>
  <c r="U18" i="16"/>
  <c r="L133" i="17" s="1"/>
  <c r="V18" i="16"/>
  <c r="W18" i="16"/>
  <c r="X18" i="16"/>
  <c r="Y18" i="16"/>
  <c r="Z18" i="16"/>
  <c r="AA18" i="16"/>
  <c r="AB18" i="16"/>
  <c r="R19" i="16"/>
  <c r="S19" i="16"/>
  <c r="J134" i="17" s="1"/>
  <c r="T19" i="16"/>
  <c r="K134" i="17" s="1"/>
  <c r="U19" i="16"/>
  <c r="L134" i="17" s="1"/>
  <c r="V19" i="16"/>
  <c r="M134" i="17" s="1"/>
  <c r="W19" i="16"/>
  <c r="X19" i="16"/>
  <c r="Y19" i="16"/>
  <c r="Q134" i="17" s="1"/>
  <c r="Z19" i="16"/>
  <c r="AA19" i="16"/>
  <c r="AB19" i="16"/>
  <c r="R20" i="16"/>
  <c r="I135" i="17" s="1"/>
  <c r="S20" i="16"/>
  <c r="J135" i="17" s="1"/>
  <c r="T20" i="16"/>
  <c r="U20" i="16"/>
  <c r="L135" i="17" s="1"/>
  <c r="V20" i="16"/>
  <c r="M135" i="17" s="1"/>
  <c r="W20" i="16"/>
  <c r="X20" i="16"/>
  <c r="Y20" i="16"/>
  <c r="Z20" i="16"/>
  <c r="AA20" i="16"/>
  <c r="AB20" i="16"/>
  <c r="R21" i="16"/>
  <c r="S21" i="16"/>
  <c r="J136" i="17" s="1"/>
  <c r="T21" i="16"/>
  <c r="K136" i="17" s="1"/>
  <c r="U21" i="16"/>
  <c r="L136" i="17" s="1"/>
  <c r="V21" i="16"/>
  <c r="M136" i="17" s="1"/>
  <c r="W21" i="16"/>
  <c r="X21" i="16"/>
  <c r="Y21" i="16"/>
  <c r="Z21" i="16"/>
  <c r="AA21" i="16"/>
  <c r="AB21" i="16"/>
  <c r="R22" i="16"/>
  <c r="I139" i="17" s="1"/>
  <c r="S22" i="16"/>
  <c r="J139" i="17" s="1"/>
  <c r="T22" i="16"/>
  <c r="U22" i="16"/>
  <c r="L139" i="17" s="1"/>
  <c r="V22" i="16"/>
  <c r="W22" i="16"/>
  <c r="X22" i="16"/>
  <c r="Y22" i="16"/>
  <c r="Z22" i="16"/>
  <c r="AA22" i="16"/>
  <c r="AB22" i="16"/>
  <c r="R23" i="16"/>
  <c r="S23" i="16"/>
  <c r="T23" i="16"/>
  <c r="U23" i="16"/>
  <c r="V23" i="16"/>
  <c r="W23" i="16"/>
  <c r="X23" i="16"/>
  <c r="Y23" i="16"/>
  <c r="Z23" i="16"/>
  <c r="AA23" i="16"/>
  <c r="AB23" i="16"/>
  <c r="R24" i="16"/>
  <c r="S24" i="16"/>
  <c r="T24" i="16"/>
  <c r="U24" i="16"/>
  <c r="V24" i="16"/>
  <c r="W24" i="16"/>
  <c r="X24" i="16"/>
  <c r="Y24" i="16"/>
  <c r="Z24" i="16"/>
  <c r="AA24" i="16"/>
  <c r="AB24" i="16"/>
  <c r="R25" i="16"/>
  <c r="S25" i="16"/>
  <c r="J140" i="17" s="1"/>
  <c r="T25" i="16"/>
  <c r="K140" i="17" s="1"/>
  <c r="U25" i="16"/>
  <c r="L140" i="17" s="1"/>
  <c r="V25" i="16"/>
  <c r="M140" i="17" s="1"/>
  <c r="W25" i="16"/>
  <c r="X25" i="16"/>
  <c r="P140" i="17" s="1"/>
  <c r="Y25" i="16"/>
  <c r="Q140" i="17" s="1"/>
  <c r="Z25" i="16"/>
  <c r="AA25" i="16"/>
  <c r="AB25" i="16"/>
  <c r="R26" i="16"/>
  <c r="S26" i="16"/>
  <c r="T26" i="16"/>
  <c r="U26" i="16"/>
  <c r="L141" i="17" s="1"/>
  <c r="V26" i="16"/>
  <c r="M141" i="17" s="1"/>
  <c r="W26" i="16"/>
  <c r="X26" i="16"/>
  <c r="Y26" i="16"/>
  <c r="Z26" i="16"/>
  <c r="AA26" i="16"/>
  <c r="AB26" i="16"/>
  <c r="R27" i="16"/>
  <c r="S27" i="16"/>
  <c r="T27" i="16"/>
  <c r="U27" i="16"/>
  <c r="L142" i="17" s="1"/>
  <c r="V27" i="16"/>
  <c r="M142" i="17" s="1"/>
  <c r="W27" i="16"/>
  <c r="X27" i="16"/>
  <c r="P142" i="17" s="1"/>
  <c r="Y27" i="16"/>
  <c r="Q142" i="17" s="1"/>
  <c r="Z27" i="16"/>
  <c r="AA27" i="16"/>
  <c r="AB27" i="16"/>
  <c r="R28" i="16"/>
  <c r="I143" i="17" s="1"/>
  <c r="S28" i="16"/>
  <c r="J143" i="17" s="1"/>
  <c r="T28" i="16"/>
  <c r="U28" i="16"/>
  <c r="V28" i="16"/>
  <c r="M143" i="17" s="1"/>
  <c r="W28" i="16"/>
  <c r="X28" i="16"/>
  <c r="Y28" i="16"/>
  <c r="Z28" i="16"/>
  <c r="AA28" i="16"/>
  <c r="AB28" i="16"/>
  <c r="R29" i="16"/>
  <c r="I144" i="17" s="1"/>
  <c r="S29" i="16"/>
  <c r="J144" i="17" s="1"/>
  <c r="T29" i="16"/>
  <c r="K144" i="17" s="1"/>
  <c r="U29" i="16"/>
  <c r="V29" i="16"/>
  <c r="W29" i="16"/>
  <c r="X29" i="16"/>
  <c r="P144" i="17" s="1"/>
  <c r="Y29" i="16"/>
  <c r="Q144" i="17" s="1"/>
  <c r="Z29" i="16"/>
  <c r="AA29" i="16"/>
  <c r="AB29" i="16"/>
  <c r="R30" i="16"/>
  <c r="I145" i="17" s="1"/>
  <c r="S30" i="16"/>
  <c r="J145" i="17" s="1"/>
  <c r="T30" i="16"/>
  <c r="K145" i="17" s="1"/>
  <c r="U30" i="16"/>
  <c r="L37" i="17" s="1"/>
  <c r="V30" i="16"/>
  <c r="W30" i="16"/>
  <c r="X30" i="16"/>
  <c r="Y30" i="16"/>
  <c r="Z30" i="16"/>
  <c r="AA30" i="16"/>
  <c r="AB30" i="16"/>
  <c r="R31" i="16"/>
  <c r="I146" i="17" s="1"/>
  <c r="S31" i="16"/>
  <c r="J146" i="17" s="1"/>
  <c r="T31" i="16"/>
  <c r="K146" i="17" s="1"/>
  <c r="U31" i="16"/>
  <c r="L146" i="17" s="1"/>
  <c r="V31" i="16"/>
  <c r="M146" i="17" s="1"/>
  <c r="W31" i="16"/>
  <c r="X31" i="16"/>
  <c r="P146" i="17" s="1"/>
  <c r="Y31" i="16"/>
  <c r="Q146" i="17" s="1"/>
  <c r="Z31" i="16"/>
  <c r="AA31" i="16"/>
  <c r="AB31" i="16"/>
  <c r="R32" i="16"/>
  <c r="I147" i="17" s="1"/>
  <c r="S32" i="16"/>
  <c r="J147" i="17" s="1"/>
  <c r="T32" i="16"/>
  <c r="K147" i="17" s="1"/>
  <c r="U32" i="16"/>
  <c r="L147" i="17" s="1"/>
  <c r="V32" i="16"/>
  <c r="M147" i="17" s="1"/>
  <c r="W32" i="16"/>
  <c r="X32" i="16"/>
  <c r="Y32" i="16"/>
  <c r="Z32" i="16"/>
  <c r="AA32" i="16"/>
  <c r="AB32" i="16"/>
  <c r="R33" i="16"/>
  <c r="S33" i="16"/>
  <c r="T33" i="16"/>
  <c r="U33" i="16"/>
  <c r="V33" i="16"/>
  <c r="W33" i="16"/>
  <c r="X33" i="16"/>
  <c r="Y33" i="16"/>
  <c r="Z33" i="16"/>
  <c r="AA33" i="16"/>
  <c r="AB33" i="16"/>
  <c r="R34" i="16"/>
  <c r="I149" i="17" s="1"/>
  <c r="S34" i="16"/>
  <c r="J149" i="17" s="1"/>
  <c r="T34" i="16"/>
  <c r="K149" i="17" s="1"/>
  <c r="U34" i="16"/>
  <c r="L149" i="17" s="1"/>
  <c r="V34" i="16"/>
  <c r="M149" i="17" s="1"/>
  <c r="W34" i="16"/>
  <c r="X34" i="16"/>
  <c r="Y34" i="16"/>
  <c r="Q41" i="17" s="1"/>
  <c r="Z34" i="16"/>
  <c r="AA34" i="16"/>
  <c r="AB34" i="16"/>
  <c r="R35" i="16"/>
  <c r="I42" i="17" s="1"/>
  <c r="S35" i="16"/>
  <c r="J42" i="17" s="1"/>
  <c r="T35" i="16"/>
  <c r="K42" i="17" s="1"/>
  <c r="U35" i="16"/>
  <c r="L42" i="17" s="1"/>
  <c r="V35" i="16"/>
  <c r="M42" i="17" s="1"/>
  <c r="W35" i="16"/>
  <c r="X35" i="16"/>
  <c r="P44" i="17" s="1"/>
  <c r="Y35" i="16"/>
  <c r="Z35" i="16"/>
  <c r="AA35" i="16"/>
  <c r="AB35" i="16"/>
  <c r="R36" i="16"/>
  <c r="I154" i="17" s="1"/>
  <c r="S36" i="16"/>
  <c r="J154" i="17" s="1"/>
  <c r="T36" i="16"/>
  <c r="K154" i="17" s="1"/>
  <c r="U36" i="16"/>
  <c r="L154" i="17" s="1"/>
  <c r="V36" i="16"/>
  <c r="M154" i="17" s="1"/>
  <c r="W36" i="16"/>
  <c r="X36" i="16"/>
  <c r="P154" i="17" s="1"/>
  <c r="Y36" i="16"/>
  <c r="Q154" i="17" s="1"/>
  <c r="Z36" i="16"/>
  <c r="AA36" i="16"/>
  <c r="AB36" i="16"/>
  <c r="R37" i="16"/>
  <c r="I155" i="17" s="1"/>
  <c r="S37" i="16"/>
  <c r="J155" i="17" s="1"/>
  <c r="T37" i="16"/>
  <c r="K155" i="17" s="1"/>
  <c r="U37" i="16"/>
  <c r="L155" i="17" s="1"/>
  <c r="V37" i="16"/>
  <c r="M155" i="17" s="1"/>
  <c r="W37" i="16"/>
  <c r="X37" i="16"/>
  <c r="Y37" i="16"/>
  <c r="Z37" i="16"/>
  <c r="AA37" i="16"/>
  <c r="AB37" i="16"/>
  <c r="R38" i="16"/>
  <c r="S38" i="16"/>
  <c r="T38" i="16"/>
  <c r="K156" i="17" s="1"/>
  <c r="U38" i="16"/>
  <c r="L156" i="17" s="1"/>
  <c r="V38" i="16"/>
  <c r="M156" i="17" s="1"/>
  <c r="W38" i="16"/>
  <c r="X38" i="16"/>
  <c r="P156" i="17" s="1"/>
  <c r="Y38" i="16"/>
  <c r="Q156" i="17" s="1"/>
  <c r="Z38" i="16"/>
  <c r="AA38" i="16"/>
  <c r="AB38" i="16"/>
  <c r="R39" i="16"/>
  <c r="S39" i="16"/>
  <c r="T39" i="16"/>
  <c r="U39" i="16"/>
  <c r="V39" i="16"/>
  <c r="W39" i="16"/>
  <c r="X39" i="16"/>
  <c r="Y39" i="16"/>
  <c r="Z39" i="16"/>
  <c r="AA39" i="16"/>
  <c r="AB39" i="16"/>
  <c r="R40" i="16"/>
  <c r="S40" i="16"/>
  <c r="T40" i="16"/>
  <c r="U40" i="16"/>
  <c r="V40" i="16"/>
  <c r="W40" i="16"/>
  <c r="X40" i="16"/>
  <c r="Y40" i="16"/>
  <c r="Z40" i="16"/>
  <c r="AA40" i="16"/>
  <c r="AB40" i="16"/>
  <c r="R41" i="16"/>
  <c r="S41" i="16"/>
  <c r="T41" i="16"/>
  <c r="U41" i="16"/>
  <c r="V41" i="16"/>
  <c r="W41" i="16"/>
  <c r="X41" i="16"/>
  <c r="Y41" i="16"/>
  <c r="Z41" i="16"/>
  <c r="AA41" i="16"/>
  <c r="AB41" i="16"/>
  <c r="R42" i="16"/>
  <c r="S42" i="16"/>
  <c r="T42" i="16"/>
  <c r="U42" i="16"/>
  <c r="V42" i="16"/>
  <c r="W42" i="16"/>
  <c r="X42" i="16"/>
  <c r="Y42" i="16"/>
  <c r="Z42" i="16"/>
  <c r="AA42" i="16"/>
  <c r="AB42" i="16"/>
  <c r="R43" i="16"/>
  <c r="S43" i="16"/>
  <c r="T43" i="16"/>
  <c r="U43" i="16"/>
  <c r="V43" i="16"/>
  <c r="W43" i="16"/>
  <c r="X43" i="16"/>
  <c r="Y43" i="16"/>
  <c r="Z43" i="16"/>
  <c r="AA43" i="16"/>
  <c r="AB43" i="16"/>
  <c r="R44" i="16"/>
  <c r="I163" i="17" s="1"/>
  <c r="S44" i="16"/>
  <c r="J163" i="17" s="1"/>
  <c r="T44" i="16"/>
  <c r="K55" i="17" s="1"/>
  <c r="U44" i="16"/>
  <c r="L55" i="17" s="1"/>
  <c r="V44" i="16"/>
  <c r="M163" i="17" s="1"/>
  <c r="W44" i="16"/>
  <c r="X44" i="16"/>
  <c r="Y44" i="16"/>
  <c r="Z44" i="16"/>
  <c r="AA44" i="16"/>
  <c r="AB44" i="16"/>
  <c r="R45" i="16"/>
  <c r="I164" i="17" s="1"/>
  <c r="S45" i="16"/>
  <c r="J164" i="17" s="1"/>
  <c r="T45" i="16"/>
  <c r="K164" i="17" s="1"/>
  <c r="U45" i="16"/>
  <c r="L164" i="17" s="1"/>
  <c r="V45" i="16"/>
  <c r="M164" i="17" s="1"/>
  <c r="W45" i="16"/>
  <c r="X45" i="16"/>
  <c r="P164" i="17" s="1"/>
  <c r="Y45" i="16"/>
  <c r="Z45" i="16"/>
  <c r="AA45" i="16"/>
  <c r="S164" i="17" s="1"/>
  <c r="AB45" i="16"/>
  <c r="R46" i="16"/>
  <c r="I165" i="17" s="1"/>
  <c r="S46" i="16"/>
  <c r="J165" i="17" s="1"/>
  <c r="T46" i="16"/>
  <c r="K165" i="17" s="1"/>
  <c r="U46" i="16"/>
  <c r="L165" i="17" s="1"/>
  <c r="V46" i="16"/>
  <c r="M165" i="17" s="1"/>
  <c r="W46" i="16"/>
  <c r="X46" i="16"/>
  <c r="Y46" i="16"/>
  <c r="Z46" i="16"/>
  <c r="AA46" i="16"/>
  <c r="AB46" i="16"/>
  <c r="R47" i="16"/>
  <c r="I166" i="17" s="1"/>
  <c r="S47" i="16"/>
  <c r="J166" i="17" s="1"/>
  <c r="T47" i="16"/>
  <c r="K166" i="17" s="1"/>
  <c r="U47" i="16"/>
  <c r="L166" i="17" s="1"/>
  <c r="V47" i="16"/>
  <c r="M166" i="17" s="1"/>
  <c r="W47" i="16"/>
  <c r="X47" i="16"/>
  <c r="P166" i="17" s="1"/>
  <c r="Y47" i="16"/>
  <c r="Q166" i="17" s="1"/>
  <c r="Z47" i="16"/>
  <c r="AA47" i="16"/>
  <c r="AB47" i="16"/>
  <c r="R48" i="16"/>
  <c r="I167" i="17" s="1"/>
  <c r="S48" i="16"/>
  <c r="J167" i="17" s="1"/>
  <c r="T48" i="16"/>
  <c r="K167" i="17" s="1"/>
  <c r="U48" i="16"/>
  <c r="L167" i="17" s="1"/>
  <c r="V48" i="16"/>
  <c r="M167" i="17" s="1"/>
  <c r="W48" i="16"/>
  <c r="X48" i="16"/>
  <c r="P59" i="17" s="1"/>
  <c r="Y48" i="16"/>
  <c r="Z48" i="16"/>
  <c r="AA48" i="16"/>
  <c r="S167" i="17" s="1"/>
  <c r="AB48" i="16"/>
  <c r="R49" i="16"/>
  <c r="S49" i="16"/>
  <c r="T49" i="16"/>
  <c r="U49" i="16"/>
  <c r="V49" i="16"/>
  <c r="W49" i="16"/>
  <c r="X49" i="16"/>
  <c r="Y49" i="16"/>
  <c r="Z49" i="16"/>
  <c r="AA49" i="16"/>
  <c r="AB49" i="16"/>
  <c r="R50" i="16"/>
  <c r="S50" i="16"/>
  <c r="T50" i="16"/>
  <c r="K62" i="17" s="1"/>
  <c r="U50" i="16"/>
  <c r="L62" i="17" s="1"/>
  <c r="V50" i="16"/>
  <c r="M62" i="17" s="1"/>
  <c r="W50" i="16"/>
  <c r="X50" i="16"/>
  <c r="P62" i="17" s="1"/>
  <c r="Y50" i="16"/>
  <c r="Q62" i="17" s="1"/>
  <c r="Z50" i="16"/>
  <c r="AA50" i="16"/>
  <c r="S62" i="17" s="1"/>
  <c r="AB50" i="16"/>
  <c r="R51" i="16"/>
  <c r="I171" i="17" s="1"/>
  <c r="S51" i="16"/>
  <c r="J171" i="17" s="1"/>
  <c r="T51" i="16"/>
  <c r="U51" i="16"/>
  <c r="L171" i="17" s="1"/>
  <c r="V51" i="16"/>
  <c r="M171" i="17" s="1"/>
  <c r="W51" i="16"/>
  <c r="X51" i="16"/>
  <c r="Y51" i="16"/>
  <c r="Q171" i="17" s="1"/>
  <c r="Z51" i="16"/>
  <c r="R171" i="17" s="1"/>
  <c r="AA51" i="16"/>
  <c r="S171" i="17" s="1"/>
  <c r="AB51" i="16"/>
  <c r="R52" i="16"/>
  <c r="I172" i="17" s="1"/>
  <c r="S52" i="16"/>
  <c r="J172" i="17" s="1"/>
  <c r="T52" i="16"/>
  <c r="U52" i="16"/>
  <c r="V52" i="16"/>
  <c r="M172" i="17" s="1"/>
  <c r="W52" i="16"/>
  <c r="X52" i="16"/>
  <c r="P172" i="17" s="1"/>
  <c r="Y52" i="16"/>
  <c r="Q172" i="17" s="1"/>
  <c r="Z52" i="16"/>
  <c r="R64" i="17" s="1"/>
  <c r="AA52" i="16"/>
  <c r="S172" i="17" s="1"/>
  <c r="AB52" i="16"/>
  <c r="R53" i="16"/>
  <c r="I173" i="17" s="1"/>
  <c r="S53" i="16"/>
  <c r="J173" i="17" s="1"/>
  <c r="T53" i="16"/>
  <c r="K173" i="17" s="1"/>
  <c r="U53" i="16"/>
  <c r="V53" i="16"/>
  <c r="W53" i="16"/>
  <c r="X53" i="16"/>
  <c r="Y53" i="16"/>
  <c r="Q173" i="17" s="1"/>
  <c r="Z53" i="16"/>
  <c r="R173" i="17" s="1"/>
  <c r="AA53" i="16"/>
  <c r="S173" i="17" s="1"/>
  <c r="AB53" i="16"/>
  <c r="R54" i="16"/>
  <c r="S54" i="16"/>
  <c r="T54" i="16"/>
  <c r="U54" i="16"/>
  <c r="V54" i="16"/>
  <c r="W54" i="16"/>
  <c r="X54" i="16"/>
  <c r="P66" i="17" s="1"/>
  <c r="Y54" i="16"/>
  <c r="Q66" i="17" s="1"/>
  <c r="Z54" i="16"/>
  <c r="R174" i="17" s="1"/>
  <c r="AA54" i="16"/>
  <c r="AB54" i="16"/>
  <c r="T174" i="17" s="1"/>
  <c r="R55" i="16"/>
  <c r="I176" i="17" s="1"/>
  <c r="S55" i="16"/>
  <c r="J176" i="17" s="1"/>
  <c r="T55" i="16"/>
  <c r="K176" i="17" s="1"/>
  <c r="U55" i="16"/>
  <c r="L176" i="17" s="1"/>
  <c r="V55" i="16"/>
  <c r="M68" i="17" s="1"/>
  <c r="W55" i="16"/>
  <c r="X55" i="16"/>
  <c r="P68" i="17" s="1"/>
  <c r="Y55" i="16"/>
  <c r="Q176" i="17" s="1"/>
  <c r="Z55" i="16"/>
  <c r="AA55" i="16"/>
  <c r="S176" i="17" s="1"/>
  <c r="AB55" i="16"/>
  <c r="T176" i="17" s="1"/>
  <c r="R56" i="16"/>
  <c r="I177" i="17" s="1"/>
  <c r="S56" i="16"/>
  <c r="J177" i="17" s="1"/>
  <c r="T56" i="16"/>
  <c r="K177" i="17" s="1"/>
  <c r="U56" i="16"/>
  <c r="L177" i="17" s="1"/>
  <c r="V56" i="16"/>
  <c r="M177" i="17" s="1"/>
  <c r="W56" i="16"/>
  <c r="X56" i="16"/>
  <c r="Y56" i="16"/>
  <c r="Z56" i="16"/>
  <c r="R177" i="17" s="1"/>
  <c r="AA56" i="16"/>
  <c r="S177" i="17" s="1"/>
  <c r="AB56" i="16"/>
  <c r="R57" i="16"/>
  <c r="I178" i="17" s="1"/>
  <c r="S57" i="16"/>
  <c r="J178" i="17" s="1"/>
  <c r="T57" i="16"/>
  <c r="K178" i="17" s="1"/>
  <c r="U57" i="16"/>
  <c r="L178" i="17" s="1"/>
  <c r="V57" i="16"/>
  <c r="M178" i="17" s="1"/>
  <c r="W57" i="16"/>
  <c r="O178" i="17" s="1"/>
  <c r="X57" i="16"/>
  <c r="P178" i="17" s="1"/>
  <c r="Y57" i="16"/>
  <c r="Z57" i="16"/>
  <c r="AA57" i="16"/>
  <c r="S178" i="17" s="1"/>
  <c r="AB57" i="16"/>
  <c r="T178" i="17" s="1"/>
  <c r="R58" i="16"/>
  <c r="I179" i="17" s="1"/>
  <c r="S58" i="16"/>
  <c r="J179" i="17" s="1"/>
  <c r="T58" i="16"/>
  <c r="K179" i="17" s="1"/>
  <c r="U58" i="16"/>
  <c r="L179" i="17" s="1"/>
  <c r="V58" i="16"/>
  <c r="M179" i="17" s="1"/>
  <c r="W58" i="16"/>
  <c r="X58" i="16"/>
  <c r="P71" i="17" s="1"/>
  <c r="Y58" i="16"/>
  <c r="Q71" i="17" s="1"/>
  <c r="Z58" i="16"/>
  <c r="AA58" i="16"/>
  <c r="AB58" i="16"/>
  <c r="R59" i="16"/>
  <c r="I180" i="17" s="1"/>
  <c r="S59" i="16"/>
  <c r="J180" i="17" s="1"/>
  <c r="T59" i="16"/>
  <c r="K180" i="17" s="1"/>
  <c r="U59" i="16"/>
  <c r="L180" i="17" s="1"/>
  <c r="V59" i="16"/>
  <c r="M180" i="17" s="1"/>
  <c r="W59" i="16"/>
  <c r="O180" i="17" s="1"/>
  <c r="X59" i="16"/>
  <c r="P180" i="17" s="1"/>
  <c r="Y59" i="16"/>
  <c r="Q180" i="17" s="1"/>
  <c r="Z59" i="16"/>
  <c r="AA59" i="16"/>
  <c r="AB59" i="16"/>
  <c r="T180" i="17" s="1"/>
  <c r="R60" i="16"/>
  <c r="I181" i="17" s="1"/>
  <c r="S60" i="16"/>
  <c r="J181" i="17" s="1"/>
  <c r="T60" i="16"/>
  <c r="K181" i="17" s="1"/>
  <c r="U60" i="16"/>
  <c r="L181" i="17" s="1"/>
  <c r="V60" i="16"/>
  <c r="M181" i="17" s="1"/>
  <c r="W60" i="16"/>
  <c r="O181" i="17" s="1"/>
  <c r="X60" i="16"/>
  <c r="Y60" i="16"/>
  <c r="Q181" i="17" s="1"/>
  <c r="Z60" i="16"/>
  <c r="R181" i="17" s="1"/>
  <c r="AA60" i="16"/>
  <c r="S181" i="17" s="1"/>
  <c r="AB60" i="16"/>
  <c r="R61" i="16"/>
  <c r="S61" i="16"/>
  <c r="T61" i="16"/>
  <c r="U61" i="16"/>
  <c r="V61" i="16"/>
  <c r="W61" i="16"/>
  <c r="X61" i="16"/>
  <c r="Y61" i="16"/>
  <c r="Z61" i="16"/>
  <c r="AA61" i="16"/>
  <c r="AB61" i="16"/>
  <c r="R62" i="16"/>
  <c r="S62" i="16"/>
  <c r="T62" i="16"/>
  <c r="K184" i="17" s="1"/>
  <c r="U62" i="16"/>
  <c r="L75" i="17" s="1"/>
  <c r="V62" i="16"/>
  <c r="M75" i="17" s="1"/>
  <c r="W62" i="16"/>
  <c r="O75" i="17" s="1"/>
  <c r="X62" i="16"/>
  <c r="P75" i="17" s="1"/>
  <c r="Y62" i="16"/>
  <c r="Q75" i="17" s="1"/>
  <c r="Z62" i="16"/>
  <c r="AA62" i="16"/>
  <c r="S183" i="17" s="1"/>
  <c r="AB62" i="16"/>
  <c r="R63" i="16"/>
  <c r="I185" i="17" s="1"/>
  <c r="S63" i="16"/>
  <c r="T63" i="16"/>
  <c r="U63" i="16"/>
  <c r="L185" i="17" s="1"/>
  <c r="V63" i="16"/>
  <c r="M185" i="17" s="1"/>
  <c r="W63" i="16"/>
  <c r="O185" i="17" s="1"/>
  <c r="X63" i="16"/>
  <c r="P185" i="17" s="1"/>
  <c r="Y63" i="16"/>
  <c r="Q185" i="17" s="1"/>
  <c r="Z63" i="16"/>
  <c r="AA63" i="16"/>
  <c r="AB63" i="16"/>
  <c r="R64" i="16"/>
  <c r="S64" i="16"/>
  <c r="T64" i="16"/>
  <c r="U64" i="16"/>
  <c r="V64" i="16"/>
  <c r="W64" i="16"/>
  <c r="X64" i="16"/>
  <c r="Y64" i="16"/>
  <c r="Z64" i="16"/>
  <c r="AA64" i="16"/>
  <c r="AB64" i="16"/>
  <c r="R65" i="16"/>
  <c r="I187" i="17" s="1"/>
  <c r="S65" i="16"/>
  <c r="J187" i="17" s="1"/>
  <c r="T65" i="16"/>
  <c r="K187" i="17" s="1"/>
  <c r="U65" i="16"/>
  <c r="V65" i="16"/>
  <c r="W65" i="16"/>
  <c r="O187" i="17" s="1"/>
  <c r="X65" i="16"/>
  <c r="Y65" i="16"/>
  <c r="Q187" i="17" s="1"/>
  <c r="Z65" i="16"/>
  <c r="R187" i="17" s="1"/>
  <c r="AA65" i="16"/>
  <c r="S187" i="17" s="1"/>
  <c r="AB65" i="16"/>
  <c r="R66" i="16"/>
  <c r="I188" i="17" s="1"/>
  <c r="S66" i="16"/>
  <c r="J188" i="17" s="1"/>
  <c r="T66" i="16"/>
  <c r="K80" i="17" s="1"/>
  <c r="U66" i="16"/>
  <c r="L188" i="17" s="1"/>
  <c r="V66" i="16"/>
  <c r="M80" i="17" s="1"/>
  <c r="W66" i="16"/>
  <c r="X66" i="16"/>
  <c r="P188" i="17" s="1"/>
  <c r="Y66" i="16"/>
  <c r="Q188" i="17" s="1"/>
  <c r="Z66" i="16"/>
  <c r="AA66" i="16"/>
  <c r="AB66" i="16"/>
  <c r="R67" i="16"/>
  <c r="S67" i="16"/>
  <c r="T67" i="16"/>
  <c r="U67" i="16"/>
  <c r="V67" i="16"/>
  <c r="W67" i="16"/>
  <c r="X67" i="16"/>
  <c r="Y67" i="16"/>
  <c r="Z67" i="16"/>
  <c r="AA67" i="16"/>
  <c r="AB67" i="16"/>
  <c r="R68" i="16"/>
  <c r="S68" i="16"/>
  <c r="T68" i="16"/>
  <c r="U68" i="16"/>
  <c r="V68" i="16"/>
  <c r="W68" i="16"/>
  <c r="X68" i="16"/>
  <c r="Y68" i="16"/>
  <c r="Z68" i="16"/>
  <c r="AA68" i="16"/>
  <c r="AB68" i="16"/>
  <c r="R69" i="16"/>
  <c r="S69" i="16"/>
  <c r="T69" i="16"/>
  <c r="U69" i="16"/>
  <c r="V69" i="16"/>
  <c r="W69" i="16"/>
  <c r="X69" i="16"/>
  <c r="Y69" i="16"/>
  <c r="Z69" i="16"/>
  <c r="AA69" i="16"/>
  <c r="AB69" i="16"/>
  <c r="R70" i="16"/>
  <c r="S70" i="16"/>
  <c r="T70" i="16"/>
  <c r="U70" i="16"/>
  <c r="V70" i="16"/>
  <c r="W70" i="16"/>
  <c r="X70" i="16"/>
  <c r="Y70" i="16"/>
  <c r="Z70" i="16"/>
  <c r="AA70" i="16"/>
  <c r="AB70" i="16"/>
  <c r="R71" i="16"/>
  <c r="S71" i="16"/>
  <c r="T71" i="16"/>
  <c r="U71" i="16"/>
  <c r="V71" i="16"/>
  <c r="W71" i="16"/>
  <c r="X71" i="16"/>
  <c r="Y71" i="16"/>
  <c r="Z71" i="16"/>
  <c r="AA71" i="16"/>
  <c r="AB71" i="16"/>
  <c r="R72" i="16"/>
  <c r="S72" i="16"/>
  <c r="T72" i="16"/>
  <c r="U72" i="16"/>
  <c r="V72" i="16"/>
  <c r="W72" i="16"/>
  <c r="X72" i="16"/>
  <c r="Y72" i="16"/>
  <c r="Z72" i="16"/>
  <c r="AA72" i="16"/>
  <c r="AB72" i="16"/>
  <c r="R73" i="16"/>
  <c r="S73" i="16"/>
  <c r="T73" i="16"/>
  <c r="U73" i="16"/>
  <c r="V73" i="16"/>
  <c r="W73" i="16"/>
  <c r="X73" i="16"/>
  <c r="Y73" i="16"/>
  <c r="Z73" i="16"/>
  <c r="AA73" i="16"/>
  <c r="AB73" i="16"/>
  <c r="R74" i="16"/>
  <c r="S74" i="16"/>
  <c r="T74" i="16"/>
  <c r="U74" i="16"/>
  <c r="V74" i="16"/>
  <c r="W74" i="16"/>
  <c r="X74" i="16"/>
  <c r="Y74" i="16"/>
  <c r="Z74" i="16"/>
  <c r="AA74" i="16"/>
  <c r="AB74" i="16"/>
  <c r="R75" i="16"/>
  <c r="I90" i="17" s="1"/>
  <c r="S75" i="16"/>
  <c r="T75" i="16"/>
  <c r="U75" i="16"/>
  <c r="L198" i="17" s="1"/>
  <c r="V75" i="16"/>
  <c r="M198" i="17" s="1"/>
  <c r="W75" i="16"/>
  <c r="O198" i="17" s="1"/>
  <c r="X75" i="16"/>
  <c r="P198" i="17" s="1"/>
  <c r="Y75" i="16"/>
  <c r="Q198" i="17" s="1"/>
  <c r="Z75" i="16"/>
  <c r="AA75" i="16"/>
  <c r="S198" i="17" s="1"/>
  <c r="AB75" i="16"/>
  <c r="T198" i="17" s="1"/>
  <c r="R76" i="16"/>
  <c r="I199" i="17" s="1"/>
  <c r="S76" i="16"/>
  <c r="J199" i="17" s="1"/>
  <c r="T76" i="16"/>
  <c r="U76" i="16"/>
  <c r="V76" i="16"/>
  <c r="W76" i="16"/>
  <c r="O199" i="17" s="1"/>
  <c r="X76" i="16"/>
  <c r="P91" i="17" s="1"/>
  <c r="Y76" i="16"/>
  <c r="Q199" i="17" s="1"/>
  <c r="Z76" i="16"/>
  <c r="R91" i="17" s="1"/>
  <c r="AA76" i="16"/>
  <c r="AB76" i="16"/>
  <c r="R77" i="16"/>
  <c r="I200" i="17" s="1"/>
  <c r="S77" i="16"/>
  <c r="J200" i="17" s="1"/>
  <c r="T77" i="16"/>
  <c r="K200" i="17" s="1"/>
  <c r="U77" i="16"/>
  <c r="V77" i="16"/>
  <c r="W77" i="16"/>
  <c r="O200" i="17" s="1"/>
  <c r="X77" i="16"/>
  <c r="P200" i="17" s="1"/>
  <c r="Y77" i="16"/>
  <c r="Q200" i="17" s="1"/>
  <c r="Z77" i="16"/>
  <c r="AA77" i="16"/>
  <c r="AB77" i="16"/>
  <c r="T200" i="17" s="1"/>
  <c r="R78" i="16"/>
  <c r="S78" i="16"/>
  <c r="J201" i="17" s="1"/>
  <c r="T78" i="16"/>
  <c r="K201" i="17" s="1"/>
  <c r="U78" i="16"/>
  <c r="L201" i="17" s="1"/>
  <c r="V78" i="16"/>
  <c r="W78" i="16"/>
  <c r="X78" i="16"/>
  <c r="Y78" i="16"/>
  <c r="Q201" i="17" s="1"/>
  <c r="Z78" i="16"/>
  <c r="R201" i="17" s="1"/>
  <c r="AA78" i="16"/>
  <c r="AB78" i="16"/>
  <c r="T201" i="17" s="1"/>
  <c r="R79" i="16"/>
  <c r="S79" i="16"/>
  <c r="J202" i="17" s="1"/>
  <c r="T79" i="16"/>
  <c r="K202" i="17" s="1"/>
  <c r="U79" i="16"/>
  <c r="L202" i="17" s="1"/>
  <c r="V79" i="16"/>
  <c r="W79" i="16"/>
  <c r="X79" i="16"/>
  <c r="Y79" i="16"/>
  <c r="Q202" i="17" s="1"/>
  <c r="Z79" i="16"/>
  <c r="R94" i="17" s="1"/>
  <c r="AA79" i="16"/>
  <c r="AB79" i="16"/>
  <c r="T202" i="17" s="1"/>
  <c r="R80" i="16"/>
  <c r="S80" i="16"/>
  <c r="J203" i="17" s="1"/>
  <c r="T80" i="16"/>
  <c r="K203" i="17" s="1"/>
  <c r="U80" i="16"/>
  <c r="L203" i="17" s="1"/>
  <c r="V80" i="16"/>
  <c r="W80" i="16"/>
  <c r="O203" i="17" s="1"/>
  <c r="X80" i="16"/>
  <c r="Y80" i="16"/>
  <c r="Z80" i="16"/>
  <c r="AA80" i="16"/>
  <c r="AB80" i="16"/>
  <c r="T203" i="17" s="1"/>
  <c r="R81" i="16"/>
  <c r="I96" i="17" s="1"/>
  <c r="S81" i="16"/>
  <c r="J204" i="17" s="1"/>
  <c r="T81" i="16"/>
  <c r="K204" i="17" s="1"/>
  <c r="U81" i="16"/>
  <c r="L204" i="17" s="1"/>
  <c r="V81" i="16"/>
  <c r="M204" i="17" s="1"/>
  <c r="W81" i="16"/>
  <c r="O204" i="17" s="1"/>
  <c r="X81" i="16"/>
  <c r="P204" i="17" s="1"/>
  <c r="Y81" i="16"/>
  <c r="Z81" i="16"/>
  <c r="AA81" i="16"/>
  <c r="AB81" i="16"/>
  <c r="T204" i="17" s="1"/>
  <c r="R82" i="16"/>
  <c r="I205" i="17" s="1"/>
  <c r="S82" i="16"/>
  <c r="J205" i="17" s="1"/>
  <c r="T82" i="16"/>
  <c r="K205" i="17" s="1"/>
  <c r="U82" i="16"/>
  <c r="L205" i="17" s="1"/>
  <c r="V82" i="16"/>
  <c r="M97" i="17" s="1"/>
  <c r="W82" i="16"/>
  <c r="O205" i="17" s="1"/>
  <c r="X82" i="16"/>
  <c r="P97" i="17" s="1"/>
  <c r="Y82" i="16"/>
  <c r="Q205" i="17" s="1"/>
  <c r="Z82" i="16"/>
  <c r="AA82" i="16"/>
  <c r="AB82" i="16"/>
  <c r="R83" i="16"/>
  <c r="S83" i="16"/>
  <c r="T83" i="16"/>
  <c r="U83" i="16"/>
  <c r="V83" i="16"/>
  <c r="W83" i="16"/>
  <c r="X83" i="16"/>
  <c r="Y83" i="16"/>
  <c r="Z83" i="16"/>
  <c r="AA83" i="16"/>
  <c r="AB83" i="16"/>
  <c r="R84" i="16"/>
  <c r="I207" i="17" s="1"/>
  <c r="S84" i="16"/>
  <c r="J207" i="17" s="1"/>
  <c r="T84" i="16"/>
  <c r="K207" i="17" s="1"/>
  <c r="U84" i="16"/>
  <c r="L207" i="17" s="1"/>
  <c r="V84" i="16"/>
  <c r="M99" i="17" s="1"/>
  <c r="W84" i="16"/>
  <c r="O207" i="17" s="1"/>
  <c r="X84" i="16"/>
  <c r="Y84" i="16"/>
  <c r="Q207" i="17" s="1"/>
  <c r="Z84" i="16"/>
  <c r="R207" i="17" s="1"/>
  <c r="AA84" i="16"/>
  <c r="AB84" i="16"/>
  <c r="R85" i="16"/>
  <c r="S85" i="16"/>
  <c r="T85" i="16"/>
  <c r="K208" i="17" s="1"/>
  <c r="U85" i="16"/>
  <c r="L208" i="17" s="1"/>
  <c r="V85" i="16"/>
  <c r="M208" i="17" s="1"/>
  <c r="W85" i="16"/>
  <c r="O208" i="17" s="1"/>
  <c r="X85" i="16"/>
  <c r="P100" i="17" s="1"/>
  <c r="Y85" i="16"/>
  <c r="Z85" i="16"/>
  <c r="R100" i="17" s="1"/>
  <c r="AA85" i="16"/>
  <c r="S208" i="17" s="1"/>
  <c r="AB85" i="16"/>
  <c r="R86" i="16"/>
  <c r="S86" i="16"/>
  <c r="T86" i="16"/>
  <c r="U86" i="16"/>
  <c r="V86" i="16"/>
  <c r="W86" i="16"/>
  <c r="X86" i="16"/>
  <c r="Y86" i="16"/>
  <c r="Z86" i="16"/>
  <c r="AA86" i="16"/>
  <c r="AB86" i="16"/>
  <c r="R87" i="16"/>
  <c r="S87" i="16"/>
  <c r="T87" i="16"/>
  <c r="U87" i="16"/>
  <c r="V87" i="16"/>
  <c r="W87" i="16"/>
  <c r="X87" i="16"/>
  <c r="Y87" i="16"/>
  <c r="Z87" i="16"/>
  <c r="AA87" i="16"/>
  <c r="AB87" i="16"/>
  <c r="R88" i="16"/>
  <c r="I211" i="17" s="1"/>
  <c r="S88" i="16"/>
  <c r="J211" i="17" s="1"/>
  <c r="T88" i="16"/>
  <c r="U88" i="16"/>
  <c r="V88" i="16"/>
  <c r="W88" i="16"/>
  <c r="O211" i="17" s="1"/>
  <c r="X88" i="16"/>
  <c r="Y88" i="16"/>
  <c r="Q211" i="17" s="1"/>
  <c r="Z88" i="16"/>
  <c r="R211" i="17" s="1"/>
  <c r="AA88" i="16"/>
  <c r="S211" i="17" s="1"/>
  <c r="AB88" i="16"/>
  <c r="T211" i="17" s="1"/>
  <c r="R89" i="16"/>
  <c r="S89" i="16"/>
  <c r="J212" i="17" s="1"/>
  <c r="T89" i="16"/>
  <c r="U89" i="16"/>
  <c r="V89" i="16"/>
  <c r="W89" i="16"/>
  <c r="X89" i="16"/>
  <c r="P212" i="17" s="1"/>
  <c r="Y89" i="16"/>
  <c r="Q212" i="17" s="1"/>
  <c r="Z89" i="16"/>
  <c r="AA89" i="16"/>
  <c r="AB89" i="16"/>
  <c r="T212" i="17" s="1"/>
  <c r="R90" i="16"/>
  <c r="I213" i="17" s="1"/>
  <c r="S90" i="16"/>
  <c r="J213" i="17" s="1"/>
  <c r="T90" i="16"/>
  <c r="K213" i="17" s="1"/>
  <c r="U90" i="16"/>
  <c r="V90" i="16"/>
  <c r="W90" i="16"/>
  <c r="X90" i="16"/>
  <c r="Y90" i="16"/>
  <c r="Q213" i="17" s="1"/>
  <c r="Z90" i="16"/>
  <c r="R213" i="17" s="1"/>
  <c r="AA90" i="16"/>
  <c r="S213" i="17" s="1"/>
  <c r="AB90" i="16"/>
  <c r="R2" i="16"/>
  <c r="I115" i="17" s="1"/>
  <c r="S2" i="16"/>
  <c r="T2" i="16"/>
  <c r="U2" i="16"/>
  <c r="V2" i="16"/>
  <c r="W2" i="16"/>
  <c r="X2" i="16"/>
  <c r="P115" i="17" s="1"/>
  <c r="Y2" i="16"/>
  <c r="Q115" i="17" s="1"/>
  <c r="Z2" i="16"/>
  <c r="R115" i="17" s="1"/>
  <c r="AA2" i="16"/>
  <c r="AB2" i="16"/>
  <c r="T115" i="17" s="1"/>
  <c r="Q3" i="16"/>
  <c r="Q4" i="16"/>
  <c r="H117" i="17" s="1"/>
  <c r="Q5" i="16"/>
  <c r="Q6" i="16"/>
  <c r="Q7" i="16"/>
  <c r="Q8" i="16"/>
  <c r="Q9" i="16"/>
  <c r="Q10" i="16"/>
  <c r="Q11" i="16"/>
  <c r="Q12" i="16"/>
  <c r="H127" i="17" s="1"/>
  <c r="Q13" i="16"/>
  <c r="H128" i="17" s="1"/>
  <c r="Q14" i="16"/>
  <c r="H129" i="17" s="1"/>
  <c r="Q15" i="16"/>
  <c r="Q16" i="16"/>
  <c r="H131" i="17" s="1"/>
  <c r="Q17" i="16"/>
  <c r="Q18" i="16"/>
  <c r="Q19" i="16"/>
  <c r="H134" i="17" s="1"/>
  <c r="Q20" i="16"/>
  <c r="Q21" i="16"/>
  <c r="Q22" i="16"/>
  <c r="Q23" i="16"/>
  <c r="Q24" i="16"/>
  <c r="Q25" i="16"/>
  <c r="Q26" i="16"/>
  <c r="H141" i="17" s="1"/>
  <c r="Q27" i="16"/>
  <c r="Q28" i="16"/>
  <c r="H143" i="17" s="1"/>
  <c r="Q29" i="16"/>
  <c r="Q30" i="16"/>
  <c r="Q31" i="16"/>
  <c r="Q32" i="16"/>
  <c r="Q33" i="16"/>
  <c r="Q34" i="16"/>
  <c r="Q35" i="16"/>
  <c r="Q36" i="16"/>
  <c r="H154" i="17" s="1"/>
  <c r="Q37" i="16"/>
  <c r="Q38" i="16"/>
  <c r="H156" i="17" s="1"/>
  <c r="Q39" i="16"/>
  <c r="Q40" i="16"/>
  <c r="Q41" i="16"/>
  <c r="Q42" i="16"/>
  <c r="Q43" i="16"/>
  <c r="Q44" i="16"/>
  <c r="Q45" i="16"/>
  <c r="Q46" i="16"/>
  <c r="Q47" i="16"/>
  <c r="Q48" i="16"/>
  <c r="Q49" i="16"/>
  <c r="Q50" i="16"/>
  <c r="H61" i="17" s="1"/>
  <c r="Q51" i="16"/>
  <c r="Q52" i="16"/>
  <c r="Q53" i="16"/>
  <c r="Q54" i="16"/>
  <c r="Q55" i="16"/>
  <c r="Q56" i="16"/>
  <c r="Q57" i="16"/>
  <c r="Q58" i="16"/>
  <c r="Q59" i="16"/>
  <c r="Q60" i="16"/>
  <c r="Q61" i="16"/>
  <c r="Q62" i="16"/>
  <c r="H76" i="17" s="1"/>
  <c r="Q63" i="16"/>
  <c r="Q64" i="16"/>
  <c r="Q65" i="16"/>
  <c r="Q66" i="16"/>
  <c r="Q67" i="16"/>
  <c r="Q68" i="16"/>
  <c r="Q69" i="16"/>
  <c r="Q70" i="16"/>
  <c r="Q71" i="16"/>
  <c r="Q72" i="16"/>
  <c r="Q73" i="16"/>
  <c r="Q74" i="16"/>
  <c r="Q75" i="16"/>
  <c r="Q76" i="16"/>
  <c r="H199" i="17" s="1"/>
  <c r="Q77" i="16"/>
  <c r="Q78" i="16"/>
  <c r="Q79" i="16"/>
  <c r="Q80" i="16"/>
  <c r="Q81" i="16"/>
  <c r="Q82" i="16"/>
  <c r="Q83" i="16"/>
  <c r="Q84" i="16"/>
  <c r="Q85" i="16"/>
  <c r="Q86" i="16"/>
  <c r="Q87" i="16"/>
  <c r="Q88" i="16"/>
  <c r="H211" i="17" s="1"/>
  <c r="Q89" i="16"/>
  <c r="Q90" i="16"/>
  <c r="Q2" i="16"/>
  <c r="D105" i="17"/>
  <c r="C105" i="17" s="1"/>
  <c r="D104" i="17"/>
  <c r="C104" i="17" s="1"/>
  <c r="D103" i="17"/>
  <c r="C103" i="17" s="1"/>
  <c r="D102" i="17"/>
  <c r="C102" i="17" s="1"/>
  <c r="D101" i="17"/>
  <c r="C101" i="17" s="1"/>
  <c r="D100" i="17"/>
  <c r="C100" i="17"/>
  <c r="D99" i="17"/>
  <c r="C99" i="17" s="1"/>
  <c r="D98" i="17"/>
  <c r="C98" i="17" s="1"/>
  <c r="D97" i="17"/>
  <c r="C97" i="17" s="1"/>
  <c r="D96" i="17"/>
  <c r="C96" i="17"/>
  <c r="D95" i="17"/>
  <c r="C95" i="17"/>
  <c r="D94" i="17"/>
  <c r="C94" i="17" s="1"/>
  <c r="D93" i="17"/>
  <c r="C93" i="17" s="1"/>
  <c r="D92" i="17"/>
  <c r="C92" i="17"/>
  <c r="D91" i="17"/>
  <c r="C91" i="17" s="1"/>
  <c r="D90" i="17"/>
  <c r="C90" i="17" s="1"/>
  <c r="D89" i="17"/>
  <c r="C89" i="17" s="1"/>
  <c r="D88" i="17"/>
  <c r="C88" i="17"/>
  <c r="D87" i="17"/>
  <c r="C87" i="17" s="1"/>
  <c r="D86" i="17"/>
  <c r="C86" i="17" s="1"/>
  <c r="D85" i="17"/>
  <c r="C85" i="17" s="1"/>
  <c r="D84" i="17"/>
  <c r="C84" i="17" s="1"/>
  <c r="D83" i="17"/>
  <c r="C83" i="17" s="1"/>
  <c r="D82" i="17"/>
  <c r="C82" i="17" s="1"/>
  <c r="D81" i="17"/>
  <c r="C81" i="17" s="1"/>
  <c r="D80" i="17"/>
  <c r="C80" i="17" s="1"/>
  <c r="D79" i="17"/>
  <c r="C79" i="17" s="1"/>
  <c r="D78" i="17"/>
  <c r="C78" i="17" s="1"/>
  <c r="D77" i="17"/>
  <c r="C77" i="17" s="1"/>
  <c r="D76" i="17"/>
  <c r="C76" i="17" s="1"/>
  <c r="D75" i="17"/>
  <c r="C75" i="17" s="1"/>
  <c r="D74" i="17"/>
  <c r="C74" i="17" s="1"/>
  <c r="D73" i="17"/>
  <c r="C73" i="17" s="1"/>
  <c r="D72" i="17"/>
  <c r="C72" i="17" s="1"/>
  <c r="D71" i="17"/>
  <c r="C71" i="17" s="1"/>
  <c r="D70" i="17"/>
  <c r="C70" i="17" s="1"/>
  <c r="D69" i="17"/>
  <c r="C69" i="17" s="1"/>
  <c r="D68" i="17"/>
  <c r="C68" i="17" s="1"/>
  <c r="D67" i="17"/>
  <c r="C67" i="17" s="1"/>
  <c r="D66" i="17"/>
  <c r="C66" i="17" s="1"/>
  <c r="D65" i="17"/>
  <c r="C65" i="17" s="1"/>
  <c r="D64" i="17"/>
  <c r="C64" i="17"/>
  <c r="D63" i="17"/>
  <c r="C63" i="17" s="1"/>
  <c r="D62" i="17"/>
  <c r="C62" i="17" s="1"/>
  <c r="D61" i="17"/>
  <c r="C61" i="17" s="1"/>
  <c r="D60" i="17"/>
  <c r="C60" i="17" s="1"/>
  <c r="D59" i="17"/>
  <c r="C59" i="17" s="1"/>
  <c r="D58" i="17"/>
  <c r="C58" i="17" s="1"/>
  <c r="D57" i="17"/>
  <c r="C57" i="17" s="1"/>
  <c r="D56" i="17"/>
  <c r="C56" i="17" s="1"/>
  <c r="D55" i="17"/>
  <c r="C55" i="17" s="1"/>
  <c r="D54" i="17"/>
  <c r="C54" i="17" s="1"/>
  <c r="D53" i="17"/>
  <c r="C53" i="17" s="1"/>
  <c r="D52" i="17"/>
  <c r="C52" i="17" s="1"/>
  <c r="D51" i="17"/>
  <c r="C51" i="17" s="1"/>
  <c r="D50" i="17"/>
  <c r="C50" i="17" s="1"/>
  <c r="D49" i="17"/>
  <c r="C49" i="17" s="1"/>
  <c r="D48" i="17"/>
  <c r="C48" i="17" s="1"/>
  <c r="D47" i="17"/>
  <c r="C47" i="17" s="1"/>
  <c r="D46" i="17"/>
  <c r="C46" i="17" s="1"/>
  <c r="D45" i="17"/>
  <c r="C45" i="17" s="1"/>
  <c r="D44" i="17"/>
  <c r="C44" i="17" s="1"/>
  <c r="D43" i="17"/>
  <c r="C43" i="17" s="1"/>
  <c r="D42" i="17"/>
  <c r="C42" i="17" s="1"/>
  <c r="D41" i="17"/>
  <c r="C41" i="17" s="1"/>
  <c r="D40" i="17"/>
  <c r="C40" i="17"/>
  <c r="D39" i="17"/>
  <c r="C39" i="17" s="1"/>
  <c r="D38" i="17"/>
  <c r="C38" i="17" s="1"/>
  <c r="D37" i="17"/>
  <c r="C37" i="17" s="1"/>
  <c r="D36" i="17"/>
  <c r="C36" i="17"/>
  <c r="D35" i="17"/>
  <c r="C35" i="17" s="1"/>
  <c r="D34" i="17"/>
  <c r="C34" i="17" s="1"/>
  <c r="D33" i="17"/>
  <c r="C33" i="17" s="1"/>
  <c r="D32" i="17"/>
  <c r="C32" i="17" s="1"/>
  <c r="D31" i="17"/>
  <c r="C31" i="17" s="1"/>
  <c r="D30" i="17"/>
  <c r="C30" i="17" s="1"/>
  <c r="D29" i="17"/>
  <c r="C29" i="17" s="1"/>
  <c r="D28" i="17"/>
  <c r="C28" i="17"/>
  <c r="D27" i="17"/>
  <c r="C27" i="17" s="1"/>
  <c r="D26" i="17"/>
  <c r="C26" i="17"/>
  <c r="D25" i="17"/>
  <c r="C25" i="17" s="1"/>
  <c r="D24" i="17"/>
  <c r="C24" i="17" s="1"/>
  <c r="D23" i="17"/>
  <c r="C23" i="17" s="1"/>
  <c r="D22" i="17"/>
  <c r="C22" i="17"/>
  <c r="D21" i="17"/>
  <c r="C21" i="17" s="1"/>
  <c r="D20" i="17"/>
  <c r="C20" i="17" s="1"/>
  <c r="D19" i="17"/>
  <c r="C19" i="17" s="1"/>
  <c r="D18" i="17"/>
  <c r="C18" i="17" s="1"/>
  <c r="D17" i="17"/>
  <c r="C17" i="17" s="1"/>
  <c r="D16" i="17"/>
  <c r="C16" i="17" s="1"/>
  <c r="D15" i="17"/>
  <c r="C15" i="17" s="1"/>
  <c r="D14" i="17"/>
  <c r="C14" i="17" s="1"/>
  <c r="D13" i="17"/>
  <c r="C13" i="17" s="1"/>
  <c r="D12" i="17"/>
  <c r="C12" i="17"/>
  <c r="D11" i="17"/>
  <c r="C11" i="17"/>
  <c r="D10" i="17"/>
  <c r="C10" i="17" s="1"/>
  <c r="D9" i="17"/>
  <c r="C9" i="17" s="1"/>
  <c r="D8" i="17"/>
  <c r="C8" i="17" s="1"/>
  <c r="D7" i="17"/>
  <c r="C7" i="17" s="1"/>
  <c r="G4" i="17"/>
  <c r="F4" i="17"/>
  <c r="E4" i="17"/>
  <c r="G4" i="13"/>
  <c r="G3" i="13"/>
  <c r="F10" i="13"/>
  <c r="U7" i="4"/>
  <c r="U8" i="4"/>
  <c r="U9" i="4"/>
  <c r="U10" i="4"/>
  <c r="U11" i="4"/>
  <c r="U12" i="4"/>
  <c r="U13" i="4"/>
  <c r="U14" i="4"/>
  <c r="U15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F4" i="9"/>
  <c r="F4" i="4"/>
  <c r="E10" i="13" s="1"/>
  <c r="D7" i="9"/>
  <c r="C7" i="9" s="1"/>
  <c r="D8" i="9"/>
  <c r="C8" i="9" s="1"/>
  <c r="D9" i="9"/>
  <c r="C9" i="9" s="1"/>
  <c r="D10" i="9"/>
  <c r="C10" i="9" s="1"/>
  <c r="D11" i="9"/>
  <c r="C11" i="9" s="1"/>
  <c r="D12" i="9"/>
  <c r="C12" i="9" s="1"/>
  <c r="D13" i="9"/>
  <c r="C13" i="9" s="1"/>
  <c r="D14" i="9"/>
  <c r="C14" i="9" s="1"/>
  <c r="D15" i="9"/>
  <c r="C15" i="9" s="1"/>
  <c r="D16" i="9"/>
  <c r="C16" i="9" s="1"/>
  <c r="D17" i="9"/>
  <c r="C17" i="9" s="1"/>
  <c r="D19" i="9"/>
  <c r="C19" i="9" s="1"/>
  <c r="D20" i="9"/>
  <c r="C20" i="9" s="1"/>
  <c r="D21" i="9"/>
  <c r="C21" i="9" s="1"/>
  <c r="D22" i="9"/>
  <c r="C22" i="9" s="1"/>
  <c r="D23" i="9"/>
  <c r="C23" i="9" s="1"/>
  <c r="D24" i="9"/>
  <c r="C24" i="9" s="1"/>
  <c r="D25" i="9"/>
  <c r="C25" i="9" s="1"/>
  <c r="D26" i="9"/>
  <c r="C26" i="9" s="1"/>
  <c r="D27" i="9"/>
  <c r="C27" i="9" s="1"/>
  <c r="D28" i="9"/>
  <c r="C28" i="9" s="1"/>
  <c r="D29" i="9"/>
  <c r="C29" i="9" s="1"/>
  <c r="D30" i="9"/>
  <c r="C30" i="9" s="1"/>
  <c r="D31" i="9"/>
  <c r="C31" i="9" s="1"/>
  <c r="D32" i="9"/>
  <c r="C32" i="9" s="1"/>
  <c r="D33" i="9"/>
  <c r="C33" i="9" s="1"/>
  <c r="D34" i="9"/>
  <c r="C34" i="9" s="1"/>
  <c r="D35" i="9"/>
  <c r="C35" i="9" s="1"/>
  <c r="D36" i="9"/>
  <c r="C36" i="9" s="1"/>
  <c r="D37" i="9"/>
  <c r="C37" i="9" s="1"/>
  <c r="D38" i="9"/>
  <c r="C38" i="9" s="1"/>
  <c r="D39" i="9"/>
  <c r="C39" i="9" s="1"/>
  <c r="D40" i="9"/>
  <c r="C40" i="9" s="1"/>
  <c r="D41" i="9"/>
  <c r="C41" i="9" s="1"/>
  <c r="D42" i="9"/>
  <c r="C42" i="9" s="1"/>
  <c r="D43" i="9"/>
  <c r="C43" i="9" s="1"/>
  <c r="D44" i="9"/>
  <c r="C44" i="9" s="1"/>
  <c r="D45" i="9"/>
  <c r="C45" i="9" s="1"/>
  <c r="D46" i="9"/>
  <c r="C46" i="9" s="1"/>
  <c r="D47" i="9"/>
  <c r="C47" i="9" s="1"/>
  <c r="D48" i="9"/>
  <c r="C48" i="9" s="1"/>
  <c r="D49" i="9"/>
  <c r="C49" i="9" s="1"/>
  <c r="D50" i="9"/>
  <c r="C50" i="9" s="1"/>
  <c r="D51" i="9"/>
  <c r="C51" i="9" s="1"/>
  <c r="D52" i="9"/>
  <c r="C52" i="9" s="1"/>
  <c r="D53" i="9"/>
  <c r="C53" i="9" s="1"/>
  <c r="D54" i="9"/>
  <c r="C54" i="9" s="1"/>
  <c r="D55" i="9"/>
  <c r="C55" i="9" s="1"/>
  <c r="D56" i="9"/>
  <c r="C56" i="9" s="1"/>
  <c r="D57" i="9"/>
  <c r="C57" i="9" s="1"/>
  <c r="D58" i="9"/>
  <c r="C58" i="9" s="1"/>
  <c r="D59" i="9"/>
  <c r="C59" i="9" s="1"/>
  <c r="D60" i="9"/>
  <c r="C60" i="9" s="1"/>
  <c r="D61" i="9"/>
  <c r="C61" i="9" s="1"/>
  <c r="D62" i="9"/>
  <c r="C62" i="9" s="1"/>
  <c r="D63" i="9"/>
  <c r="C63" i="9" s="1"/>
  <c r="D64" i="9"/>
  <c r="C64" i="9" s="1"/>
  <c r="D65" i="9"/>
  <c r="C65" i="9" s="1"/>
  <c r="D66" i="9"/>
  <c r="C66" i="9" s="1"/>
  <c r="D67" i="9"/>
  <c r="C67" i="9" s="1"/>
  <c r="D68" i="9"/>
  <c r="C68" i="9" s="1"/>
  <c r="D69" i="9"/>
  <c r="C69" i="9" s="1"/>
  <c r="D70" i="9"/>
  <c r="C70" i="9" s="1"/>
  <c r="D71" i="9"/>
  <c r="C71" i="9" s="1"/>
  <c r="D72" i="9"/>
  <c r="C72" i="9" s="1"/>
  <c r="D73" i="9"/>
  <c r="C73" i="9" s="1"/>
  <c r="D74" i="9"/>
  <c r="C74" i="9" s="1"/>
  <c r="D75" i="9"/>
  <c r="C75" i="9" s="1"/>
  <c r="D76" i="9"/>
  <c r="C76" i="9" s="1"/>
  <c r="D77" i="9"/>
  <c r="C77" i="9" s="1"/>
  <c r="D78" i="9"/>
  <c r="C78" i="9" s="1"/>
  <c r="D79" i="9"/>
  <c r="C79" i="9" s="1"/>
  <c r="D80" i="9"/>
  <c r="C80" i="9" s="1"/>
  <c r="D81" i="9"/>
  <c r="C81" i="9" s="1"/>
  <c r="D82" i="9"/>
  <c r="C82" i="9" s="1"/>
  <c r="D83" i="9"/>
  <c r="C83" i="9" s="1"/>
  <c r="D84" i="9"/>
  <c r="C84" i="9" s="1"/>
  <c r="D85" i="9"/>
  <c r="C85" i="9" s="1"/>
  <c r="D86" i="9"/>
  <c r="C86" i="9" s="1"/>
  <c r="D87" i="9"/>
  <c r="C87" i="9" s="1"/>
  <c r="D88" i="9"/>
  <c r="C88" i="9" s="1"/>
  <c r="D89" i="9"/>
  <c r="C89" i="9" s="1"/>
  <c r="D90" i="9"/>
  <c r="C90" i="9" s="1"/>
  <c r="D91" i="9"/>
  <c r="C91" i="9" s="1"/>
  <c r="D92" i="9"/>
  <c r="C92" i="9" s="1"/>
  <c r="D93" i="9"/>
  <c r="C93" i="9" s="1"/>
  <c r="D94" i="9"/>
  <c r="C94" i="9" s="1"/>
  <c r="D95" i="9"/>
  <c r="C95" i="9" s="1"/>
  <c r="D96" i="9"/>
  <c r="C96" i="9" s="1"/>
  <c r="D97" i="9"/>
  <c r="C97" i="9" s="1"/>
  <c r="D98" i="9"/>
  <c r="C98" i="9" s="1"/>
  <c r="D99" i="9"/>
  <c r="C99" i="9" s="1"/>
  <c r="D100" i="9"/>
  <c r="C100" i="9" s="1"/>
  <c r="D101" i="9"/>
  <c r="C101" i="9" s="1"/>
  <c r="D102" i="9"/>
  <c r="C102" i="9" s="1"/>
  <c r="D103" i="9"/>
  <c r="C103" i="9" s="1"/>
  <c r="D104" i="9"/>
  <c r="C104" i="9" s="1"/>
  <c r="D105" i="9"/>
  <c r="C105" i="9" s="1"/>
  <c r="AK1" i="10"/>
  <c r="AI1" i="10"/>
  <c r="AG1" i="10"/>
  <c r="AE1" i="10"/>
  <c r="AC1" i="10"/>
  <c r="AA1" i="10"/>
  <c r="Y1" i="10"/>
  <c r="W1" i="10"/>
  <c r="U1" i="10"/>
  <c r="S1" i="10"/>
  <c r="Q1" i="10"/>
  <c r="O1" i="10"/>
  <c r="M1" i="10"/>
  <c r="G1" i="10"/>
  <c r="E1" i="10"/>
  <c r="C28" i="4"/>
  <c r="C29" i="4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U105" i="9"/>
  <c r="U7" i="9"/>
  <c r="U8" i="9"/>
  <c r="U9" i="9"/>
  <c r="U10" i="9"/>
  <c r="U11" i="9"/>
  <c r="U12" i="9"/>
  <c r="U13" i="9"/>
  <c r="U14" i="9"/>
  <c r="U15" i="9"/>
  <c r="G4" i="9"/>
  <c r="E4" i="9"/>
  <c r="S4" i="9"/>
  <c r="R4" i="9"/>
  <c r="Q4" i="9"/>
  <c r="P4" i="9"/>
  <c r="O4" i="9"/>
  <c r="N4" i="9"/>
  <c r="M4" i="9"/>
  <c r="L4" i="9"/>
  <c r="K4" i="9"/>
  <c r="J4" i="9"/>
  <c r="I4" i="9"/>
  <c r="H4" i="9"/>
  <c r="Q10" i="14"/>
  <c r="Q22" i="14"/>
  <c r="Q35" i="14"/>
  <c r="Q47" i="14"/>
  <c r="Q59" i="14"/>
  <c r="Q71" i="14"/>
  <c r="Q83" i="14"/>
  <c r="R5" i="14"/>
  <c r="R17" i="14"/>
  <c r="R29" i="14"/>
  <c r="R41" i="14"/>
  <c r="R53" i="14"/>
  <c r="R65" i="14"/>
  <c r="R77" i="14"/>
  <c r="R89" i="14"/>
  <c r="U6" i="14"/>
  <c r="X7" i="14"/>
  <c r="AA8" i="14"/>
  <c r="U10" i="14"/>
  <c r="X11" i="14"/>
  <c r="AA12" i="14"/>
  <c r="U14" i="14"/>
  <c r="X15" i="14"/>
  <c r="AA16" i="14"/>
  <c r="Q12" i="14"/>
  <c r="Q25" i="14"/>
  <c r="Q37" i="14"/>
  <c r="Q49" i="14"/>
  <c r="Q61" i="14"/>
  <c r="Q73" i="14"/>
  <c r="Q85" i="14"/>
  <c r="R7" i="14"/>
  <c r="R19" i="14"/>
  <c r="R31" i="14"/>
  <c r="R43" i="14"/>
  <c r="R55" i="14"/>
  <c r="R67" i="14"/>
  <c r="R79" i="14"/>
  <c r="T5" i="14"/>
  <c r="W6" i="14"/>
  <c r="Z7" i="14"/>
  <c r="T9" i="14"/>
  <c r="W10" i="14"/>
  <c r="Z11" i="14"/>
  <c r="T13" i="14"/>
  <c r="Q11" i="14"/>
  <c r="Q27" i="14"/>
  <c r="Q41" i="14"/>
  <c r="Q55" i="14"/>
  <c r="Q69" i="14"/>
  <c r="Q84" i="14"/>
  <c r="R9" i="14"/>
  <c r="R23" i="14"/>
  <c r="R37" i="14"/>
  <c r="R51" i="14"/>
  <c r="R66" i="14"/>
  <c r="R81" i="14"/>
  <c r="X5" i="14"/>
  <c r="T7" i="14"/>
  <c r="Y8" i="14"/>
  <c r="V10" i="14"/>
  <c r="S12" i="14"/>
  <c r="X13" i="14"/>
  <c r="S15" i="14"/>
  <c r="W16" i="14"/>
  <c r="AA17" i="14"/>
  <c r="U19" i="14"/>
  <c r="X20" i="14"/>
  <c r="AA21" i="14"/>
  <c r="U23" i="14"/>
  <c r="X24" i="14"/>
  <c r="AA25" i="14"/>
  <c r="U27" i="14"/>
  <c r="X28" i="14"/>
  <c r="AA29" i="14"/>
  <c r="U31" i="14"/>
  <c r="X32" i="14"/>
  <c r="AA33" i="14"/>
  <c r="U35" i="14"/>
  <c r="X36" i="14"/>
  <c r="AA37" i="14"/>
  <c r="U39" i="14"/>
  <c r="X40" i="14"/>
  <c r="AA41" i="14"/>
  <c r="U43" i="14"/>
  <c r="X44" i="14"/>
  <c r="AA45" i="14"/>
  <c r="U47" i="14"/>
  <c r="X48" i="14"/>
  <c r="Q13" i="14"/>
  <c r="Q28" i="14"/>
  <c r="Q42" i="14"/>
  <c r="Q56" i="14"/>
  <c r="Q70" i="14"/>
  <c r="Q86" i="14"/>
  <c r="R10" i="14"/>
  <c r="R24" i="14"/>
  <c r="R38" i="14"/>
  <c r="R52" i="14"/>
  <c r="R68" i="14"/>
  <c r="R82" i="14"/>
  <c r="Y5" i="14"/>
  <c r="U7" i="14"/>
  <c r="Z8" i="14"/>
  <c r="X10" i="14"/>
  <c r="T12" i="14"/>
  <c r="Y13" i="14"/>
  <c r="T15" i="14"/>
  <c r="X16" i="14"/>
  <c r="S18" i="14"/>
  <c r="V19" i="14"/>
  <c r="Y20" i="14"/>
  <c r="S22" i="14"/>
  <c r="V23" i="14"/>
  <c r="Y24" i="14"/>
  <c r="S26" i="14"/>
  <c r="V27" i="14"/>
  <c r="Y28" i="14"/>
  <c r="S30" i="14"/>
  <c r="V31" i="14"/>
  <c r="Y32" i="14"/>
  <c r="S34" i="14"/>
  <c r="V35" i="14"/>
  <c r="Y36" i="14"/>
  <c r="S38" i="14"/>
  <c r="V39" i="14"/>
  <c r="Y40" i="14"/>
  <c r="S42" i="14"/>
  <c r="V43" i="14"/>
  <c r="Y44" i="14"/>
  <c r="S46" i="14"/>
  <c r="V47" i="14"/>
  <c r="Y48" i="14"/>
  <c r="S50" i="14"/>
  <c r="V51" i="14"/>
  <c r="Y52" i="14"/>
  <c r="S54" i="14"/>
  <c r="V55" i="14"/>
  <c r="Y56" i="14"/>
  <c r="S58" i="14"/>
  <c r="V59" i="14"/>
  <c r="Y60" i="14"/>
  <c r="S62" i="14"/>
  <c r="V63" i="14"/>
  <c r="Y64" i="14"/>
  <c r="S66" i="14"/>
  <c r="V67" i="14"/>
  <c r="Y68" i="14"/>
  <c r="S70" i="14"/>
  <c r="V71" i="14"/>
  <c r="Y72" i="14"/>
  <c r="S74" i="14"/>
  <c r="V75" i="14"/>
  <c r="Y76" i="14"/>
  <c r="S78" i="14"/>
  <c r="V79" i="14"/>
  <c r="Y80" i="14"/>
  <c r="S82" i="14"/>
  <c r="V83" i="14"/>
  <c r="Y84" i="14"/>
  <c r="S86" i="14"/>
  <c r="V87" i="14"/>
  <c r="Y88" i="14"/>
  <c r="AA4" i="14"/>
  <c r="AB20" i="14"/>
  <c r="AB32" i="14"/>
  <c r="AB44" i="14"/>
  <c r="AB56" i="14"/>
  <c r="AB68" i="14"/>
  <c r="AB80" i="14"/>
  <c r="AB8" i="14"/>
  <c r="AB86" i="14"/>
  <c r="Z22" i="14"/>
  <c r="T56" i="14"/>
  <c r="W73" i="14"/>
  <c r="Q14" i="14"/>
  <c r="Q29" i="14"/>
  <c r="Q43" i="14"/>
  <c r="Q57" i="14"/>
  <c r="Q72" i="14"/>
  <c r="Q87" i="14"/>
  <c r="R11" i="14"/>
  <c r="R25" i="14"/>
  <c r="R39" i="14"/>
  <c r="R54" i="14"/>
  <c r="R69" i="14"/>
  <c r="R83" i="14"/>
  <c r="Z5" i="14"/>
  <c r="V7" i="14"/>
  <c r="S9" i="14"/>
  <c r="Y10" i="14"/>
  <c r="U12" i="14"/>
  <c r="Z13" i="14"/>
  <c r="U15" i="14"/>
  <c r="Y16" i="14"/>
  <c r="T18" i="14"/>
  <c r="W19" i="14"/>
  <c r="Z20" i="14"/>
  <c r="T22" i="14"/>
  <c r="W23" i="14"/>
  <c r="Z24" i="14"/>
  <c r="T26" i="14"/>
  <c r="W27" i="14"/>
  <c r="Z28" i="14"/>
  <c r="T30" i="14"/>
  <c r="W31" i="14"/>
  <c r="Z32" i="14"/>
  <c r="T34" i="14"/>
  <c r="W35" i="14"/>
  <c r="Z36" i="14"/>
  <c r="T38" i="14"/>
  <c r="W39" i="14"/>
  <c r="Z40" i="14"/>
  <c r="T42" i="14"/>
  <c r="W43" i="14"/>
  <c r="Z44" i="14"/>
  <c r="T46" i="14"/>
  <c r="W47" i="14"/>
  <c r="Z48" i="14"/>
  <c r="T50" i="14"/>
  <c r="W51" i="14"/>
  <c r="Z52" i="14"/>
  <c r="T54" i="14"/>
  <c r="W55" i="14"/>
  <c r="Z56" i="14"/>
  <c r="T58" i="14"/>
  <c r="W59" i="14"/>
  <c r="Z60" i="14"/>
  <c r="T62" i="14"/>
  <c r="W63" i="14"/>
  <c r="Z64" i="14"/>
  <c r="T66" i="14"/>
  <c r="W67" i="14"/>
  <c r="Z68" i="14"/>
  <c r="T70" i="14"/>
  <c r="W71" i="14"/>
  <c r="Z72" i="14"/>
  <c r="T74" i="14"/>
  <c r="W75" i="14"/>
  <c r="Z76" i="14"/>
  <c r="T78" i="14"/>
  <c r="W79" i="14"/>
  <c r="Z80" i="14"/>
  <c r="T82" i="14"/>
  <c r="W83" i="14"/>
  <c r="Z84" i="14"/>
  <c r="T86" i="14"/>
  <c r="W87" i="14"/>
  <c r="Z88" i="14"/>
  <c r="Z4" i="14"/>
  <c r="AB21" i="14"/>
  <c r="AB33" i="14"/>
  <c r="AB45" i="14"/>
  <c r="AB57" i="14"/>
  <c r="AB69" i="14"/>
  <c r="AB81" i="14"/>
  <c r="AB9" i="14"/>
  <c r="AA36" i="14"/>
  <c r="U50" i="14"/>
  <c r="AA52" i="14"/>
  <c r="AA56" i="14"/>
  <c r="X59" i="14"/>
  <c r="U62" i="14"/>
  <c r="AA64" i="14"/>
  <c r="X67" i="14"/>
  <c r="U70" i="14"/>
  <c r="AA72" i="14"/>
  <c r="X75" i="14"/>
  <c r="U78" i="14"/>
  <c r="X79" i="14"/>
  <c r="U82" i="14"/>
  <c r="AA84" i="14"/>
  <c r="X87" i="14"/>
  <c r="Y4" i="14"/>
  <c r="AB34" i="14"/>
  <c r="AB46" i="14"/>
  <c r="AB70" i="14"/>
  <c r="AB10" i="14"/>
  <c r="V65" i="14"/>
  <c r="S76" i="14"/>
  <c r="Y78" i="14"/>
  <c r="V81" i="14"/>
  <c r="S84" i="14"/>
  <c r="Y86" i="14"/>
  <c r="V89" i="14"/>
  <c r="AB26" i="14"/>
  <c r="AB50" i="14"/>
  <c r="AB14" i="14"/>
  <c r="X14" i="14"/>
  <c r="W29" i="14"/>
  <c r="Z34" i="14"/>
  <c r="W37" i="14"/>
  <c r="T40" i="14"/>
  <c r="T44" i="14"/>
  <c r="T48" i="14"/>
  <c r="Z58" i="14"/>
  <c r="W61" i="14"/>
  <c r="Z66" i="14"/>
  <c r="Z78" i="14"/>
  <c r="Q15" i="14"/>
  <c r="Q30" i="14"/>
  <c r="Q44" i="14"/>
  <c r="Q58" i="14"/>
  <c r="Q74" i="14"/>
  <c r="Q88" i="14"/>
  <c r="R12" i="14"/>
  <c r="R26" i="14"/>
  <c r="R40" i="14"/>
  <c r="R56" i="14"/>
  <c r="R70" i="14"/>
  <c r="R84" i="14"/>
  <c r="AA5" i="14"/>
  <c r="W7" i="14"/>
  <c r="U9" i="14"/>
  <c r="Z10" i="14"/>
  <c r="V12" i="14"/>
  <c r="AA13" i="14"/>
  <c r="V15" i="14"/>
  <c r="Z16" i="14"/>
  <c r="U18" i="14"/>
  <c r="X19" i="14"/>
  <c r="AA20" i="14"/>
  <c r="U22" i="14"/>
  <c r="X23" i="14"/>
  <c r="AA24" i="14"/>
  <c r="U26" i="14"/>
  <c r="X27" i="14"/>
  <c r="AA28" i="14"/>
  <c r="U30" i="14"/>
  <c r="X31" i="14"/>
  <c r="AA32" i="14"/>
  <c r="U34" i="14"/>
  <c r="X35" i="14"/>
  <c r="U38" i="14"/>
  <c r="X39" i="14"/>
  <c r="AA40" i="14"/>
  <c r="U42" i="14"/>
  <c r="X43" i="14"/>
  <c r="AA44" i="14"/>
  <c r="U46" i="14"/>
  <c r="X47" i="14"/>
  <c r="AA48" i="14"/>
  <c r="X51" i="14"/>
  <c r="U54" i="14"/>
  <c r="X55" i="14"/>
  <c r="U58" i="14"/>
  <c r="AA60" i="14"/>
  <c r="X63" i="14"/>
  <c r="U66" i="14"/>
  <c r="AA68" i="14"/>
  <c r="X71" i="14"/>
  <c r="U74" i="14"/>
  <c r="AA76" i="14"/>
  <c r="AA80" i="14"/>
  <c r="X83" i="14"/>
  <c r="U86" i="14"/>
  <c r="AA88" i="14"/>
  <c r="AB22" i="14"/>
  <c r="AB58" i="14"/>
  <c r="AB82" i="14"/>
  <c r="Y66" i="14"/>
  <c r="W25" i="14"/>
  <c r="W41" i="14"/>
  <c r="W45" i="14"/>
  <c r="W53" i="14"/>
  <c r="T60" i="14"/>
  <c r="Z62" i="14"/>
  <c r="T68" i="14"/>
  <c r="W77" i="14"/>
  <c r="T80" i="14"/>
  <c r="Z86" i="14"/>
  <c r="Q16" i="14"/>
  <c r="Q31" i="14"/>
  <c r="Q45" i="14"/>
  <c r="Q60" i="14"/>
  <c r="Q75" i="14"/>
  <c r="Q89" i="14"/>
  <c r="R13" i="14"/>
  <c r="R27" i="14"/>
  <c r="R42" i="14"/>
  <c r="R57" i="14"/>
  <c r="R71" i="14"/>
  <c r="R85" i="14"/>
  <c r="S6" i="14"/>
  <c r="Y7" i="14"/>
  <c r="V9" i="14"/>
  <c r="AA10" i="14"/>
  <c r="W12" i="14"/>
  <c r="S14" i="14"/>
  <c r="W15" i="14"/>
  <c r="S17" i="14"/>
  <c r="V18" i="14"/>
  <c r="Y19" i="14"/>
  <c r="S21" i="14"/>
  <c r="V22" i="14"/>
  <c r="Y23" i="14"/>
  <c r="S25" i="14"/>
  <c r="V26" i="14"/>
  <c r="Y27" i="14"/>
  <c r="S29" i="14"/>
  <c r="V30" i="14"/>
  <c r="Y31" i="14"/>
  <c r="S33" i="14"/>
  <c r="V34" i="14"/>
  <c r="Y35" i="14"/>
  <c r="S37" i="14"/>
  <c r="V38" i="14"/>
  <c r="Y39" i="14"/>
  <c r="S41" i="14"/>
  <c r="V42" i="14"/>
  <c r="Y43" i="14"/>
  <c r="S45" i="14"/>
  <c r="V46" i="14"/>
  <c r="Y47" i="14"/>
  <c r="S49" i="14"/>
  <c r="V50" i="14"/>
  <c r="Y51" i="14"/>
  <c r="S53" i="14"/>
  <c r="V54" i="14"/>
  <c r="Y55" i="14"/>
  <c r="S57" i="14"/>
  <c r="V58" i="14"/>
  <c r="Y59" i="14"/>
  <c r="S61" i="14"/>
  <c r="V62" i="14"/>
  <c r="Y63" i="14"/>
  <c r="S65" i="14"/>
  <c r="V66" i="14"/>
  <c r="Y67" i="14"/>
  <c r="S69" i="14"/>
  <c r="V70" i="14"/>
  <c r="Y71" i="14"/>
  <c r="S73" i="14"/>
  <c r="V74" i="14"/>
  <c r="Y75" i="14"/>
  <c r="S77" i="14"/>
  <c r="V78" i="14"/>
  <c r="Y79" i="14"/>
  <c r="S81" i="14"/>
  <c r="V82" i="14"/>
  <c r="Y83" i="14"/>
  <c r="S85" i="14"/>
  <c r="V86" i="14"/>
  <c r="Y87" i="14"/>
  <c r="S89" i="14"/>
  <c r="X4" i="14"/>
  <c r="AB23" i="14"/>
  <c r="AB35" i="14"/>
  <c r="AB47" i="14"/>
  <c r="AB59" i="14"/>
  <c r="AB71" i="14"/>
  <c r="AB83" i="14"/>
  <c r="AB11" i="14"/>
  <c r="S68" i="14"/>
  <c r="T32" i="14"/>
  <c r="W57" i="14"/>
  <c r="W65" i="14"/>
  <c r="T76" i="14"/>
  <c r="Q17" i="14"/>
  <c r="Q32" i="14"/>
  <c r="Q46" i="14"/>
  <c r="Q62" i="14"/>
  <c r="Q76" i="14"/>
  <c r="Q90" i="14"/>
  <c r="R14" i="14"/>
  <c r="R28" i="14"/>
  <c r="R44" i="14"/>
  <c r="R58" i="14"/>
  <c r="R72" i="14"/>
  <c r="R86" i="14"/>
  <c r="T6" i="14"/>
  <c r="AA7" i="14"/>
  <c r="W9" i="14"/>
  <c r="S11" i="14"/>
  <c r="X12" i="14"/>
  <c r="T14" i="14"/>
  <c r="Y15" i="14"/>
  <c r="T17" i="14"/>
  <c r="W18" i="14"/>
  <c r="Z19" i="14"/>
  <c r="T21" i="14"/>
  <c r="W22" i="14"/>
  <c r="Z23" i="14"/>
  <c r="T25" i="14"/>
  <c r="W26" i="14"/>
  <c r="Z27" i="14"/>
  <c r="T29" i="14"/>
  <c r="W30" i="14"/>
  <c r="Z31" i="14"/>
  <c r="T33" i="14"/>
  <c r="W34" i="14"/>
  <c r="Z35" i="14"/>
  <c r="T37" i="14"/>
  <c r="W38" i="14"/>
  <c r="Z39" i="14"/>
  <c r="T41" i="14"/>
  <c r="W42" i="14"/>
  <c r="Z43" i="14"/>
  <c r="T45" i="14"/>
  <c r="W46" i="14"/>
  <c r="Z47" i="14"/>
  <c r="T49" i="14"/>
  <c r="W50" i="14"/>
  <c r="Z51" i="14"/>
  <c r="T53" i="14"/>
  <c r="W54" i="14"/>
  <c r="Z55" i="14"/>
  <c r="T57" i="14"/>
  <c r="W58" i="14"/>
  <c r="Z59" i="14"/>
  <c r="T61" i="14"/>
  <c r="W62" i="14"/>
  <c r="Z63" i="14"/>
  <c r="T65" i="14"/>
  <c r="W66" i="14"/>
  <c r="Z67" i="14"/>
  <c r="T69" i="14"/>
  <c r="W70" i="14"/>
  <c r="Z71" i="14"/>
  <c r="T73" i="14"/>
  <c r="W74" i="14"/>
  <c r="Z75" i="14"/>
  <c r="T77" i="14"/>
  <c r="W78" i="14"/>
  <c r="Z79" i="14"/>
  <c r="T81" i="14"/>
  <c r="W82" i="14"/>
  <c r="Z83" i="14"/>
  <c r="T85" i="14"/>
  <c r="W86" i="14"/>
  <c r="Z87" i="14"/>
  <c r="T89" i="14"/>
  <c r="W4" i="14"/>
  <c r="AB24" i="14"/>
  <c r="AB36" i="14"/>
  <c r="AB48" i="14"/>
  <c r="AB60" i="14"/>
  <c r="AB72" i="14"/>
  <c r="AB84" i="14"/>
  <c r="AB12" i="14"/>
  <c r="Y62" i="14"/>
  <c r="AB62" i="14"/>
  <c r="W21" i="14"/>
  <c r="T52" i="14"/>
  <c r="W69" i="14"/>
  <c r="Q24" i="14"/>
  <c r="Q18" i="14"/>
  <c r="Q33" i="14"/>
  <c r="Q48" i="14"/>
  <c r="Q63" i="14"/>
  <c r="Q77" i="14"/>
  <c r="Q91" i="14"/>
  <c r="R15" i="14"/>
  <c r="R30" i="14"/>
  <c r="R45" i="14"/>
  <c r="R59" i="14"/>
  <c r="R73" i="14"/>
  <c r="R87" i="14"/>
  <c r="V6" i="14"/>
  <c r="S8" i="14"/>
  <c r="X9" i="14"/>
  <c r="T11" i="14"/>
  <c r="Y12" i="14"/>
  <c r="V14" i="14"/>
  <c r="Z15" i="14"/>
  <c r="U17" i="14"/>
  <c r="X18" i="14"/>
  <c r="AA19" i="14"/>
  <c r="U21" i="14"/>
  <c r="X22" i="14"/>
  <c r="AA23" i="14"/>
  <c r="U25" i="14"/>
  <c r="X26" i="14"/>
  <c r="AA27" i="14"/>
  <c r="U29" i="14"/>
  <c r="X30" i="14"/>
  <c r="AA31" i="14"/>
  <c r="U33" i="14"/>
  <c r="X34" i="14"/>
  <c r="AA35" i="14"/>
  <c r="U37" i="14"/>
  <c r="X38" i="14"/>
  <c r="AA39" i="14"/>
  <c r="U41" i="14"/>
  <c r="X42" i="14"/>
  <c r="AA43" i="14"/>
  <c r="U45" i="14"/>
  <c r="X46" i="14"/>
  <c r="AA47" i="14"/>
  <c r="U49" i="14"/>
  <c r="X50" i="14"/>
  <c r="AA51" i="14"/>
  <c r="U53" i="14"/>
  <c r="X54" i="14"/>
  <c r="AA55" i="14"/>
  <c r="U57" i="14"/>
  <c r="X58" i="14"/>
  <c r="AA59" i="14"/>
  <c r="U61" i="14"/>
  <c r="X62" i="14"/>
  <c r="AA63" i="14"/>
  <c r="U65" i="14"/>
  <c r="X66" i="14"/>
  <c r="AA67" i="14"/>
  <c r="U69" i="14"/>
  <c r="X70" i="14"/>
  <c r="AA71" i="14"/>
  <c r="U73" i="14"/>
  <c r="X74" i="14"/>
  <c r="AA75" i="14"/>
  <c r="U77" i="14"/>
  <c r="X78" i="14"/>
  <c r="AA79" i="14"/>
  <c r="U81" i="14"/>
  <c r="X82" i="14"/>
  <c r="AA83" i="14"/>
  <c r="U85" i="14"/>
  <c r="X86" i="14"/>
  <c r="AA87" i="14"/>
  <c r="U89" i="14"/>
  <c r="V4" i="14"/>
  <c r="AB25" i="14"/>
  <c r="AB37" i="14"/>
  <c r="AB49" i="14"/>
  <c r="AB61" i="14"/>
  <c r="AB73" i="14"/>
  <c r="AB85" i="14"/>
  <c r="AB13" i="14"/>
  <c r="S64" i="14"/>
  <c r="S88" i="14"/>
  <c r="AB74" i="14"/>
  <c r="W17" i="14"/>
  <c r="Z50" i="14"/>
  <c r="Z70" i="14"/>
  <c r="Q5" i="14"/>
  <c r="Q19" i="14"/>
  <c r="Q34" i="14"/>
  <c r="Q50" i="14"/>
  <c r="Q64" i="14"/>
  <c r="Q78" i="14"/>
  <c r="Q92" i="14"/>
  <c r="R16" i="14"/>
  <c r="R32" i="14"/>
  <c r="R46" i="14"/>
  <c r="R60" i="14"/>
  <c r="R74" i="14"/>
  <c r="R88" i="14"/>
  <c r="X6" i="14"/>
  <c r="T8" i="14"/>
  <c r="Y9" i="14"/>
  <c r="U11" i="14"/>
  <c r="Z12" i="14"/>
  <c r="W14" i="14"/>
  <c r="AA15" i="14"/>
  <c r="V17" i="14"/>
  <c r="Y18" i="14"/>
  <c r="S20" i="14"/>
  <c r="V21" i="14"/>
  <c r="Y22" i="14"/>
  <c r="S24" i="14"/>
  <c r="V25" i="14"/>
  <c r="Y26" i="14"/>
  <c r="S28" i="14"/>
  <c r="V29" i="14"/>
  <c r="Y30" i="14"/>
  <c r="S32" i="14"/>
  <c r="V33" i="14"/>
  <c r="Y34" i="14"/>
  <c r="S36" i="14"/>
  <c r="V37" i="14"/>
  <c r="Y38" i="14"/>
  <c r="S40" i="14"/>
  <c r="V41" i="14"/>
  <c r="Y42" i="14"/>
  <c r="S44" i="14"/>
  <c r="V45" i="14"/>
  <c r="Y46" i="14"/>
  <c r="S48" i="14"/>
  <c r="V49" i="14"/>
  <c r="Y50" i="14"/>
  <c r="S52" i="14"/>
  <c r="V53" i="14"/>
  <c r="Y54" i="14"/>
  <c r="S56" i="14"/>
  <c r="V57" i="14"/>
  <c r="Y58" i="14"/>
  <c r="S60" i="14"/>
  <c r="V61" i="14"/>
  <c r="V69" i="14"/>
  <c r="Y70" i="14"/>
  <c r="S72" i="14"/>
  <c r="V73" i="14"/>
  <c r="Y74" i="14"/>
  <c r="V77" i="14"/>
  <c r="S80" i="14"/>
  <c r="Y82" i="14"/>
  <c r="V85" i="14"/>
  <c r="U4" i="14"/>
  <c r="AB38" i="14"/>
  <c r="Z18" i="14"/>
  <c r="W49" i="14"/>
  <c r="T72" i="14"/>
  <c r="Q6" i="14"/>
  <c r="Q20" i="14"/>
  <c r="Q36" i="14"/>
  <c r="Q51" i="14"/>
  <c r="Q65" i="14"/>
  <c r="Q79" i="14"/>
  <c r="Q4" i="14"/>
  <c r="R18" i="14"/>
  <c r="R33" i="14"/>
  <c r="R47" i="14"/>
  <c r="R61" i="14"/>
  <c r="R75" i="14"/>
  <c r="S5" i="14"/>
  <c r="Y6" i="14"/>
  <c r="U8" i="14"/>
  <c r="Z9" i="14"/>
  <c r="V11" i="14"/>
  <c r="S13" i="14"/>
  <c r="S16" i="14"/>
  <c r="T20" i="14"/>
  <c r="T24" i="14"/>
  <c r="Z26" i="14"/>
  <c r="T28" i="14"/>
  <c r="Z30" i="14"/>
  <c r="W33" i="14"/>
  <c r="T36" i="14"/>
  <c r="Z38" i="14"/>
  <c r="Z42" i="14"/>
  <c r="Z46" i="14"/>
  <c r="Z54" i="14"/>
  <c r="T64" i="14"/>
  <c r="Z74" i="14"/>
  <c r="Q7" i="14"/>
  <c r="Q21" i="14"/>
  <c r="Q38" i="14"/>
  <c r="Q52" i="14"/>
  <c r="Q66" i="14"/>
  <c r="Q80" i="14"/>
  <c r="R4" i="14"/>
  <c r="R20" i="14"/>
  <c r="R34" i="14"/>
  <c r="R48" i="14"/>
  <c r="R62" i="14"/>
  <c r="R76" i="14"/>
  <c r="U5" i="14"/>
  <c r="Z6" i="14"/>
  <c r="V8" i="14"/>
  <c r="AA9" i="14"/>
  <c r="W11" i="14"/>
  <c r="U13" i="14"/>
  <c r="Y14" i="14"/>
  <c r="T16" i="14"/>
  <c r="X17" i="14"/>
  <c r="AA18" i="14"/>
  <c r="U20" i="14"/>
  <c r="X21" i="14"/>
  <c r="AA22" i="14"/>
  <c r="U24" i="14"/>
  <c r="X25" i="14"/>
  <c r="AA26" i="14"/>
  <c r="U28" i="14"/>
  <c r="X29" i="14"/>
  <c r="AA30" i="14"/>
  <c r="U32" i="14"/>
  <c r="X33" i="14"/>
  <c r="AA34" i="14"/>
  <c r="U36" i="14"/>
  <c r="X37" i="14"/>
  <c r="AA38" i="14"/>
  <c r="U40" i="14"/>
  <c r="X41" i="14"/>
  <c r="AA42" i="14"/>
  <c r="U44" i="14"/>
  <c r="X45" i="14"/>
  <c r="AA46" i="14"/>
  <c r="U48" i="14"/>
  <c r="X49" i="14"/>
  <c r="AA50" i="14"/>
  <c r="U52" i="14"/>
  <c r="X53" i="14"/>
  <c r="AA54" i="14"/>
  <c r="U56" i="14"/>
  <c r="X57" i="14"/>
  <c r="AA58" i="14"/>
  <c r="U60" i="14"/>
  <c r="X61" i="14"/>
  <c r="AA62" i="14"/>
  <c r="U64" i="14"/>
  <c r="X65" i="14"/>
  <c r="AA66" i="14"/>
  <c r="U68" i="14"/>
  <c r="X69" i="14"/>
  <c r="AA70" i="14"/>
  <c r="U72" i="14"/>
  <c r="X73" i="14"/>
  <c r="AA74" i="14"/>
  <c r="U76" i="14"/>
  <c r="X77" i="14"/>
  <c r="AA78" i="14"/>
  <c r="U80" i="14"/>
  <c r="X81" i="14"/>
  <c r="AA82" i="14"/>
  <c r="U84" i="14"/>
  <c r="X85" i="14"/>
  <c r="AA86" i="14"/>
  <c r="U88" i="14"/>
  <c r="X89" i="14"/>
  <c r="S4" i="14"/>
  <c r="AB28" i="14"/>
  <c r="AB40" i="14"/>
  <c r="AB52" i="14"/>
  <c r="AB64" i="14"/>
  <c r="AB76" i="14"/>
  <c r="AB88" i="14"/>
  <c r="AB16" i="14"/>
  <c r="Q40" i="14"/>
  <c r="R36" i="14"/>
  <c r="X8" i="14"/>
  <c r="Z17" i="14"/>
  <c r="Z25" i="14"/>
  <c r="Z33" i="14"/>
  <c r="Z41" i="14"/>
  <c r="Z49" i="14"/>
  <c r="T55" i="14"/>
  <c r="W60" i="14"/>
  <c r="Z65" i="14"/>
  <c r="T71" i="14"/>
  <c r="W76" i="14"/>
  <c r="Y81" i="14"/>
  <c r="Y85" i="14"/>
  <c r="Z89" i="14"/>
  <c r="AB42" i="14"/>
  <c r="AB78" i="14"/>
  <c r="Y41" i="14"/>
  <c r="Q53" i="14"/>
  <c r="R49" i="14"/>
  <c r="S10" i="14"/>
  <c r="S19" i="14"/>
  <c r="S27" i="14"/>
  <c r="S35" i="14"/>
  <c r="S43" i="14"/>
  <c r="AA49" i="14"/>
  <c r="U55" i="14"/>
  <c r="X60" i="14"/>
  <c r="AA65" i="14"/>
  <c r="U71" i="14"/>
  <c r="X76" i="14"/>
  <c r="Z81" i="14"/>
  <c r="Z85" i="14"/>
  <c r="AA89" i="14"/>
  <c r="AB43" i="14"/>
  <c r="AB79" i="14"/>
  <c r="Q54" i="14"/>
  <c r="R50" i="14"/>
  <c r="T10" i="14"/>
  <c r="T19" i="14"/>
  <c r="T27" i="14"/>
  <c r="T35" i="14"/>
  <c r="T43" i="14"/>
  <c r="S51" i="14"/>
  <c r="V56" i="14"/>
  <c r="Y61" i="14"/>
  <c r="S67" i="14"/>
  <c r="V72" i="14"/>
  <c r="AA81" i="14"/>
  <c r="AA85" i="14"/>
  <c r="T4" i="14"/>
  <c r="AB51" i="14"/>
  <c r="AB87" i="14"/>
  <c r="Q67" i="14"/>
  <c r="Y11" i="14"/>
  <c r="V20" i="14"/>
  <c r="V28" i="14"/>
  <c r="V36" i="14"/>
  <c r="T51" i="14"/>
  <c r="W56" i="14"/>
  <c r="Z61" i="14"/>
  <c r="T67" i="14"/>
  <c r="W72" i="14"/>
  <c r="Z77" i="14"/>
  <c r="Z82" i="14"/>
  <c r="S87" i="14"/>
  <c r="AB17" i="14"/>
  <c r="AB53" i="14"/>
  <c r="W8" i="14"/>
  <c r="Y33" i="14"/>
  <c r="S55" i="14"/>
  <c r="V60" i="14"/>
  <c r="V76" i="14"/>
  <c r="Y89" i="14"/>
  <c r="Y77" i="14"/>
  <c r="V44" i="14"/>
  <c r="AB5" i="14"/>
  <c r="AB41" i="14"/>
  <c r="R63" i="14"/>
  <c r="Q39" i="14"/>
  <c r="Y49" i="14"/>
  <c r="S71" i="14"/>
  <c r="AB77" i="14"/>
  <c r="Q68" i="14"/>
  <c r="R64" i="14"/>
  <c r="AA11" i="14"/>
  <c r="W20" i="14"/>
  <c r="W28" i="14"/>
  <c r="W36" i="14"/>
  <c r="W44" i="14"/>
  <c r="U51" i="14"/>
  <c r="X56" i="14"/>
  <c r="AA61" i="14"/>
  <c r="U67" i="14"/>
  <c r="X72" i="14"/>
  <c r="AA77" i="14"/>
  <c r="S83" i="14"/>
  <c r="T87" i="14"/>
  <c r="AB18" i="14"/>
  <c r="AB54" i="14"/>
  <c r="AB6" i="14"/>
  <c r="Q81" i="14"/>
  <c r="V13" i="14"/>
  <c r="Y21" i="14"/>
  <c r="Y29" i="14"/>
  <c r="Y37" i="14"/>
  <c r="Y45" i="14"/>
  <c r="V52" i="14"/>
  <c r="Y57" i="14"/>
  <c r="S63" i="14"/>
  <c r="Y73" i="14"/>
  <c r="S79" i="14"/>
  <c r="T83" i="14"/>
  <c r="U87" i="14"/>
  <c r="AB19" i="14"/>
  <c r="AB55" i="14"/>
  <c r="Q82" i="14"/>
  <c r="W13" i="14"/>
  <c r="Z21" i="14"/>
  <c r="Z29" i="14"/>
  <c r="Z37" i="14"/>
  <c r="Z45" i="14"/>
  <c r="Z57" i="14"/>
  <c r="T63" i="14"/>
  <c r="W68" i="14"/>
  <c r="Z73" i="14"/>
  <c r="T79" i="14"/>
  <c r="U83" i="14"/>
  <c r="T88" i="14"/>
  <c r="AB27" i="14"/>
  <c r="AB63" i="14"/>
  <c r="AB15" i="14"/>
  <c r="AA57" i="14"/>
  <c r="AB29" i="14"/>
  <c r="R35" i="14"/>
  <c r="W81" i="14"/>
  <c r="R78" i="14"/>
  <c r="V68" i="14"/>
  <c r="AB7" i="14"/>
  <c r="W52" i="14"/>
  <c r="T84" i="14"/>
  <c r="Y17" i="14"/>
  <c r="R80" i="14"/>
  <c r="AB4" i="14"/>
  <c r="Y25" i="14"/>
  <c r="W85" i="14"/>
  <c r="Q8" i="14"/>
  <c r="R6" i="14"/>
  <c r="V5" i="14"/>
  <c r="Z14" i="14"/>
  <c r="S23" i="14"/>
  <c r="S31" i="14"/>
  <c r="S39" i="14"/>
  <c r="S47" i="14"/>
  <c r="X52" i="14"/>
  <c r="U63" i="14"/>
  <c r="X68" i="14"/>
  <c r="AA73" i="14"/>
  <c r="U79" i="14"/>
  <c r="V88" i="14"/>
  <c r="AB65" i="14"/>
  <c r="Q9" i="14"/>
  <c r="R8" i="14"/>
  <c r="W5" i="14"/>
  <c r="AA14" i="14"/>
  <c r="T23" i="14"/>
  <c r="T31" i="14"/>
  <c r="T39" i="14"/>
  <c r="T47" i="14"/>
  <c r="Y53" i="14"/>
  <c r="S59" i="14"/>
  <c r="V64" i="14"/>
  <c r="Y69" i="14"/>
  <c r="S75" i="14"/>
  <c r="V80" i="14"/>
  <c r="V84" i="14"/>
  <c r="W88" i="14"/>
  <c r="AB30" i="14"/>
  <c r="AB66" i="14"/>
  <c r="W32" i="14"/>
  <c r="AA69" i="14"/>
  <c r="X84" i="14"/>
  <c r="AB39" i="14"/>
  <c r="AB75" i="14"/>
  <c r="Q23" i="14"/>
  <c r="R21" i="14"/>
  <c r="AA6" i="14"/>
  <c r="U16" i="14"/>
  <c r="V24" i="14"/>
  <c r="V32" i="14"/>
  <c r="V40" i="14"/>
  <c r="V48" i="14"/>
  <c r="Z53" i="14"/>
  <c r="T59" i="14"/>
  <c r="W64" i="14"/>
  <c r="Z69" i="14"/>
  <c r="T75" i="14"/>
  <c r="W80" i="14"/>
  <c r="W84" i="14"/>
  <c r="X88" i="14"/>
  <c r="AB31" i="14"/>
  <c r="AB67" i="14"/>
  <c r="Q26" i="14"/>
  <c r="R22" i="14"/>
  <c r="S7" i="14"/>
  <c r="V16" i="14"/>
  <c r="W24" i="14"/>
  <c r="W40" i="14"/>
  <c r="W48" i="14"/>
  <c r="AA53" i="14"/>
  <c r="U59" i="14"/>
  <c r="X64" i="14"/>
  <c r="U75" i="14"/>
  <c r="X80" i="14"/>
  <c r="W89" i="14"/>
  <c r="Y65" i="14"/>
  <c r="H181" i="17" l="1"/>
  <c r="H73" i="17"/>
  <c r="H167" i="17"/>
  <c r="H59" i="17"/>
  <c r="H207" i="17"/>
  <c r="H99" i="17"/>
  <c r="H208" i="17"/>
  <c r="H100" i="17"/>
  <c r="H155" i="17"/>
  <c r="H47" i="17"/>
  <c r="H140" i="17"/>
  <c r="H32" i="17"/>
  <c r="H180" i="17"/>
  <c r="H72" i="17"/>
  <c r="H166" i="17"/>
  <c r="H58" i="17"/>
  <c r="H151" i="17"/>
  <c r="H152" i="17"/>
  <c r="H150" i="17"/>
  <c r="H153" i="17"/>
  <c r="H42" i="17"/>
  <c r="H44" i="17"/>
  <c r="H43" i="17"/>
  <c r="H45" i="17"/>
  <c r="H125" i="17"/>
  <c r="H126" i="17"/>
  <c r="H17" i="17"/>
  <c r="H18" i="17"/>
  <c r="P105" i="17"/>
  <c r="P213" i="17"/>
  <c r="O212" i="17"/>
  <c r="O104" i="17"/>
  <c r="M211" i="17"/>
  <c r="M103" i="17"/>
  <c r="J208" i="17"/>
  <c r="J100" i="17"/>
  <c r="T205" i="17"/>
  <c r="T97" i="17"/>
  <c r="S204" i="17"/>
  <c r="S96" i="17"/>
  <c r="P38" i="17"/>
  <c r="H205" i="17"/>
  <c r="H97" i="17"/>
  <c r="H179" i="17"/>
  <c r="H71" i="17"/>
  <c r="H165" i="17"/>
  <c r="H57" i="17"/>
  <c r="H149" i="17"/>
  <c r="H41" i="17"/>
  <c r="H139" i="17"/>
  <c r="H31" i="17"/>
  <c r="H124" i="17"/>
  <c r="H16" i="17"/>
  <c r="O213" i="17"/>
  <c r="O105" i="17"/>
  <c r="M212" i="17"/>
  <c r="M104" i="17"/>
  <c r="L211" i="17"/>
  <c r="L103" i="17"/>
  <c r="I208" i="17"/>
  <c r="I100" i="17"/>
  <c r="S205" i="17"/>
  <c r="S97" i="17"/>
  <c r="R96" i="17"/>
  <c r="R204" i="17"/>
  <c r="Q203" i="17"/>
  <c r="Q95" i="17"/>
  <c r="P202" i="17"/>
  <c r="P94" i="17"/>
  <c r="O201" i="17"/>
  <c r="U201" i="17" s="1"/>
  <c r="O93" i="17"/>
  <c r="M92" i="17"/>
  <c r="L199" i="17"/>
  <c r="L91" i="17"/>
  <c r="K90" i="17"/>
  <c r="K198" i="17"/>
  <c r="O188" i="17"/>
  <c r="O80" i="17"/>
  <c r="M187" i="17"/>
  <c r="M79" i="17"/>
  <c r="K185" i="17"/>
  <c r="K77" i="17"/>
  <c r="J183" i="17"/>
  <c r="J184" i="17"/>
  <c r="J75" i="17"/>
  <c r="S179" i="17"/>
  <c r="S71" i="17"/>
  <c r="R70" i="17"/>
  <c r="R178" i="17"/>
  <c r="Q177" i="17"/>
  <c r="Q69" i="17"/>
  <c r="O175" i="17"/>
  <c r="O67" i="17"/>
  <c r="O174" i="17"/>
  <c r="O66" i="17"/>
  <c r="M173" i="17"/>
  <c r="M65" i="17"/>
  <c r="L172" i="17"/>
  <c r="L64" i="17"/>
  <c r="K171" i="17"/>
  <c r="K63" i="17"/>
  <c r="J169" i="17"/>
  <c r="J62" i="17"/>
  <c r="T166" i="17"/>
  <c r="T58" i="17"/>
  <c r="S165" i="17"/>
  <c r="S57" i="17"/>
  <c r="R56" i="17"/>
  <c r="Q163" i="17"/>
  <c r="Q55" i="17"/>
  <c r="J156" i="17"/>
  <c r="J48" i="17"/>
  <c r="T151" i="17"/>
  <c r="T152" i="17"/>
  <c r="T150" i="17"/>
  <c r="T42" i="17"/>
  <c r="T44" i="17"/>
  <c r="T43" i="17"/>
  <c r="T45" i="17"/>
  <c r="T153" i="17"/>
  <c r="S149" i="17"/>
  <c r="S41" i="17"/>
  <c r="Q147" i="17"/>
  <c r="Q39" i="17"/>
  <c r="O145" i="17"/>
  <c r="O37" i="17"/>
  <c r="M144" i="17"/>
  <c r="M36" i="17"/>
  <c r="L143" i="17"/>
  <c r="L35" i="17"/>
  <c r="K142" i="17"/>
  <c r="K34" i="17"/>
  <c r="J141" i="17"/>
  <c r="J33" i="17"/>
  <c r="I32" i="17"/>
  <c r="I140" i="17"/>
  <c r="S31" i="17"/>
  <c r="R28" i="17"/>
  <c r="Q135" i="17"/>
  <c r="Q27" i="17"/>
  <c r="P134" i="17"/>
  <c r="P26" i="17"/>
  <c r="O133" i="17"/>
  <c r="O25" i="17"/>
  <c r="M132" i="17"/>
  <c r="M24" i="17"/>
  <c r="K130" i="17"/>
  <c r="K22" i="17"/>
  <c r="I20" i="17"/>
  <c r="I128" i="17"/>
  <c r="T18" i="17"/>
  <c r="T17" i="17"/>
  <c r="S16" i="17"/>
  <c r="S124" i="17"/>
  <c r="R123" i="17"/>
  <c r="R15" i="17"/>
  <c r="Q121" i="17"/>
  <c r="Q122" i="17"/>
  <c r="Q13" i="17"/>
  <c r="Q14" i="17"/>
  <c r="O119" i="17"/>
  <c r="O11" i="17"/>
  <c r="M118" i="17"/>
  <c r="M10" i="17"/>
  <c r="K116" i="17"/>
  <c r="K8" i="17"/>
  <c r="I47" i="17"/>
  <c r="H26" i="17"/>
  <c r="H204" i="17"/>
  <c r="H96" i="17"/>
  <c r="H178" i="17"/>
  <c r="H70" i="17"/>
  <c r="H164" i="17"/>
  <c r="H56" i="17"/>
  <c r="H136" i="17"/>
  <c r="H28" i="17"/>
  <c r="H123" i="17"/>
  <c r="H15" i="17"/>
  <c r="O115" i="17"/>
  <c r="O7" i="17"/>
  <c r="M213" i="17"/>
  <c r="M105" i="17"/>
  <c r="L212" i="17"/>
  <c r="L104" i="17"/>
  <c r="K103" i="17"/>
  <c r="K211" i="17"/>
  <c r="T207" i="17"/>
  <c r="T99" i="17"/>
  <c r="R205" i="17"/>
  <c r="R97" i="17"/>
  <c r="Q204" i="17"/>
  <c r="Q96" i="17"/>
  <c r="P95" i="17"/>
  <c r="P203" i="17"/>
  <c r="O202" i="17"/>
  <c r="O94" i="17"/>
  <c r="M93" i="17"/>
  <c r="L200" i="17"/>
  <c r="L92" i="17"/>
  <c r="K199" i="17"/>
  <c r="K91" i="17"/>
  <c r="J198" i="17"/>
  <c r="J90" i="17"/>
  <c r="L187" i="17"/>
  <c r="L79" i="17"/>
  <c r="J185" i="17"/>
  <c r="J77" i="17"/>
  <c r="I184" i="17"/>
  <c r="I75" i="17"/>
  <c r="T181" i="17"/>
  <c r="T73" i="17"/>
  <c r="S180" i="17"/>
  <c r="S72" i="17"/>
  <c r="R179" i="17"/>
  <c r="R71" i="17"/>
  <c r="Q178" i="17"/>
  <c r="Q70" i="17"/>
  <c r="P69" i="17"/>
  <c r="P177" i="17"/>
  <c r="O176" i="17"/>
  <c r="O68" i="17"/>
  <c r="M175" i="17"/>
  <c r="M174" i="17"/>
  <c r="M67" i="17"/>
  <c r="M66" i="17"/>
  <c r="L173" i="17"/>
  <c r="L65" i="17"/>
  <c r="K172" i="17"/>
  <c r="U172" i="17" s="1"/>
  <c r="K64" i="17"/>
  <c r="I169" i="17"/>
  <c r="I62" i="17"/>
  <c r="I170" i="17"/>
  <c r="T167" i="17"/>
  <c r="T59" i="17"/>
  <c r="S166" i="17"/>
  <c r="S58" i="17"/>
  <c r="R57" i="17"/>
  <c r="Q164" i="17"/>
  <c r="Q56" i="17"/>
  <c r="P163" i="17"/>
  <c r="P55" i="17"/>
  <c r="I156" i="17"/>
  <c r="I48" i="17"/>
  <c r="T154" i="17"/>
  <c r="T46" i="17"/>
  <c r="S152" i="17"/>
  <c r="S153" i="17"/>
  <c r="S150" i="17"/>
  <c r="S151" i="17"/>
  <c r="S42" i="17"/>
  <c r="S44" i="17"/>
  <c r="S43" i="17"/>
  <c r="S45" i="17"/>
  <c r="R149" i="17"/>
  <c r="R41" i="17"/>
  <c r="P147" i="17"/>
  <c r="P39" i="17"/>
  <c r="O146" i="17"/>
  <c r="O38" i="17"/>
  <c r="M145" i="17"/>
  <c r="M37" i="17"/>
  <c r="L144" i="17"/>
  <c r="L36" i="17"/>
  <c r="K143" i="17"/>
  <c r="K35" i="17"/>
  <c r="J142" i="17"/>
  <c r="J34" i="17"/>
  <c r="I141" i="17"/>
  <c r="I33" i="17"/>
  <c r="R31" i="17"/>
  <c r="Q136" i="17"/>
  <c r="Q28" i="17"/>
  <c r="P135" i="17"/>
  <c r="P27" i="17"/>
  <c r="O134" i="17"/>
  <c r="O26" i="17"/>
  <c r="M133" i="17"/>
  <c r="M25" i="17"/>
  <c r="L132" i="17"/>
  <c r="L24" i="17"/>
  <c r="K131" i="17"/>
  <c r="K23" i="17"/>
  <c r="J130" i="17"/>
  <c r="J22" i="17"/>
  <c r="T19" i="17"/>
  <c r="S18" i="17"/>
  <c r="S17" i="17"/>
  <c r="R16" i="17"/>
  <c r="R124" i="17"/>
  <c r="Q123" i="17"/>
  <c r="Q15" i="17"/>
  <c r="P121" i="17"/>
  <c r="P122" i="17"/>
  <c r="P13" i="17"/>
  <c r="P14" i="17"/>
  <c r="L118" i="17"/>
  <c r="L10" i="17"/>
  <c r="K117" i="17"/>
  <c r="K9" i="17"/>
  <c r="J116" i="17"/>
  <c r="J8" i="17"/>
  <c r="P176" i="17"/>
  <c r="H203" i="17"/>
  <c r="H95" i="17"/>
  <c r="H177" i="17"/>
  <c r="H69" i="17"/>
  <c r="H163" i="17"/>
  <c r="H55" i="17"/>
  <c r="H147" i="17"/>
  <c r="H39" i="17"/>
  <c r="H135" i="17"/>
  <c r="H27" i="17"/>
  <c r="H121" i="17"/>
  <c r="H122" i="17"/>
  <c r="H13" i="17"/>
  <c r="M115" i="17"/>
  <c r="M7" i="17"/>
  <c r="L213" i="17"/>
  <c r="L105" i="17"/>
  <c r="K212" i="17"/>
  <c r="K104" i="17"/>
  <c r="T208" i="17"/>
  <c r="T100" i="17"/>
  <c r="S207" i="17"/>
  <c r="S99" i="17"/>
  <c r="L23" i="17"/>
  <c r="T72" i="17"/>
  <c r="H115" i="17"/>
  <c r="H7" i="17"/>
  <c r="H202" i="17"/>
  <c r="H94" i="17"/>
  <c r="H176" i="17"/>
  <c r="H68" i="17"/>
  <c r="H146" i="17"/>
  <c r="H38" i="17"/>
  <c r="L115" i="17"/>
  <c r="L7" i="17"/>
  <c r="J105" i="17"/>
  <c r="J21" i="17"/>
  <c r="H213" i="17"/>
  <c r="H105" i="17"/>
  <c r="H93" i="17"/>
  <c r="H188" i="17"/>
  <c r="H80" i="17"/>
  <c r="H175" i="17"/>
  <c r="H174" i="17"/>
  <c r="H66" i="17"/>
  <c r="H67" i="17"/>
  <c r="H145" i="17"/>
  <c r="H37" i="17"/>
  <c r="H133" i="17"/>
  <c r="H25" i="17"/>
  <c r="H119" i="17"/>
  <c r="H11" i="17"/>
  <c r="K115" i="17"/>
  <c r="K7" i="17"/>
  <c r="I104" i="17"/>
  <c r="I212" i="17"/>
  <c r="I105" i="17"/>
  <c r="I21" i="17"/>
  <c r="I183" i="17"/>
  <c r="H104" i="17"/>
  <c r="H212" i="17"/>
  <c r="H200" i="17"/>
  <c r="H92" i="17"/>
  <c r="H187" i="17"/>
  <c r="H79" i="17"/>
  <c r="H173" i="17"/>
  <c r="H65" i="17"/>
  <c r="H144" i="17"/>
  <c r="H36" i="17"/>
  <c r="H132" i="17"/>
  <c r="H24" i="17"/>
  <c r="H118" i="17"/>
  <c r="H10" i="17"/>
  <c r="J115" i="17"/>
  <c r="J7" i="17"/>
  <c r="Q208" i="17"/>
  <c r="Q100" i="17"/>
  <c r="P99" i="17"/>
  <c r="P207" i="17"/>
  <c r="J103" i="17"/>
  <c r="M11" i="17"/>
  <c r="L9" i="17"/>
  <c r="H198" i="17"/>
  <c r="H90" i="17"/>
  <c r="H185" i="17"/>
  <c r="H77" i="17"/>
  <c r="H63" i="17"/>
  <c r="H142" i="17"/>
  <c r="H34" i="17"/>
  <c r="H130" i="17"/>
  <c r="H22" i="17"/>
  <c r="H116" i="17"/>
  <c r="H8" i="17"/>
  <c r="T213" i="17"/>
  <c r="T105" i="17"/>
  <c r="S212" i="17"/>
  <c r="S104" i="17"/>
  <c r="J76" i="17"/>
  <c r="J63" i="17"/>
  <c r="I99" i="17"/>
  <c r="I76" i="17"/>
  <c r="Q7" i="17"/>
  <c r="J170" i="17"/>
  <c r="R72" i="17"/>
  <c r="R180" i="17"/>
  <c r="O177" i="17"/>
  <c r="O69" i="17"/>
  <c r="L174" i="17"/>
  <c r="L175" i="17"/>
  <c r="R58" i="17"/>
  <c r="R166" i="17"/>
  <c r="Q165" i="17"/>
  <c r="Q57" i="17"/>
  <c r="O163" i="17"/>
  <c r="O55" i="17"/>
  <c r="T155" i="17"/>
  <c r="T47" i="17"/>
  <c r="S46" i="17"/>
  <c r="S154" i="17"/>
  <c r="R152" i="17"/>
  <c r="R153" i="17"/>
  <c r="R150" i="17"/>
  <c r="R151" i="17"/>
  <c r="R42" i="17"/>
  <c r="R44" i="17"/>
  <c r="R43" i="17"/>
  <c r="R45" i="17"/>
  <c r="O147" i="17"/>
  <c r="O39" i="17"/>
  <c r="I142" i="17"/>
  <c r="I34" i="17"/>
  <c r="T140" i="17"/>
  <c r="T32" i="17"/>
  <c r="Q139" i="17"/>
  <c r="Q31" i="17"/>
  <c r="O135" i="17"/>
  <c r="O27" i="17"/>
  <c r="I130" i="17"/>
  <c r="I22" i="17"/>
  <c r="T128" i="17"/>
  <c r="T20" i="17"/>
  <c r="S127" i="17"/>
  <c r="S19" i="17"/>
  <c r="R125" i="17"/>
  <c r="R126" i="17"/>
  <c r="R18" i="17"/>
  <c r="R17" i="17"/>
  <c r="P123" i="17"/>
  <c r="P15" i="17"/>
  <c r="O121" i="17"/>
  <c r="O122" i="17"/>
  <c r="O13" i="17"/>
  <c r="O14" i="17"/>
  <c r="I116" i="17"/>
  <c r="I8" i="17"/>
  <c r="H103" i="17"/>
  <c r="H91" i="17"/>
  <c r="H35" i="17"/>
  <c r="L32" i="17"/>
  <c r="J28" i="17"/>
  <c r="J23" i="17"/>
  <c r="H21" i="17"/>
  <c r="J16" i="17"/>
  <c r="L11" i="17"/>
  <c r="I9" i="17"/>
  <c r="R103" i="17"/>
  <c r="O99" i="17"/>
  <c r="T96" i="17"/>
  <c r="Q94" i="17"/>
  <c r="O92" i="17"/>
  <c r="R79" i="17"/>
  <c r="O76" i="17"/>
  <c r="S69" i="17"/>
  <c r="S59" i="17"/>
  <c r="P36" i="17"/>
  <c r="P22" i="17"/>
  <c r="P199" i="17"/>
  <c r="K188" i="17"/>
  <c r="M176" i="17"/>
  <c r="T184" i="17"/>
  <c r="T183" i="17"/>
  <c r="K174" i="17"/>
  <c r="K175" i="17"/>
  <c r="T169" i="17"/>
  <c r="T170" i="17"/>
  <c r="T62" i="17"/>
  <c r="T61" i="17"/>
  <c r="R167" i="17"/>
  <c r="R59" i="17"/>
  <c r="P165" i="17"/>
  <c r="P57" i="17"/>
  <c r="O164" i="17"/>
  <c r="O56" i="17"/>
  <c r="T156" i="17"/>
  <c r="T48" i="17"/>
  <c r="S155" i="17"/>
  <c r="S47" i="17"/>
  <c r="R46" i="17"/>
  <c r="R154" i="17"/>
  <c r="Q153" i="17"/>
  <c r="Q150" i="17"/>
  <c r="Q151" i="17"/>
  <c r="Q152" i="17"/>
  <c r="Q43" i="17"/>
  <c r="Q45" i="17"/>
  <c r="P41" i="17"/>
  <c r="P149" i="17"/>
  <c r="T33" i="17"/>
  <c r="T141" i="17"/>
  <c r="S140" i="17"/>
  <c r="S32" i="17"/>
  <c r="P139" i="17"/>
  <c r="P31" i="17"/>
  <c r="O136" i="17"/>
  <c r="O28" i="17"/>
  <c r="K25" i="17"/>
  <c r="K133" i="17"/>
  <c r="T21" i="17"/>
  <c r="T129" i="17"/>
  <c r="S128" i="17"/>
  <c r="S20" i="17"/>
  <c r="R127" i="17"/>
  <c r="R19" i="17"/>
  <c r="Q126" i="17"/>
  <c r="Q17" i="17"/>
  <c r="Q125" i="17"/>
  <c r="O123" i="17"/>
  <c r="O15" i="17"/>
  <c r="M121" i="17"/>
  <c r="M122" i="17"/>
  <c r="K119" i="17"/>
  <c r="K11" i="17"/>
  <c r="M100" i="17"/>
  <c r="M96" i="17"/>
  <c r="M94" i="17"/>
  <c r="M90" i="17"/>
  <c r="M77" i="17"/>
  <c r="M72" i="17"/>
  <c r="M70" i="17"/>
  <c r="M64" i="17"/>
  <c r="M58" i="17"/>
  <c r="M56" i="17"/>
  <c r="M48" i="17"/>
  <c r="M46" i="17"/>
  <c r="M44" i="17"/>
  <c r="M38" i="17"/>
  <c r="M34" i="17"/>
  <c r="K32" i="17"/>
  <c r="L25" i="17"/>
  <c r="I23" i="17"/>
  <c r="M20" i="17"/>
  <c r="J11" i="17"/>
  <c r="H9" i="17"/>
  <c r="S105" i="17"/>
  <c r="Q103" i="17"/>
  <c r="T91" i="17"/>
  <c r="Q79" i="17"/>
  <c r="T75" i="17"/>
  <c r="Q72" i="17"/>
  <c r="R69" i="17"/>
  <c r="Q42" i="17"/>
  <c r="Q34" i="17"/>
  <c r="Q20" i="17"/>
  <c r="I204" i="17"/>
  <c r="O179" i="17"/>
  <c r="O71" i="17"/>
  <c r="J174" i="17"/>
  <c r="J175" i="17"/>
  <c r="T63" i="17"/>
  <c r="S170" i="17"/>
  <c r="S169" i="17"/>
  <c r="Q167" i="17"/>
  <c r="Q59" i="17"/>
  <c r="O165" i="17"/>
  <c r="O57" i="17"/>
  <c r="S156" i="17"/>
  <c r="S48" i="17"/>
  <c r="R155" i="17"/>
  <c r="R47" i="17"/>
  <c r="P153" i="17"/>
  <c r="P150" i="17"/>
  <c r="P151" i="17"/>
  <c r="P152" i="17"/>
  <c r="P43" i="17"/>
  <c r="P45" i="17"/>
  <c r="O149" i="17"/>
  <c r="O41" i="17"/>
  <c r="T142" i="17"/>
  <c r="T34" i="17"/>
  <c r="S141" i="17"/>
  <c r="S33" i="17"/>
  <c r="R140" i="17"/>
  <c r="R32" i="17"/>
  <c r="O139" i="17"/>
  <c r="O31" i="17"/>
  <c r="I132" i="17"/>
  <c r="I24" i="17"/>
  <c r="T22" i="17"/>
  <c r="S129" i="17"/>
  <c r="S21" i="17"/>
  <c r="R128" i="17"/>
  <c r="R20" i="17"/>
  <c r="Q127" i="17"/>
  <c r="Q19" i="17"/>
  <c r="P126" i="17"/>
  <c r="P17" i="17"/>
  <c r="P125" i="17"/>
  <c r="O124" i="17"/>
  <c r="O16" i="17"/>
  <c r="L122" i="17"/>
  <c r="L121" i="17"/>
  <c r="I118" i="17"/>
  <c r="I10" i="17"/>
  <c r="T116" i="17"/>
  <c r="T8" i="17"/>
  <c r="L100" i="17"/>
  <c r="L96" i="17"/>
  <c r="L94" i="17"/>
  <c r="L90" i="17"/>
  <c r="L80" i="17"/>
  <c r="L77" i="17"/>
  <c r="L72" i="17"/>
  <c r="L70" i="17"/>
  <c r="L68" i="17"/>
  <c r="L66" i="17"/>
  <c r="L58" i="17"/>
  <c r="L56" i="17"/>
  <c r="L48" i="17"/>
  <c r="L46" i="17"/>
  <c r="L44" i="17"/>
  <c r="L38" i="17"/>
  <c r="L34" i="17"/>
  <c r="J32" i="17"/>
  <c r="M27" i="17"/>
  <c r="J25" i="17"/>
  <c r="H23" i="17"/>
  <c r="L20" i="17"/>
  <c r="J18" i="17"/>
  <c r="M15" i="17"/>
  <c r="J13" i="17"/>
  <c r="I11" i="17"/>
  <c r="M8" i="17"/>
  <c r="R105" i="17"/>
  <c r="O103" i="17"/>
  <c r="S91" i="17"/>
  <c r="O79" i="17"/>
  <c r="S75" i="17"/>
  <c r="P72" i="17"/>
  <c r="Q58" i="17"/>
  <c r="P42" i="17"/>
  <c r="P34" i="17"/>
  <c r="P20" i="17"/>
  <c r="R208" i="17"/>
  <c r="R75" i="17"/>
  <c r="R183" i="17"/>
  <c r="P181" i="17"/>
  <c r="P73" i="17"/>
  <c r="I174" i="17"/>
  <c r="I175" i="17"/>
  <c r="T172" i="17"/>
  <c r="T64" i="17"/>
  <c r="R170" i="17"/>
  <c r="R169" i="17"/>
  <c r="R62" i="17"/>
  <c r="O166" i="17"/>
  <c r="O58" i="17"/>
  <c r="R156" i="17"/>
  <c r="R48" i="17"/>
  <c r="Q155" i="17"/>
  <c r="Q47" i="17"/>
  <c r="O151" i="17"/>
  <c r="O152" i="17"/>
  <c r="O153" i="17"/>
  <c r="O150" i="17"/>
  <c r="O43" i="17"/>
  <c r="O45" i="17"/>
  <c r="O42" i="17"/>
  <c r="O44" i="17"/>
  <c r="T143" i="17"/>
  <c r="T35" i="17"/>
  <c r="S142" i="17"/>
  <c r="S34" i="17"/>
  <c r="R141" i="17"/>
  <c r="R33" i="17"/>
  <c r="K135" i="17"/>
  <c r="K27" i="17"/>
  <c r="T23" i="17"/>
  <c r="S130" i="17"/>
  <c r="S22" i="17"/>
  <c r="R129" i="17"/>
  <c r="R21" i="17"/>
  <c r="P127" i="17"/>
  <c r="P19" i="17"/>
  <c r="O125" i="17"/>
  <c r="O126" i="17"/>
  <c r="O17" i="17"/>
  <c r="O18" i="17"/>
  <c r="K122" i="17"/>
  <c r="K13" i="17"/>
  <c r="K121" i="17"/>
  <c r="T117" i="17"/>
  <c r="T9" i="17"/>
  <c r="S116" i="17"/>
  <c r="S8" i="17"/>
  <c r="K100" i="17"/>
  <c r="K96" i="17"/>
  <c r="K94" i="17"/>
  <c r="K92" i="17"/>
  <c r="K75" i="17"/>
  <c r="K72" i="17"/>
  <c r="K70" i="17"/>
  <c r="K68" i="17"/>
  <c r="K66" i="17"/>
  <c r="K58" i="17"/>
  <c r="K56" i="17"/>
  <c r="K48" i="17"/>
  <c r="K46" i="17"/>
  <c r="K44" i="17"/>
  <c r="K38" i="17"/>
  <c r="K36" i="17"/>
  <c r="L27" i="17"/>
  <c r="I25" i="17"/>
  <c r="M22" i="17"/>
  <c r="K20" i="17"/>
  <c r="L15" i="17"/>
  <c r="L8" i="17"/>
  <c r="Q105" i="17"/>
  <c r="P96" i="17"/>
  <c r="T93" i="17"/>
  <c r="T77" i="17"/>
  <c r="O72" i="17"/>
  <c r="T68" i="17"/>
  <c r="S65" i="17"/>
  <c r="S61" i="17"/>
  <c r="P58" i="17"/>
  <c r="Q32" i="17"/>
  <c r="Q18" i="17"/>
  <c r="Q10" i="17"/>
  <c r="P208" i="17"/>
  <c r="I198" i="17"/>
  <c r="R90" i="17"/>
  <c r="R198" i="17"/>
  <c r="R77" i="17"/>
  <c r="R185" i="17"/>
  <c r="Q183" i="17"/>
  <c r="Q184" i="17"/>
  <c r="T173" i="17"/>
  <c r="T65" i="17"/>
  <c r="Q169" i="17"/>
  <c r="Q170" i="17"/>
  <c r="O167" i="17"/>
  <c r="O59" i="17"/>
  <c r="P155" i="17"/>
  <c r="P47" i="17"/>
  <c r="O154" i="17"/>
  <c r="O46" i="17"/>
  <c r="M151" i="17"/>
  <c r="M152" i="17"/>
  <c r="M153" i="17"/>
  <c r="M150" i="17"/>
  <c r="T144" i="17"/>
  <c r="T36" i="17"/>
  <c r="S143" i="17"/>
  <c r="S35" i="17"/>
  <c r="R142" i="17"/>
  <c r="R34" i="17"/>
  <c r="Q141" i="17"/>
  <c r="Q33" i="17"/>
  <c r="I134" i="17"/>
  <c r="I26" i="17"/>
  <c r="T24" i="17"/>
  <c r="S131" i="17"/>
  <c r="S23" i="17"/>
  <c r="R130" i="17"/>
  <c r="R22" i="17"/>
  <c r="Q129" i="17"/>
  <c r="Q21" i="17"/>
  <c r="O127" i="17"/>
  <c r="O19" i="17"/>
  <c r="K123" i="17"/>
  <c r="K15" i="17"/>
  <c r="T118" i="17"/>
  <c r="T10" i="17"/>
  <c r="S117" i="17"/>
  <c r="S9" i="17"/>
  <c r="R116" i="17"/>
  <c r="R8" i="17"/>
  <c r="J104" i="17"/>
  <c r="J96" i="17"/>
  <c r="J94" i="17"/>
  <c r="J92" i="17"/>
  <c r="J80" i="17"/>
  <c r="J72" i="17"/>
  <c r="J70" i="17"/>
  <c r="J68" i="17"/>
  <c r="J66" i="17"/>
  <c r="J64" i="17"/>
  <c r="J58" i="17"/>
  <c r="J56" i="17"/>
  <c r="J46" i="17"/>
  <c r="J44" i="17"/>
  <c r="J38" i="17"/>
  <c r="J36" i="17"/>
  <c r="M31" i="17"/>
  <c r="J27" i="17"/>
  <c r="L22" i="17"/>
  <c r="J20" i="17"/>
  <c r="M17" i="17"/>
  <c r="J15" i="17"/>
  <c r="S100" i="17"/>
  <c r="O96" i="17"/>
  <c r="S93" i="17"/>
  <c r="Q91" i="17"/>
  <c r="S77" i="17"/>
  <c r="S68" i="17"/>
  <c r="R65" i="17"/>
  <c r="R61" i="17"/>
  <c r="S56" i="17"/>
  <c r="P32" i="17"/>
  <c r="P18" i="17"/>
  <c r="P10" i="17"/>
  <c r="R202" i="17"/>
  <c r="L145" i="17"/>
  <c r="P183" i="17"/>
  <c r="P76" i="17"/>
  <c r="P184" i="17"/>
  <c r="T175" i="17"/>
  <c r="T66" i="17"/>
  <c r="T67" i="17"/>
  <c r="P170" i="17"/>
  <c r="P61" i="17"/>
  <c r="P169" i="17"/>
  <c r="O155" i="17"/>
  <c r="O47" i="17"/>
  <c r="L150" i="17"/>
  <c r="L152" i="17"/>
  <c r="L153" i="17"/>
  <c r="L151" i="17"/>
  <c r="T145" i="17"/>
  <c r="T37" i="17"/>
  <c r="S144" i="17"/>
  <c r="S36" i="17"/>
  <c r="R143" i="17"/>
  <c r="R35" i="17"/>
  <c r="P141" i="17"/>
  <c r="P33" i="17"/>
  <c r="O140" i="17"/>
  <c r="O32" i="17"/>
  <c r="K31" i="17"/>
  <c r="K139" i="17"/>
  <c r="T133" i="17"/>
  <c r="T25" i="17"/>
  <c r="S132" i="17"/>
  <c r="S24" i="17"/>
  <c r="R131" i="17"/>
  <c r="R23" i="17"/>
  <c r="P129" i="17"/>
  <c r="P21" i="17"/>
  <c r="O128" i="17"/>
  <c r="O20" i="17"/>
  <c r="L125" i="17"/>
  <c r="L126" i="17"/>
  <c r="I121" i="17"/>
  <c r="I14" i="17"/>
  <c r="T119" i="17"/>
  <c r="T11" i="17"/>
  <c r="S118" i="17"/>
  <c r="S10" i="17"/>
  <c r="R117" i="17"/>
  <c r="R9" i="17"/>
  <c r="I94" i="17"/>
  <c r="I92" i="17"/>
  <c r="I80" i="17"/>
  <c r="I77" i="17"/>
  <c r="I72" i="17"/>
  <c r="I70" i="17"/>
  <c r="I68" i="17"/>
  <c r="I66" i="17"/>
  <c r="I64" i="17"/>
  <c r="I58" i="17"/>
  <c r="I56" i="17"/>
  <c r="I46" i="17"/>
  <c r="I44" i="17"/>
  <c r="I38" i="17"/>
  <c r="I36" i="17"/>
  <c r="L31" i="17"/>
  <c r="I27" i="17"/>
  <c r="H20" i="17"/>
  <c r="L17" i="17"/>
  <c r="I15" i="17"/>
  <c r="T104" i="17"/>
  <c r="T95" i="17"/>
  <c r="R93" i="17"/>
  <c r="O91" i="17"/>
  <c r="T80" i="17"/>
  <c r="Q77" i="17"/>
  <c r="Q68" i="17"/>
  <c r="Q65" i="17"/>
  <c r="Q61" i="17"/>
  <c r="Q16" i="17"/>
  <c r="Q8" i="17"/>
  <c r="Q179" i="17"/>
  <c r="P167" i="17"/>
  <c r="M126" i="17"/>
  <c r="R118" i="17"/>
  <c r="H184" i="17"/>
  <c r="H183" i="17"/>
  <c r="R104" i="17"/>
  <c r="R212" i="17"/>
  <c r="R92" i="17"/>
  <c r="R200" i="17"/>
  <c r="O184" i="17"/>
  <c r="O183" i="17"/>
  <c r="S174" i="17"/>
  <c r="S175" i="17"/>
  <c r="P171" i="17"/>
  <c r="P63" i="17"/>
  <c r="O169" i="17"/>
  <c r="O170" i="17"/>
  <c r="O61" i="17"/>
  <c r="O62" i="17"/>
  <c r="O156" i="17"/>
  <c r="O48" i="17"/>
  <c r="K150" i="17"/>
  <c r="K152" i="17"/>
  <c r="K153" i="17"/>
  <c r="K151" i="17"/>
  <c r="T146" i="17"/>
  <c r="T38" i="17"/>
  <c r="S145" i="17"/>
  <c r="S37" i="17"/>
  <c r="R144" i="17"/>
  <c r="R36" i="17"/>
  <c r="Q143" i="17"/>
  <c r="Q35" i="17"/>
  <c r="O141" i="17"/>
  <c r="O33" i="17"/>
  <c r="I136" i="17"/>
  <c r="I28" i="17"/>
  <c r="T134" i="17"/>
  <c r="T26" i="17"/>
  <c r="S133" i="17"/>
  <c r="S25" i="17"/>
  <c r="R132" i="17"/>
  <c r="R24" i="17"/>
  <c r="Q131" i="17"/>
  <c r="Q23" i="17"/>
  <c r="O129" i="17"/>
  <c r="O21" i="17"/>
  <c r="K125" i="17"/>
  <c r="K126" i="17"/>
  <c r="K17" i="17"/>
  <c r="S119" i="17"/>
  <c r="S11" i="17"/>
  <c r="Q117" i="17"/>
  <c r="Q9" i="17"/>
  <c r="I7" i="17"/>
  <c r="H75" i="17"/>
  <c r="H64" i="17"/>
  <c r="H62" i="17"/>
  <c r="H48" i="17"/>
  <c r="H46" i="17"/>
  <c r="M33" i="17"/>
  <c r="J31" i="17"/>
  <c r="M19" i="17"/>
  <c r="K10" i="17"/>
  <c r="S95" i="17"/>
  <c r="Q93" i="17"/>
  <c r="T90" i="17"/>
  <c r="S80" i="17"/>
  <c r="P77" i="17"/>
  <c r="S64" i="17"/>
  <c r="P56" i="17"/>
  <c r="P28" i="17"/>
  <c r="P16" i="17"/>
  <c r="P8" i="17"/>
  <c r="M207" i="17"/>
  <c r="S184" i="17"/>
  <c r="P179" i="17"/>
  <c r="S115" i="17"/>
  <c r="S7" i="17"/>
  <c r="P211" i="17"/>
  <c r="P103" i="17"/>
  <c r="R80" i="17"/>
  <c r="R188" i="17"/>
  <c r="M183" i="17"/>
  <c r="M184" i="17"/>
  <c r="T177" i="17"/>
  <c r="T69" i="17"/>
  <c r="R66" i="17"/>
  <c r="R175" i="17"/>
  <c r="O171" i="17"/>
  <c r="O63" i="17"/>
  <c r="M170" i="17"/>
  <c r="M169" i="17"/>
  <c r="T55" i="17"/>
  <c r="J150" i="17"/>
  <c r="J151" i="17"/>
  <c r="J153" i="17"/>
  <c r="J152" i="17"/>
  <c r="T147" i="17"/>
  <c r="T39" i="17"/>
  <c r="S146" i="17"/>
  <c r="S38" i="17"/>
  <c r="R145" i="17"/>
  <c r="R37" i="17"/>
  <c r="P143" i="17"/>
  <c r="P35" i="17"/>
  <c r="O142" i="17"/>
  <c r="O34" i="17"/>
  <c r="T135" i="17"/>
  <c r="T27" i="17"/>
  <c r="S134" i="17"/>
  <c r="S26" i="17"/>
  <c r="R133" i="17"/>
  <c r="R25" i="17"/>
  <c r="P131" i="17"/>
  <c r="P23" i="17"/>
  <c r="O130" i="17"/>
  <c r="O22" i="17"/>
  <c r="K19" i="17"/>
  <c r="K127" i="17"/>
  <c r="J126" i="17"/>
  <c r="J125" i="17"/>
  <c r="I124" i="17"/>
  <c r="I16" i="17"/>
  <c r="T121" i="17"/>
  <c r="T122" i="17"/>
  <c r="T14" i="17"/>
  <c r="T13" i="17"/>
  <c r="R119" i="17"/>
  <c r="R11" i="17"/>
  <c r="P117" i="17"/>
  <c r="P9" i="17"/>
  <c r="O116" i="17"/>
  <c r="O8" i="17"/>
  <c r="M95" i="17"/>
  <c r="M91" i="17"/>
  <c r="M76" i="17"/>
  <c r="M73" i="17"/>
  <c r="M71" i="17"/>
  <c r="M69" i="17"/>
  <c r="M63" i="17"/>
  <c r="M61" i="17"/>
  <c r="M59" i="17"/>
  <c r="M57" i="17"/>
  <c r="M55" i="17"/>
  <c r="M47" i="17"/>
  <c r="M45" i="17"/>
  <c r="M43" i="17"/>
  <c r="M41" i="17"/>
  <c r="M39" i="17"/>
  <c r="M35" i="17"/>
  <c r="L33" i="17"/>
  <c r="I31" i="17"/>
  <c r="M26" i="17"/>
  <c r="K24" i="17"/>
  <c r="L19" i="17"/>
  <c r="M14" i="17"/>
  <c r="J10" i="17"/>
  <c r="Q104" i="17"/>
  <c r="O100" i="17"/>
  <c r="R95" i="17"/>
  <c r="S90" i="17"/>
  <c r="Q80" i="17"/>
  <c r="O77" i="17"/>
  <c r="S73" i="17"/>
  <c r="T70" i="17"/>
  <c r="Q64" i="17"/>
  <c r="Q48" i="17"/>
  <c r="Q26" i="17"/>
  <c r="R184" i="17"/>
  <c r="P187" i="17"/>
  <c r="P79" i="17"/>
  <c r="L183" i="17"/>
  <c r="L184" i="17"/>
  <c r="R176" i="17"/>
  <c r="R68" i="17"/>
  <c r="Q174" i="17"/>
  <c r="Q175" i="17"/>
  <c r="P173" i="17"/>
  <c r="P65" i="17"/>
  <c r="O172" i="17"/>
  <c r="O64" i="17"/>
  <c r="L170" i="17"/>
  <c r="L169" i="17"/>
  <c r="T56" i="17"/>
  <c r="S163" i="17"/>
  <c r="S55" i="17"/>
  <c r="I150" i="17"/>
  <c r="I151" i="17"/>
  <c r="I153" i="17"/>
  <c r="I152" i="17"/>
  <c r="S147" i="17"/>
  <c r="S39" i="17"/>
  <c r="R146" i="17"/>
  <c r="R38" i="17"/>
  <c r="Q145" i="17"/>
  <c r="Q37" i="17"/>
  <c r="O143" i="17"/>
  <c r="O35" i="17"/>
  <c r="T136" i="17"/>
  <c r="T28" i="17"/>
  <c r="S135" i="17"/>
  <c r="S27" i="17"/>
  <c r="R26" i="17"/>
  <c r="Q133" i="17"/>
  <c r="Q25" i="17"/>
  <c r="O131" i="17"/>
  <c r="O23" i="17"/>
  <c r="I126" i="17"/>
  <c r="I125" i="17"/>
  <c r="I18" i="17"/>
  <c r="T15" i="17"/>
  <c r="S14" i="17"/>
  <c r="Q119" i="17"/>
  <c r="Q11" i="17"/>
  <c r="O117" i="17"/>
  <c r="O9" i="17"/>
  <c r="L99" i="17"/>
  <c r="L97" i="17"/>
  <c r="L95" i="17"/>
  <c r="L93" i="17"/>
  <c r="L76" i="17"/>
  <c r="L73" i="17"/>
  <c r="L71" i="17"/>
  <c r="L69" i="17"/>
  <c r="L67" i="17"/>
  <c r="L63" i="17"/>
  <c r="L61" i="17"/>
  <c r="L59" i="17"/>
  <c r="L57" i="17"/>
  <c r="L47" i="17"/>
  <c r="L45" i="17"/>
  <c r="L43" i="17"/>
  <c r="L41" i="17"/>
  <c r="L39" i="17"/>
  <c r="L26" i="17"/>
  <c r="J24" i="17"/>
  <c r="M21" i="17"/>
  <c r="J19" i="17"/>
  <c r="L14" i="17"/>
  <c r="T7" i="17"/>
  <c r="P104" i="17"/>
  <c r="T92" i="17"/>
  <c r="Q90" i="17"/>
  <c r="P80" i="17"/>
  <c r="T76" i="17"/>
  <c r="R73" i="17"/>
  <c r="S70" i="17"/>
  <c r="S67" i="17"/>
  <c r="P64" i="17"/>
  <c r="P48" i="17"/>
  <c r="R172" i="17"/>
  <c r="P201" i="17"/>
  <c r="P93" i="17"/>
  <c r="T179" i="17"/>
  <c r="T71" i="17"/>
  <c r="P175" i="17"/>
  <c r="P67" i="17"/>
  <c r="P174" i="17"/>
  <c r="O173" i="17"/>
  <c r="O65" i="17"/>
  <c r="K170" i="17"/>
  <c r="K169" i="17"/>
  <c r="T57" i="17"/>
  <c r="R55" i="17"/>
  <c r="T149" i="17"/>
  <c r="T41" i="17"/>
  <c r="R147" i="17"/>
  <c r="R39" i="17"/>
  <c r="P145" i="17"/>
  <c r="P37" i="17"/>
  <c r="O144" i="17"/>
  <c r="O36" i="17"/>
  <c r="K141" i="17"/>
  <c r="K33" i="17"/>
  <c r="T139" i="17"/>
  <c r="T31" i="17"/>
  <c r="S28" i="17"/>
  <c r="S136" i="17"/>
  <c r="R27" i="17"/>
  <c r="P133" i="17"/>
  <c r="P25" i="17"/>
  <c r="O132" i="17"/>
  <c r="O24" i="17"/>
  <c r="K129" i="17"/>
  <c r="K21" i="17"/>
  <c r="T16" i="17"/>
  <c r="S123" i="17"/>
  <c r="S15" i="17"/>
  <c r="R122" i="17"/>
  <c r="R121" i="17"/>
  <c r="R14" i="17"/>
  <c r="R13" i="17"/>
  <c r="P119" i="17"/>
  <c r="P11" i="17"/>
  <c r="O118" i="17"/>
  <c r="O10" i="17"/>
  <c r="K105" i="17"/>
  <c r="K99" i="17"/>
  <c r="K97" i="17"/>
  <c r="K95" i="17"/>
  <c r="K93" i="17"/>
  <c r="K79" i="17"/>
  <c r="K76" i="17"/>
  <c r="K73" i="17"/>
  <c r="K71" i="17"/>
  <c r="K69" i="17"/>
  <c r="K67" i="17"/>
  <c r="K65" i="17"/>
  <c r="K61" i="17"/>
  <c r="K59" i="17"/>
  <c r="K57" i="17"/>
  <c r="K47" i="17"/>
  <c r="K45" i="17"/>
  <c r="K43" i="17"/>
  <c r="K41" i="17"/>
  <c r="K39" i="17"/>
  <c r="K37" i="17"/>
  <c r="M28" i="17"/>
  <c r="K26" i="17"/>
  <c r="L21" i="17"/>
  <c r="I19" i="17"/>
  <c r="M16" i="17"/>
  <c r="K14" i="17"/>
  <c r="M9" i="17"/>
  <c r="R7" i="17"/>
  <c r="O95" i="17"/>
  <c r="S92" i="17"/>
  <c r="P90" i="17"/>
  <c r="S76" i="17"/>
  <c r="Q73" i="17"/>
  <c r="R67" i="17"/>
  <c r="S63" i="17"/>
  <c r="Q46" i="17"/>
  <c r="Q38" i="17"/>
  <c r="Q24" i="17"/>
  <c r="K183" i="17"/>
  <c r="T4" i="9"/>
  <c r="U4" i="9" s="1"/>
  <c r="U199" i="17" l="1"/>
  <c r="U131" i="17"/>
  <c r="U200" i="17"/>
  <c r="U170" i="17"/>
  <c r="U77" i="17"/>
  <c r="U61" i="17"/>
  <c r="U14" i="17"/>
  <c r="U92" i="17"/>
  <c r="U185" i="17"/>
  <c r="U128" i="17"/>
  <c r="U156" i="17"/>
  <c r="U134" i="17"/>
  <c r="T112" i="17"/>
  <c r="U163" i="17"/>
  <c r="U202" i="17"/>
  <c r="U204" i="17"/>
  <c r="U19" i="17"/>
  <c r="U42" i="17"/>
  <c r="U211" i="17"/>
  <c r="U33" i="17"/>
  <c r="I112" i="17"/>
  <c r="U179" i="17"/>
  <c r="U100" i="17"/>
  <c r="U117" i="17"/>
  <c r="U76" i="17"/>
  <c r="U143" i="17"/>
  <c r="U141" i="17"/>
  <c r="U25" i="17"/>
  <c r="U129" i="17"/>
  <c r="U154" i="17"/>
  <c r="P4" i="17"/>
  <c r="U127" i="17"/>
  <c r="R112" i="17"/>
  <c r="P112" i="17"/>
  <c r="Q112" i="17"/>
  <c r="U94" i="17"/>
  <c r="U105" i="17"/>
  <c r="U26" i="17"/>
  <c r="U97" i="17"/>
  <c r="U153" i="17"/>
  <c r="U183" i="17"/>
  <c r="U21" i="17"/>
  <c r="Q4" i="17"/>
  <c r="U90" i="17"/>
  <c r="U10" i="17"/>
  <c r="U212" i="17"/>
  <c r="U133" i="17"/>
  <c r="U213" i="17"/>
  <c r="U7" i="17"/>
  <c r="H4" i="17"/>
  <c r="M4" i="17"/>
  <c r="U177" i="17"/>
  <c r="O112" i="17"/>
  <c r="U205" i="17"/>
  <c r="U150" i="17"/>
  <c r="U208" i="17"/>
  <c r="U69" i="17"/>
  <c r="U46" i="17"/>
  <c r="U184" i="17"/>
  <c r="U198" i="17"/>
  <c r="U118" i="17"/>
  <c r="U104" i="17"/>
  <c r="U37" i="17"/>
  <c r="U115" i="17"/>
  <c r="H112" i="17"/>
  <c r="M112" i="17"/>
  <c r="U95" i="17"/>
  <c r="U15" i="17"/>
  <c r="U16" i="17"/>
  <c r="U152" i="17"/>
  <c r="U99" i="17"/>
  <c r="T4" i="17"/>
  <c r="U48" i="17"/>
  <c r="U8" i="17"/>
  <c r="U24" i="17"/>
  <c r="U145" i="17"/>
  <c r="U13" i="17"/>
  <c r="U203" i="17"/>
  <c r="U123" i="17"/>
  <c r="U124" i="17"/>
  <c r="U151" i="17"/>
  <c r="U207" i="17"/>
  <c r="U62" i="17"/>
  <c r="U116" i="17"/>
  <c r="U132" i="17"/>
  <c r="U67" i="17"/>
  <c r="L4" i="17"/>
  <c r="U122" i="17"/>
  <c r="U28" i="17"/>
  <c r="U31" i="17"/>
  <c r="U18" i="17"/>
  <c r="U58" i="17"/>
  <c r="U119" i="17"/>
  <c r="J112" i="17"/>
  <c r="U64" i="17"/>
  <c r="U23" i="17"/>
  <c r="U35" i="17"/>
  <c r="U22" i="17"/>
  <c r="U36" i="17"/>
  <c r="U66" i="17"/>
  <c r="L112" i="17"/>
  <c r="U121" i="17"/>
  <c r="U136" i="17"/>
  <c r="U139" i="17"/>
  <c r="U17" i="17"/>
  <c r="U166" i="17"/>
  <c r="O4" i="17"/>
  <c r="S4" i="17"/>
  <c r="U75" i="17"/>
  <c r="U9" i="17"/>
  <c r="U91" i="17"/>
  <c r="U130" i="17"/>
  <c r="U144" i="17"/>
  <c r="U174" i="17"/>
  <c r="U27" i="17"/>
  <c r="U56" i="17"/>
  <c r="U41" i="17"/>
  <c r="U126" i="17"/>
  <c r="U72" i="17"/>
  <c r="U59" i="17"/>
  <c r="S112" i="17"/>
  <c r="I4" i="17"/>
  <c r="U103" i="17"/>
  <c r="U34" i="17"/>
  <c r="U65" i="17"/>
  <c r="U175" i="17"/>
  <c r="U38" i="17"/>
  <c r="U135" i="17"/>
  <c r="U164" i="17"/>
  <c r="U149" i="17"/>
  <c r="U125" i="17"/>
  <c r="U180" i="17"/>
  <c r="U167" i="17"/>
  <c r="J4" i="17"/>
  <c r="U20" i="17"/>
  <c r="U142" i="17"/>
  <c r="U173" i="17"/>
  <c r="K4" i="17"/>
  <c r="U80" i="17"/>
  <c r="U146" i="17"/>
  <c r="U39" i="17"/>
  <c r="U70" i="17"/>
  <c r="U57" i="17"/>
  <c r="U45" i="17"/>
  <c r="U32" i="17"/>
  <c r="U73" i="17"/>
  <c r="U155" i="17"/>
  <c r="U169" i="17"/>
  <c r="U63" i="17"/>
  <c r="U79" i="17"/>
  <c r="K112" i="17"/>
  <c r="U188" i="17"/>
  <c r="U68" i="17"/>
  <c r="U147" i="17"/>
  <c r="U178" i="17"/>
  <c r="U165" i="17"/>
  <c r="U43" i="17"/>
  <c r="U140" i="17"/>
  <c r="U181" i="17"/>
  <c r="R4" i="17"/>
  <c r="U171" i="17"/>
  <c r="U187" i="17"/>
  <c r="U11" i="17"/>
  <c r="U93" i="17"/>
  <c r="U176" i="17"/>
  <c r="U55" i="17"/>
  <c r="U96" i="17"/>
  <c r="U71" i="17"/>
  <c r="U44" i="17"/>
  <c r="U47" i="17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M4" i="4"/>
  <c r="S4" i="4"/>
  <c r="T16" i="4"/>
  <c r="U16" i="4" s="1"/>
  <c r="U112" i="17" l="1"/>
  <c r="F12" i="13" s="1"/>
  <c r="U4" i="17"/>
  <c r="N4" i="4"/>
  <c r="I4" i="4"/>
  <c r="J4" i="4"/>
  <c r="K4" i="4"/>
  <c r="L4" i="4"/>
  <c r="Q4" i="4"/>
  <c r="R4" i="4"/>
  <c r="H4" i="4"/>
  <c r="C4" i="4"/>
  <c r="U4" i="4" l="1"/>
  <c r="P4" i="4"/>
  <c r="T4" i="4"/>
  <c r="O4" i="4"/>
  <c r="G4" i="4"/>
</calcChain>
</file>

<file path=xl/sharedStrings.xml><?xml version="1.0" encoding="utf-8"?>
<sst xmlns="http://schemas.openxmlformats.org/spreadsheetml/2006/main" count="10982" uniqueCount="2380">
  <si>
    <t>File Name</t>
  </si>
  <si>
    <t>Document Type</t>
  </si>
  <si>
    <t>Type Confidence</t>
  </si>
  <si>
    <t>Status</t>
  </si>
  <si>
    <t>Uploaded (UTC)</t>
  </si>
  <si>
    <t>File Size</t>
  </si>
  <si>
    <t>File Type</t>
  </si>
  <si>
    <t>Missing Fields</t>
  </si>
  <si>
    <t>Low Confidence Fields</t>
  </si>
  <si>
    <t>extracted</t>
  </si>
  <si>
    <t>application/pdf</t>
  </si>
  <si>
    <t>unclassified</t>
  </si>
  <si>
    <t>G3 Medical - per klant (Gelre) - 3504015927.pdf</t>
  </si>
  <si>
    <t>Essity BE - eerst ontvangstbevestiging - 2508010179.pdf</t>
  </si>
  <si>
    <t>Lyreco NL - nooit LT vermeld.pdf</t>
  </si>
  <si>
    <t>Medtronic NL - OB niet voor HL - rechtstreeks voor klant.PDF</t>
  </si>
  <si>
    <t>Essity BE - OB met prijzen - 2508010179.pdf</t>
  </si>
  <si>
    <t>Brocacef - per klant (Isala) - info update artikel besteld op andere PO - 3504015919.PDF</t>
  </si>
  <si>
    <t>Brocacef - per klant (Gelre) - info update artikel besteld op andere PO_3504015919.PDF</t>
  </si>
  <si>
    <t>Essity BE - OB zonder prijzen - 2508010179.pdf</t>
  </si>
  <si>
    <t>Cardinal Health BE - nooit LT vermeld.PDF</t>
  </si>
  <si>
    <t>G3 Medical - per klant (Isala) met afwijkende LT - 3504015927.pdf</t>
  </si>
  <si>
    <t>Essity NL - art lev niet exact - 2507016986.pdf</t>
  </si>
  <si>
    <t>B. Braun NL - bruto naar netto prijs.pdf</t>
  </si>
  <si>
    <t>Mediq - LT voor 1 artikel opgesplitst.PDF</t>
  </si>
  <si>
    <t>Becton Dickinson NL - verdere updates via link naar portaal.PDF</t>
  </si>
  <si>
    <t>King NL - extra info ivm verpakkingen.pdf</t>
  </si>
  <si>
    <t>Medica Europe - versie wijzigingen gemeld - SO-047958-MM575069.pdf</t>
  </si>
  <si>
    <t>Medline NL - verzenddatum - info BO met indicatie week ipv leverdatum.pdf</t>
  </si>
  <si>
    <t>Intersurgical - verzenddatum ipv leverdatum.PDF</t>
  </si>
  <si>
    <t>QRS - op klant - leverweek Gelre - 3504015936.pdf</t>
  </si>
  <si>
    <t>Medtronic NL - leverdatum later bevestigd.PDF</t>
  </si>
  <si>
    <t>QRS - op klant - leverweek Isala - 3504015936.pdf</t>
  </si>
  <si>
    <t>Configuration</t>
  </si>
  <si>
    <t>Classification</t>
  </si>
  <si>
    <t>Standard</t>
  </si>
  <si>
    <t>GPT-5 Nano</t>
  </si>
  <si>
    <t>GPT-5 Mini</t>
  </si>
  <si>
    <t>Hoover te voorzien</t>
  </si>
  <si>
    <t>Nuttig veld?</t>
  </si>
  <si>
    <t>Header</t>
  </si>
  <si>
    <t>Line item</t>
  </si>
  <si>
    <t>Customer</t>
  </si>
  <si>
    <t>Flow</t>
  </si>
  <si>
    <t>Recognised doc type</t>
  </si>
  <si>
    <t># Missing fields</t>
  </si>
  <si>
    <t>Supplier order nr</t>
  </si>
  <si>
    <t>PO nr</t>
  </si>
  <si>
    <t>Order Date</t>
  </si>
  <si>
    <t>Supplier Name</t>
  </si>
  <si>
    <t>Customer name</t>
  </si>
  <si>
    <t>Currency</t>
  </si>
  <si>
    <t>Line nr</t>
  </si>
  <si>
    <t>Part Nr</t>
  </si>
  <si>
    <t>Description</t>
  </si>
  <si>
    <t>Quantity</t>
  </si>
  <si>
    <t>UoM</t>
  </si>
  <si>
    <t>Unit Price</t>
  </si>
  <si>
    <t>Delivery Date</t>
  </si>
  <si>
    <t>Comments</t>
  </si>
  <si>
    <t>Acties</t>
  </si>
  <si>
    <t>Beslissing</t>
  </si>
  <si>
    <t>Uitzondering</t>
  </si>
  <si>
    <t>PO confirmation</t>
  </si>
  <si>
    <t>Order ontvangst bevestiging ipv order bevestiging - willen we deze verwerken? Geen prijzen en delivery date op document</t>
  </si>
  <si>
    <t>Geen UOM en delivery date op bevestiging</t>
  </si>
  <si>
    <t>OB niet voor PO van HL maar van klant dus PO nummer niet gevonden, customer name is ingevuld op het ziekenhuis</t>
  </si>
  <si>
    <t>Actie HL: opvoeden leverancier -&gt; OB is niet voor HL bestemd</t>
  </si>
  <si>
    <t>Leverdatum lijn 1 niet bevestigd dus is niet ingevuld</t>
  </si>
  <si>
    <t>Na te kijken - in dit voorbeeld worden de naleveringen wel meegenomen. Max 5-tal leveranciers die meerdere PO's op document meegeven</t>
  </si>
  <si>
    <t>Actie Flexso: meerdere PO's uit document uitlezen</t>
  </si>
  <si>
    <t>Geen prijzen op OB - leverdatum lijn 1 niet bevestigd dus is niet ingevuld</t>
  </si>
  <si>
    <t>Delivery date wordt ingevuld als "ongeveer 48-72 uur na bevestiging"</t>
  </si>
  <si>
    <t>Afstemmen met HL: wat wensen we hier te zien?</t>
  </si>
  <si>
    <t>Beslissing: altijd maximum / laatste datum meenemen, in dit geval 3dagen na OB documentdatum</t>
  </si>
  <si>
    <t>Afwijkende leverdatum wordt niet overgenomen, datum van header wordt op alle posities toegepast</t>
  </si>
  <si>
    <t>Actie Flexso: eerst de line item datum zoeken, dan aanvullen met header delivery date</t>
  </si>
  <si>
    <t>Prompting geoptimaliseerd: eerst line item delivery date voornemen, dan header delivery date invullen voor lijnen zonder leverdatum</t>
  </si>
  <si>
    <t>Art. Nr. Leverancier niet exact kunnen we voorlopig niet testen want geen referentie naar originele PO</t>
  </si>
  <si>
    <t>Bruto prijs wordt genomen, niet de netto prijs - wat willen we?</t>
  </si>
  <si>
    <t>Nettoprijs uit te lezen (prompting finetunen)</t>
  </si>
  <si>
    <t>Standaard</t>
  </si>
  <si>
    <t>Item wordt correct opgesplitst over 2 leverdagen</t>
  </si>
  <si>
    <t>Geen UOM op bevestiging</t>
  </si>
  <si>
    <t>Afstemmen met HL: wat wensen we hier te doen: HL UoM behouden?</t>
  </si>
  <si>
    <t>Aantallen automatisch nr SAP sturen + afwijkende hoeveelheid in cockpit bekijken (zie status 'to check') + UoM per leverancier aligneren (stuks &lt;-&gt; doos)</t>
  </si>
  <si>
    <t>Document type niet opgevangen - manueel aangepast, na verwerking OK</t>
  </si>
  <si>
    <t>Systeem geeft aan 7 missing fields maar alles ingevuld</t>
  </si>
  <si>
    <t>Actie Flexso: template te optimaliseren (7 missende velden zijn niet vereist voor extractie)</t>
  </si>
  <si>
    <t>Geen line number in bevestiging, willen we dan zelf nummer toevoegen obv volgorde? Delivery date is overgenomen als "week 8"</t>
  </si>
  <si>
    <t xml:space="preserve">Week 8 vertalen naar vrijdag van week 8 </t>
  </si>
  <si>
    <t>Akkoord: op vrijdag van week 8</t>
  </si>
  <si>
    <t>Item delivery date neemt tekst over "Wordt later bevestigd" willen we dit of veld leeg laten?</t>
  </si>
  <si>
    <t>Supplier order number &amp; purchase order number not recognised correctly - Delivery date is overgenomen als "Week 8"</t>
  </si>
  <si>
    <t xml:space="preserve">Dit is uitzonderingsscenario bij HL, maar ook voor backorders nuttig om meerdere PO's uit 1 doc te kunnen uitlezen. Line nr mag eruit. HL artikelnr ook niet nuttig, part nr = leveranciersartikelnr. Leveranciersartikelnr AB = / = AC, </t>
  </si>
  <si>
    <t>leveranciersartikelnr is identiek met of zonder streepje tussen</t>
  </si>
  <si>
    <t>Actie Flexso: leveranciersartikelnr is identiek met of zonder streepje tussen -&gt; prompting finetuning</t>
  </si>
  <si>
    <t xml:space="preserve">Dit is uitzonderingsscenario bij HL, maar ook voor backorders nuttig om meerdere PO's uit 1 doc te kunnen uitlezen. Line nr mag eruit. HL artikelnr ook niet nuttig, </t>
  </si>
  <si>
    <t>Actie Flexso: check op leveranciersartikelnr, vb AA =/= AB, AC, … AF … AP</t>
  </si>
  <si>
    <t>Actie Flexso: check op leveranciersartikelnr, vb AA =/= AB, AC, … AF … AP -&gt; prompting finetuning voor alle leveranciers</t>
  </si>
  <si>
    <t>Actie Flexso: tel 72u bij de OB datum en bereken de delivery date -&gt; prompting finetuning</t>
  </si>
  <si>
    <t>done, prompting optimized for delivery date calculation</t>
  </si>
  <si>
    <t>Vragen voor HL</t>
  </si>
  <si>
    <t>Provide UoMs</t>
  </si>
  <si>
    <t>Orderbevestiging C007-S2607619-1.pdf</t>
  </si>
  <si>
    <t>Verkooporder SO00454616 _ 3505026682.pdf</t>
  </si>
  <si>
    <t>2507017044 ESSITY Order Ontvangstbevestiging.pdf</t>
  </si>
  <si>
    <t>Lyreco orderbevestiging 167924591-16022026-0006.pdf</t>
  </si>
  <si>
    <t>Order bevestiging 26-02855.pdf</t>
  </si>
  <si>
    <t>Orderbevestiging_Orderacknowledgement_ 3505026688.pdf</t>
  </si>
  <si>
    <t>Order bevestiging 26-02818.pdf</t>
  </si>
  <si>
    <t>FW_ ORDERBEVESTIGING NL327171, Deb.nr. 110890HE,  Uw order_ 3507009725.pdf</t>
  </si>
  <si>
    <t>Verkooporder SO00454649 _ 3507009728.pdf</t>
  </si>
  <si>
    <t>Confirmation C007-S2607613-1.pdf</t>
  </si>
  <si>
    <t>RE_ FW_ Opvolging openstaande orders.pdf</t>
  </si>
  <si>
    <t>Verkooporder SO00454638 _ 3505026682.pdf</t>
  </si>
  <si>
    <t>Informatie betreffende een JAVA levering.pdf</t>
  </si>
  <si>
    <t>Teleflex Verzendnotificatie 8015531328.pdf</t>
  </si>
  <si>
    <t>Van Hoeckel leveringsinformatie.pdf</t>
  </si>
  <si>
    <t>JAVA leveringsinformatie.pdf</t>
  </si>
  <si>
    <t>Bevestiging bestelling  S09313437-1.pdf</t>
  </si>
  <si>
    <t>Betreft_ Overzicht van nog te leveren Vygon producten.pdf</t>
  </si>
  <si>
    <t>Orderbevestiging C007-S2607623-1.pdf</t>
  </si>
  <si>
    <t>Van Hoeckel orderinformatie.pdf</t>
  </si>
  <si>
    <t>HARTMANN_ ORDERBEVESTIGING0021752283.pdf</t>
  </si>
  <si>
    <t>Embal.bon_100726_Sligro_5061_klant_000142470.pdf</t>
  </si>
  <si>
    <t>Verkooporder SO00454632 _ 3505026682.pdf</t>
  </si>
  <si>
    <t>Lyreco orderbevestiging 167913009-16022026-0006.pdf</t>
  </si>
  <si>
    <t>3505026670 ESSITY Orderbevestiging.pdf</t>
  </si>
  <si>
    <t>2501209992 ESSITY Orderbevestiging.pdf</t>
  </si>
  <si>
    <t>Order bevestiging 26-02889.pdf</t>
  </si>
  <si>
    <t>Mediq orderbevestiging_ 1507018696.pdf</t>
  </si>
  <si>
    <t>_ Orderbevestiging 1501037327.pdf</t>
  </si>
  <si>
    <t>Hartmann _ Order bevestiging.pdf</t>
  </si>
  <si>
    <t>Confirmation Commande S09313483-1.pdf</t>
  </si>
  <si>
    <t>Orderbevestiging C007-S2607598-1.pdf</t>
  </si>
  <si>
    <t>2508010179 ESSITY Orderbevestiging.pdf</t>
  </si>
  <si>
    <t>Verkooporder SO00454639 _ 3505026682.pdf</t>
  </si>
  <si>
    <t>Re_ [EXTERNAL EMAIL] Order Hospital Logistics  3505026679.pdf</t>
  </si>
  <si>
    <t>_ Orderbevestiging 1505040022.pdf</t>
  </si>
  <si>
    <t>Uw orderinformatie (uw referentie_ 2505040801, Brocacef Ordernr_ TPV72495).pdf</t>
  </si>
  <si>
    <t>RE_ Verwachte LT.pdf</t>
  </si>
  <si>
    <t>BE356233 Order Hospital Logistics  1501037350.pdf</t>
  </si>
  <si>
    <t>_ Orderbevestiging 3505026677.pdf</t>
  </si>
  <si>
    <t>6507004827 ESSITY Order Ontvangstbevestiging.pdf</t>
  </si>
  <si>
    <t>Bevestiging bestelling  S09313444-1.pdf</t>
  </si>
  <si>
    <t>RE_ order 1501037263.pdf</t>
  </si>
  <si>
    <t>Lyreco orderbevestiging 167912161-16022026-0006.pdf</t>
  </si>
  <si>
    <t>HARTMANN_ ORDERBEVESTIGING0021752292.pdf</t>
  </si>
  <si>
    <t>Verkooporder SO00454642 _ 3505026682.pdf</t>
  </si>
  <si>
    <t>Re_ [EXTERNAL EMAIL] Order Hospital Logistics  1508015191.pdf</t>
  </si>
  <si>
    <t>Bevestiging bestelling  S09313926-1.pdf</t>
  </si>
  <si>
    <t>BD Order Acknowledgement for your purchase order with reference 3507009726.pdf</t>
  </si>
  <si>
    <t>ORDERBEVESTIGING 2364067490.pdf</t>
  </si>
  <si>
    <t>RE_ RE_ Teleflex Orderbevestiging 1504025864 and 13995843.pdf</t>
  </si>
  <si>
    <t>Re_ [EXTERNAL EMAIL] Order Hospital Logistics  3504015924.pdf</t>
  </si>
  <si>
    <t>ORDERBEVESTIGING 2364064918.pdf</t>
  </si>
  <si>
    <t>Verkooporder SO00454644 _ 3507009728.pdf</t>
  </si>
  <si>
    <t>Mediq orderbevestiging_ 3507009731.pdf</t>
  </si>
  <si>
    <t>6507004833 ESSITY Order Ontvangstbevestiging.pdf</t>
  </si>
  <si>
    <t>Orderbevestiging C007-S2607726-1.pdf</t>
  </si>
  <si>
    <t>_ Orderbevestiging 3504015911.pdf</t>
  </si>
  <si>
    <t>Medtronic - backorder report - Hospital Logistics.pdf</t>
  </si>
  <si>
    <t>6507004831 ESSITY Order Ontvangstbevestiging.pdf</t>
  </si>
  <si>
    <t>RE_ Verwachte leverdatum.pdf</t>
  </si>
  <si>
    <t>Verkooporder SO00454641 _ 3505026682.pdf</t>
  </si>
  <si>
    <t>3505026639 ESSITY Orderbevestiging.pdf</t>
  </si>
  <si>
    <t>3505026678 ESSITY Orderbevestiging.pdf</t>
  </si>
  <si>
    <t>Teleflex Verzendnotificatie 8015532636.pdf</t>
  </si>
  <si>
    <t>_ Orderbevestiging 1504026582.pdf</t>
  </si>
  <si>
    <t>2505040799 ESSITY Order Ontvangstbevestiging.pdf</t>
  </si>
  <si>
    <t>Bevestiging bestelling  S09313928-1.pdf</t>
  </si>
  <si>
    <t>BD Order Acknowledgement for your purchase order with reference 3504015923.pdf</t>
  </si>
  <si>
    <t>100142673 HL WZC Herinnering Sligro [#KM-6720322] [#RL-144746].pdf</t>
  </si>
  <si>
    <t>Verkooporder SO00454662 _ 3504015927.pdf</t>
  </si>
  <si>
    <t>Uw orderinformatie (uw referentie_ 1504026606, Brocacef Ordernr_ TPV72539).pdf</t>
  </si>
  <si>
    <t>HARTMANN_ ORDERBEVESTIGING0021752293.pdf</t>
  </si>
  <si>
    <t>Van Hoeckel order ontvangstbevestiging.pdf</t>
  </si>
  <si>
    <t>Verkooporder SO00454663 _ 3504015927.pdf</t>
  </si>
  <si>
    <t>Re_ [EXTERNAL EMAIL] Order Hospital Logistics  1507018691.pdf</t>
  </si>
  <si>
    <t>Uw orderbevestiging 60392040.pdf</t>
  </si>
  <si>
    <t>Bevestiging bestelling  S09313425-1.pdf</t>
  </si>
  <si>
    <t>Bevestiging bestelling  S09313481-1.pdf</t>
  </si>
  <si>
    <t>Orderbevestiging C007-S2607622-1.pdf</t>
  </si>
  <si>
    <t>Jouw Lyreco bestelling 1178683275 - 2505040761 is onderweg!.pdf</t>
  </si>
  <si>
    <t>BD Order Acknowledgement for your purchase order with reference 1505040027.pdf</t>
  </si>
  <si>
    <t>RE_ Opvolging openstaande orders.pdf</t>
  </si>
  <si>
    <t>Orderbevestiging C007-S2607720-1.pdf</t>
  </si>
  <si>
    <t>Orderbevestiging C007-S2607585-1.pdf</t>
  </si>
  <si>
    <t>Done, prompting optimized for line item priority in del. Date</t>
  </si>
  <si>
    <t>Done, prompting optimized in case of gross and net price</t>
  </si>
  <si>
    <t>Supplier Order Nr</t>
  </si>
  <si>
    <t>Article Number</t>
  </si>
  <si>
    <t>Confirmation Lines</t>
  </si>
  <si>
    <t>Avg</t>
  </si>
  <si>
    <t>Geen unit price op OB - Line 1: geen confirmed del date</t>
  </si>
  <si>
    <t>Vraag HL</t>
  </si>
  <si>
    <t>Wat willen we doen in geval niet confirmed?</t>
  </si>
  <si>
    <t>Zelfde OB als lijn 17 maar met prijzen - Line 1: geen confirmed del date</t>
  </si>
  <si>
    <t>Order ontvangst bevestiging =/= OB - Geen leverdatum</t>
  </si>
  <si>
    <t>Wat gaan we doen met order ontvangst bevestigingen?</t>
  </si>
  <si>
    <t>Geen UoM op OB</t>
  </si>
  <si>
    <t>Confirmeren op UoM in PO? To Check?</t>
  </si>
  <si>
    <t>Geen description &amp; UoM op OB</t>
  </si>
  <si>
    <t>Wat willen we hiermee doen?</t>
  </si>
  <si>
    <t>Backorder overzicht - Geen currency, UoM of Unit Price op vermeld</t>
  </si>
  <si>
    <t>Wat doen we met deze bestanden?</t>
  </si>
  <si>
    <t>KM heffing niet opgenomen in confirmation lines</t>
  </si>
  <si>
    <t>Flexso</t>
  </si>
  <si>
    <t>Missing field staat 1 maar geen missing field te zien</t>
  </si>
  <si>
    <t>Geen UoM en delivery date op OB</t>
  </si>
  <si>
    <t>N/A</t>
  </si>
  <si>
    <t>OB niet voor HL maar klant</t>
  </si>
  <si>
    <t xml:space="preserve">Wat gaan we doen met deze OB's? </t>
  </si>
  <si>
    <t>Voor artikel 3 is geen prijs meegegeven - Aantal lijnen zonder leverdatum</t>
  </si>
  <si>
    <t>Wat indien geen prijs?</t>
  </si>
  <si>
    <t>Geen leverdatum meegedeeld</t>
  </si>
  <si>
    <t>Voor aantal artikels is geen prijs meegegeven - Aantal lijnen zonder leverdatum</t>
  </si>
  <si>
    <t>OB met backorderoverzicht wordt per PO gesplitst op de lijnen - Geen currency, geen Unit price en niet overal planned delivery date</t>
  </si>
  <si>
    <t xml:space="preserve"> Geen currency en geen Unit price</t>
  </si>
  <si>
    <t>Leveringsinformatie =/= OB</t>
  </si>
  <si>
    <t>Orderinformatie =/= OB</t>
  </si>
  <si>
    <t>Wat gaan we hiermee doen?</t>
  </si>
  <si>
    <t>Order ontvangst bevestiging =/= OB</t>
  </si>
  <si>
    <t>Moovartes - Orderbevestiging VO26-03701.pdf</t>
  </si>
  <si>
    <t>Demuynck-Verrax - Order VOR2601198.PDF</t>
  </si>
  <si>
    <t>Geen leverdatum meegegeven op OB - Wel een indicator met voorraad maar onduidelijk wat de LT is voor dit artikel</t>
  </si>
  <si>
    <t>Geen leverdatum meegegeven op OB - Wel een indicator voor backorder maar onduidelijk wat de LT is voor de reguliere artikelen en voor de backorder</t>
  </si>
  <si>
    <t xml:space="preserve">HL: Wat doen we met dit voorbeeld van Demuynck? </t>
  </si>
  <si>
    <t xml:space="preserve">HL: Wat doen we met dit voorbeeld van Moovartes? </t>
  </si>
  <si>
    <t>Extraction Score</t>
  </si>
  <si>
    <t>Total Fields</t>
  </si>
  <si>
    <t>Reviewed By</t>
  </si>
  <si>
    <t>Source</t>
  </si>
  <si>
    <t>Language</t>
  </si>
  <si>
    <t>Line Item #</t>
  </si>
  <si>
    <t>Purchase Order Number</t>
  </si>
  <si>
    <t>Purchase Order Number (Confidence %)</t>
  </si>
  <si>
    <t>Supplier Order Number</t>
  </si>
  <si>
    <t>Supplier Order Number (Confidence %)</t>
  </si>
  <si>
    <t>Order Date (Confidence %)</t>
  </si>
  <si>
    <t>Supplier Name (Confidence %)</t>
  </si>
  <si>
    <t>Customer Name</t>
  </si>
  <si>
    <t>Customer Name (Confidence %)</t>
  </si>
  <si>
    <t>Currency (Confidence %)</t>
  </si>
  <si>
    <t>Line Number</t>
  </si>
  <si>
    <t>Line Number (Confidence %)</t>
  </si>
  <si>
    <t>Article Number (Confidence %)</t>
  </si>
  <si>
    <t>Item Description</t>
  </si>
  <si>
    <t>Item Description (Confidence %)</t>
  </si>
  <si>
    <t>Quantity (Confidence %)</t>
  </si>
  <si>
    <t>Unit of Measure</t>
  </si>
  <si>
    <t>Unit of Measure (Confidence %)</t>
  </si>
  <si>
    <t>Unit Price (Confidence %)</t>
  </si>
  <si>
    <t>Item Planned Delivery Date</t>
  </si>
  <si>
    <t>Item Planned Delivery Date (Confidence %)</t>
  </si>
  <si>
    <t>Purchase Order Confirmation</t>
  </si>
  <si>
    <t>mail - noreply@qrs.nl — Uw orderbevestiging 60392040</t>
  </si>
  <si>
    <t>Dutch</t>
  </si>
  <si>
    <t>60392040</t>
  </si>
  <si>
    <t>16/02/2026</t>
  </si>
  <si>
    <t>QRS Healthcare BV</t>
  </si>
  <si>
    <t>Hospital Logistics Nederland BV (Bernhoven)</t>
  </si>
  <si>
    <t>EUR</t>
  </si>
  <si>
    <t>54758</t>
  </si>
  <si>
    <t>Dispo Medical Cystoscopie enkel (50 stuks)</t>
  </si>
  <si>
    <t>DS</t>
  </si>
  <si>
    <t>EUR 166,21</t>
  </si>
  <si>
    <t>20/02/2026</t>
  </si>
  <si>
    <t>mail - info@g3-medical.nl — Verkooporder SO00454632 / 3505026682</t>
  </si>
  <si>
    <t>SO00454632</t>
  </si>
  <si>
    <t>G3 Medical B.V.</t>
  </si>
  <si>
    <t>Hospital Logistics Nederland B.V.</t>
  </si>
  <si>
    <t>BP30F</t>
  </si>
  <si>
    <t>Kai biopsie punch, disposable, steriel, 3,0mm, 20x1st/ds</t>
  </si>
  <si>
    <t>Dozen</t>
  </si>
  <si>
    <t>25,15</t>
  </si>
  <si>
    <t>19/02/2026</t>
  </si>
  <si>
    <t>MK407</t>
  </si>
  <si>
    <t>Kai ring curette, disposable, steriel, 7,0mm, 20x1st/ds</t>
  </si>
  <si>
    <t>33,31</t>
  </si>
  <si>
    <t>BP50F</t>
  </si>
  <si>
    <t>Kai biopsie punch, disposable, steriel, 5,0mm, 20x1st/ds</t>
  </si>
  <si>
    <t>26,07</t>
  </si>
  <si>
    <t>700635</t>
  </si>
  <si>
    <t>Medicijnbeker 30ml, disposable, transparant, 100st/ds</t>
  </si>
  <si>
    <t>30,79</t>
  </si>
  <si>
    <t>300205</t>
  </si>
  <si>
    <t>CMT Identificatie foambandje, baby, disposable, X-Large, wit, 24st/doos</t>
  </si>
  <si>
    <t>53,08</t>
  </si>
  <si>
    <t>700747</t>
  </si>
  <si>
    <t>Medi-inn scheermesje, dubbel-edged, disposable, blauw, 100st/doos</t>
  </si>
  <si>
    <t>9,13</t>
  </si>
  <si>
    <t>700555</t>
  </si>
  <si>
    <t>Waca drinkbeker, PP, 250ml, semi-transparent, p/st</t>
  </si>
  <si>
    <t>Stuks</t>
  </si>
  <si>
    <t>1,09</t>
  </si>
  <si>
    <t>704400</t>
  </si>
  <si>
    <t>CMT Telemetrie draagtasjes, disposable, 21x16,5cm, PP/PE met lintfreeband, wit,100st/doos</t>
  </si>
  <si>
    <t>52,08</t>
  </si>
  <si>
    <t>mail - info@g3-medical.nl — Verkooporder SO00454616 / 3505026682</t>
  </si>
  <si>
    <t>SO00454616</t>
  </si>
  <si>
    <t>Hospital Logistics Nederland B.V./Groene Hart Ziekenhuis</t>
  </si>
  <si>
    <t>700124</t>
  </si>
  <si>
    <t>Navelstrengklem, disposable, dubbele sluiting, blauw, steriel, 100x1st/ds</t>
  </si>
  <si>
    <t>41,28</t>
  </si>
  <si>
    <t>550269</t>
  </si>
  <si>
    <t>Noba 263106-1 gynaecologische tampon, 5mtr/6cm, steriel, 4x1st/ds</t>
  </si>
  <si>
    <t>8,42</t>
  </si>
  <si>
    <t>880421</t>
  </si>
  <si>
    <t>Swann Morton 0421, stitchcutter, 110mm, steriel, disposable, carbonstaal, per stuk, 100st/ds</t>
  </si>
  <si>
    <t>30,83</t>
  </si>
  <si>
    <t>700702</t>
  </si>
  <si>
    <t>Protective sheet, 33x45cm, blauw, 10x50st/doos</t>
  </si>
  <si>
    <t>25,52</t>
  </si>
  <si>
    <t>610PST-ZAK</t>
  </si>
  <si>
    <t>CMT pe schort, wit, geruwd, 125x80cm, 25µ, 100x1st/zakje</t>
  </si>
  <si>
    <t>Zak</t>
  </si>
  <si>
    <t>11,23</t>
  </si>
  <si>
    <t>714042</t>
  </si>
  <si>
    <t>CMT spalken foam, blauw, 138x30x10mm, disposable, 30st/doos</t>
  </si>
  <si>
    <t>53,20</t>
  </si>
  <si>
    <t>700149</t>
  </si>
  <si>
    <t>Tandenborstel met tandpasta, disposable, 100st/ds</t>
  </si>
  <si>
    <t>8,38</t>
  </si>
  <si>
    <t>410003</t>
  </si>
  <si>
    <t>Parker Aquasonic 100 01-08 ultrasound transmissie gel, 250ml, 12st/ds</t>
  </si>
  <si>
    <t>23,01</t>
  </si>
  <si>
    <t>700130</t>
  </si>
  <si>
    <t>Stethoscoop 710045-S model Littmann, dual head, zwarte slang, p/st</t>
  </si>
  <si>
    <t>5,49</t>
  </si>
  <si>
    <t>229510-DIS</t>
  </si>
  <si>
    <t>CMT tongspatels, hout, premium, 150x18mm, 100st/dispenser</t>
  </si>
  <si>
    <t>Dispense</t>
  </si>
  <si>
    <t>1,13</t>
  </si>
  <si>
    <t>MKKSS</t>
  </si>
  <si>
    <t>HP MKK-SS Polsband met enkele bevestigingsband, 30 cm, p/pr</t>
  </si>
  <si>
    <t>Paar</t>
  </si>
  <si>
    <t>9,90</t>
  </si>
  <si>
    <t>26/02/2026</t>
  </si>
  <si>
    <t>mail - orders.NL@freseniusmedicalcare.com — Re: [EXTERNAL EMAIL] Order Hospital Logistics  1507018691</t>
  </si>
  <si>
    <t>2364062865</t>
  </si>
  <si>
    <t>Fresenius Medical Care Nederland BV</t>
  </si>
  <si>
    <t>Hospital Logistics, Medisch Centrum Leeuwarden</t>
  </si>
  <si>
    <t>5092030</t>
  </si>
  <si>
    <t>Prijs per behandeling BTW Laag</t>
  </si>
  <si>
    <t>ST</t>
  </si>
  <si>
    <t>27,77</t>
  </si>
  <si>
    <t>5060781</t>
  </si>
  <si>
    <t>BIBAG 650g 5008</t>
  </si>
  <si>
    <t>17/02/2026</t>
  </si>
  <si>
    <t>F00001591</t>
  </si>
  <si>
    <t>FX CorDiax 80</t>
  </si>
  <si>
    <t>5092030ID</t>
  </si>
  <si>
    <t>Prijs per behandeling BTW Hoog</t>
  </si>
  <si>
    <t>4,34</t>
  </si>
  <si>
    <t>F00006822</t>
  </si>
  <si>
    <t>FX CorAL 80</t>
  </si>
  <si>
    <t>5,38</t>
  </si>
  <si>
    <t>F00001595</t>
  </si>
  <si>
    <t>FX CorDiax 1000</t>
  </si>
  <si>
    <t>1,28</t>
  </si>
  <si>
    <t>mail - orders.NL@freseniusmedicalcare.com — Re: [EXTERNAL EMAIL] Order Hospital Logistics  3504015924</t>
  </si>
  <si>
    <t>2364063103</t>
  </si>
  <si>
    <t>Hospital Logistics Nederland</t>
  </si>
  <si>
    <t>2,89</t>
  </si>
  <si>
    <t>F00002387</t>
  </si>
  <si>
    <t>FX 80 classix</t>
  </si>
  <si>
    <t>8,48</t>
  </si>
  <si>
    <t>5060801</t>
  </si>
  <si>
    <t>BIBAG 900g 5008</t>
  </si>
  <si>
    <t>3,95</t>
  </si>
  <si>
    <t>mail - tena.medical.cs.nl@essity.com — 3505026639 ESSITY Orderbevestiging</t>
  </si>
  <si>
    <t>3004524437</t>
  </si>
  <si>
    <t>11/02/2026</t>
  </si>
  <si>
    <t>Essity Netherlands B.V. Health &amp; Medical</t>
  </si>
  <si>
    <t>Hospital Logistics Nederland b.v.</t>
  </si>
  <si>
    <t>7238101</t>
  </si>
  <si>
    <t>Leukomed T 8 x 10cm - P50</t>
  </si>
  <si>
    <t>PC</t>
  </si>
  <si>
    <t>18,77 / 1 PC</t>
  </si>
  <si>
    <t>18/02/2026</t>
  </si>
  <si>
    <t>7268000</t>
  </si>
  <si>
    <t>Cuticell Contact 5 x 7,5cm - P5</t>
  </si>
  <si>
    <t>4,41 / 1 PC</t>
  </si>
  <si>
    <t>7123718</t>
  </si>
  <si>
    <t>LP comp cot gauze ST 10x20cm 12PLY - P50x1</t>
  </si>
  <si>
    <t>8,71 / 1 PC</t>
  </si>
  <si>
    <t>7274007</t>
  </si>
  <si>
    <t>LP WCS ST natural 6x75mm - P50x3 strips</t>
  </si>
  <si>
    <t>26,35 / 1 PC</t>
  </si>
  <si>
    <t>7274006</t>
  </si>
  <si>
    <t>LP WCS ST natural 6x38mm - P50x6 strips</t>
  </si>
  <si>
    <t>28,19 / 1 PC</t>
  </si>
  <si>
    <t>7274008</t>
  </si>
  <si>
    <t>LP WCS ST natural 12x100mm - P50x6 strips</t>
  </si>
  <si>
    <t>36,16 / 1 PC</t>
  </si>
  <si>
    <t>7128201</t>
  </si>
  <si>
    <t>LP comp abs protect ST 20 x 40cm - P25x1</t>
  </si>
  <si>
    <t>14,28 / 1 PC</t>
  </si>
  <si>
    <t>7128203</t>
  </si>
  <si>
    <t>LP comp abs protect ST 10 x 20cm - P50x1</t>
  </si>
  <si>
    <t>9,29 / 1 PC</t>
  </si>
  <si>
    <t>7128814</t>
  </si>
  <si>
    <t>LP comp non-wov ST 10x10cm 4PLY - P25x10</t>
  </si>
  <si>
    <t>5,95 / 1 PC</t>
  </si>
  <si>
    <t>7228001</t>
  </si>
  <si>
    <t>DC Conformable wit 3,6m x 5cm - P10</t>
  </si>
  <si>
    <t>50,25 / 1 PC</t>
  </si>
  <si>
    <t>7228002</t>
  </si>
  <si>
    <t>DC Conformable wit 3,6m x 7,5cm - P10</t>
  </si>
  <si>
    <t>61,49 / 1 PC</t>
  </si>
  <si>
    <t>7228003</t>
  </si>
  <si>
    <t>DC Conformable wit 3,6m x 10cm - P10</t>
  </si>
  <si>
    <t>72,23 / 1 PC</t>
  </si>
  <si>
    <t>7228004</t>
  </si>
  <si>
    <t>DC Conformable wit 3,6m x 12,5cm - P10</t>
  </si>
  <si>
    <t>79,79 / 1 PC</t>
  </si>
  <si>
    <t>7228601</t>
  </si>
  <si>
    <t>DC Conformable paars 3,6m x 7,5cm - P10</t>
  </si>
  <si>
    <t>67,13 / 1 PC</t>
  </si>
  <si>
    <t>7228801</t>
  </si>
  <si>
    <t>DCC zwart 3,6m x 7,5cm - P10</t>
  </si>
  <si>
    <t>62,74 / 1 PC</t>
  </si>
  <si>
    <t>7230700</t>
  </si>
  <si>
    <t>Delta-Net Stockinette 23m x 5cm</t>
  </si>
  <si>
    <t>9,60 / 1 PC</t>
  </si>
  <si>
    <t>7230702</t>
  </si>
  <si>
    <t>Delta-Net Stockinette 23m x 10cm</t>
  </si>
  <si>
    <t>16,82 / 1 PC</t>
  </si>
  <si>
    <t>720611</t>
  </si>
  <si>
    <t>TENA Bibs 37x66cm Large 6x150p INT</t>
  </si>
  <si>
    <t>TRP</t>
  </si>
  <si>
    <t>10,49 / 1 CON</t>
  </si>
  <si>
    <t>730456</t>
  </si>
  <si>
    <t>TENA Flex Super M 3x30p, INT/NEU, NSW</t>
  </si>
  <si>
    <t>43,30 / 100 PCS</t>
  </si>
  <si>
    <t>728695</t>
  </si>
  <si>
    <t>TENA Flex Super L 3x30p INT/NEU, NSW</t>
  </si>
  <si>
    <t>50,31 / 100 PCS</t>
  </si>
  <si>
    <t>724970</t>
  </si>
  <si>
    <t>TENA Flex Super Proskin XL</t>
  </si>
  <si>
    <t>64,60 / 100 PCS</t>
  </si>
  <si>
    <t>730447</t>
  </si>
  <si>
    <t>TENA Flex Maxi S 3x22p INT/NEU NSW</t>
  </si>
  <si>
    <t>44,72 / 100 PCS</t>
  </si>
  <si>
    <t>730436</t>
  </si>
  <si>
    <t>TENA Flex Ultima M 3x20p INT/NEU NSW</t>
  </si>
  <si>
    <t>61,33 / 100 PCS</t>
  </si>
  <si>
    <t>730433</t>
  </si>
  <si>
    <t>TENA Flex Maxi M 3x22p, INT/NEU, NSW</t>
  </si>
  <si>
    <t>50,43 / 100 PCS</t>
  </si>
  <si>
    <t>729909</t>
  </si>
  <si>
    <t>TENA Flex Ultima L 3x20p INT/NEU, NSW</t>
  </si>
  <si>
    <t>73,27 / 100 PCS</t>
  </si>
  <si>
    <t>728533</t>
  </si>
  <si>
    <t>TENA Flex Maxi ProSkin XL</t>
  </si>
  <si>
    <t>74,75 / 100 PCS</t>
  </si>
  <si>
    <t>750706</t>
  </si>
  <si>
    <t>TENA Men Level 2, 6x20p NEU</t>
  </si>
  <si>
    <t>26,47 / 100 PCS</t>
  </si>
  <si>
    <t>754031</t>
  </si>
  <si>
    <t>TENA Fix Premium Extra Large</t>
  </si>
  <si>
    <t>40,93 / 100 PCS</t>
  </si>
  <si>
    <t>761425</t>
  </si>
  <si>
    <t>TENA Comf Mini Plus 6x30p BTXB NEU NSW</t>
  </si>
  <si>
    <t>12,70 / 100 PCS</t>
  </si>
  <si>
    <t>761531</t>
  </si>
  <si>
    <t>TENA Comfort Mini Extra</t>
  </si>
  <si>
    <t>13,69 / 100 PCS</t>
  </si>
  <si>
    <t>770120</t>
  </si>
  <si>
    <t>TENA Bed Plus 60 x 90 cm</t>
  </si>
  <si>
    <t>28,71 / 100 PCS</t>
  </si>
  <si>
    <t>792591</t>
  </si>
  <si>
    <t>TENA Pants Plus M, 4x14 pcs, Centr. Ps</t>
  </si>
  <si>
    <t>49,63 / 100 PCS</t>
  </si>
  <si>
    <t>7190100</t>
  </si>
  <si>
    <t>BSN Tricot 4m x 10cm</t>
  </si>
  <si>
    <t>1,76 / 1 PC</t>
  </si>
  <si>
    <t>7190101</t>
  </si>
  <si>
    <t>BSN Tricot 4m x 12cm</t>
  </si>
  <si>
    <t>2,18 / 1 PC</t>
  </si>
  <si>
    <t>7190102</t>
  </si>
  <si>
    <t>BSN Tricot 4m x 15cm</t>
  </si>
  <si>
    <t>2,56 / 1 PC</t>
  </si>
  <si>
    <t>7190103</t>
  </si>
  <si>
    <t>BSN Tricot 4m x 20cm</t>
  </si>
  <si>
    <t>3,38 / 1 PC</t>
  </si>
  <si>
    <t>0103000</t>
  </si>
  <si>
    <t>Comprilan 5m x 10cm - P2</t>
  </si>
  <si>
    <t>4,79 / 1 PC</t>
  </si>
  <si>
    <t>0198400</t>
  </si>
  <si>
    <t>Ideaal BSN 5m x 6cm, 2 verbandklemmen</t>
  </si>
  <si>
    <t>1,00 / 1 PC</t>
  </si>
  <si>
    <t>0209600</t>
  </si>
  <si>
    <t>Elastomull 4m x 8cm cellofaan</t>
  </si>
  <si>
    <t>0,19 / 1 PC</t>
  </si>
  <si>
    <t>7163310</t>
  </si>
  <si>
    <t>BSN Crêpe 4m x 6cm - P10</t>
  </si>
  <si>
    <t>7,80 / 1 PC</t>
  </si>
  <si>
    <t>7206700</t>
  </si>
  <si>
    <t>Tensoplast beige 4,5m x 2,5cm - P12</t>
  </si>
  <si>
    <t>28,58 / 1 PC</t>
  </si>
  <si>
    <t>7232203</t>
  </si>
  <si>
    <t>Delta-RoIS 2,75m x 15cm - P12</t>
  </si>
  <si>
    <t>15,78 / 1 PC</t>
  </si>
  <si>
    <t>7702600</t>
  </si>
  <si>
    <t>Comprinet pro knie klein wit 1pr</t>
  </si>
  <si>
    <t>5,18 / 1 PC</t>
  </si>
  <si>
    <t>7702800</t>
  </si>
  <si>
    <t>Comprinet pro knie groot wit 1pr</t>
  </si>
  <si>
    <t>5,17 / 1 PC</t>
  </si>
  <si>
    <t>0956600</t>
  </si>
  <si>
    <t>Leukosilk 9,2m x 1,25cm</t>
  </si>
  <si>
    <t>0,71 / 1 PC</t>
  </si>
  <si>
    <t>0195700</t>
  </si>
  <si>
    <t>Ideaal BSN 5m x 12cm ongecoffeleerd</t>
  </si>
  <si>
    <t>1,16 / 1 PC</t>
  </si>
  <si>
    <t>0904600</t>
  </si>
  <si>
    <t>Artiflex 10cm x 3m - P30</t>
  </si>
  <si>
    <t>25,11 / 1 PC</t>
  </si>
  <si>
    <t>4419</t>
  </si>
  <si>
    <t>TENA ProSkin Barrier Cream 150 ml</t>
  </si>
  <si>
    <t>1,98 / 1 CON</t>
  </si>
  <si>
    <t>774458</t>
  </si>
  <si>
    <t>TENA Hygiene Sheet 210 x 80 cm</t>
  </si>
  <si>
    <t>56,17 / 1 TRP</t>
  </si>
  <si>
    <t>4537100</t>
  </si>
  <si>
    <t>Elastomull haft color blauw 20m x 6cm</t>
  </si>
  <si>
    <t>3,03 / 1 PC</t>
  </si>
  <si>
    <t>4537200</t>
  </si>
  <si>
    <t>Elastomull haft color blauw 20m x 8cm</t>
  </si>
  <si>
    <t>3,04 / 1 PC</t>
  </si>
  <si>
    <t>4547000</t>
  </si>
  <si>
    <t>Elastomull haft 4m x 4cm</t>
  </si>
  <si>
    <t>0,54 / 1 PC</t>
  </si>
  <si>
    <t>4547300</t>
  </si>
  <si>
    <t>Elastomull haft 4m x 10cm</t>
  </si>
  <si>
    <t>0,74 / 1 PC</t>
  </si>
  <si>
    <t>7151501</t>
  </si>
  <si>
    <t>Tensogrip beige D - 10m x 7,5cm</t>
  </si>
  <si>
    <t>13,72 / 1 PC</t>
  </si>
  <si>
    <t>7199358</t>
  </si>
  <si>
    <t>Gypsona S 3m x 15cm - P40</t>
  </si>
  <si>
    <t>51,45 / 1 PC</t>
  </si>
  <si>
    <t>7221302</t>
  </si>
  <si>
    <t>Leukoplast pro LF 9,2m x 5,00cm</t>
  </si>
  <si>
    <t>2,52 / 1 PC</t>
  </si>
  <si>
    <t>7221600</t>
  </si>
  <si>
    <t>Fixomull transparent 10m x 5cm</t>
  </si>
  <si>
    <t>8,89 / 1 PC</t>
  </si>
  <si>
    <t>7508000</t>
  </si>
  <si>
    <t>Comprilan S 5m x 10cm</t>
  </si>
  <si>
    <t>2,41 / 1 PC</t>
  </si>
  <si>
    <t>7508800</t>
  </si>
  <si>
    <t>Comprinet forte 23 dij middel wit 1pr</t>
  </si>
  <si>
    <t>11,04 / 1 PC</t>
  </si>
  <si>
    <t>7128400</t>
  </si>
  <si>
    <t>LP comp absorbent protect 100x300mm - P20</t>
  </si>
  <si>
    <t>3,21 / 1 PC</t>
  </si>
  <si>
    <t>0209900</t>
  </si>
  <si>
    <t>Elastomull 4m x 4cm</t>
  </si>
  <si>
    <t>0,08 / 1 PC</t>
  </si>
  <si>
    <t>7129100</t>
  </si>
  <si>
    <t>Leukoplast wet wipe - P100</t>
  </si>
  <si>
    <t>1,37 / 1 PC</t>
  </si>
  <si>
    <t>4547700</t>
  </si>
  <si>
    <t>Elastomull haft 20m x 8cm</t>
  </si>
  <si>
    <t>3,34 / 1 PC</t>
  </si>
  <si>
    <t>728534</t>
  </si>
  <si>
    <t>TENA ProSkin Flex Ultima Extra Large</t>
  </si>
  <si>
    <t>88,98 / 100 PCS</t>
  </si>
  <si>
    <t>7285918</t>
  </si>
  <si>
    <t>Activmove Sling 12m x 5,5cm - 2 rol</t>
  </si>
  <si>
    <t>27,36 / 1 PC</t>
  </si>
  <si>
    <t>793665</t>
  </si>
  <si>
    <t>TENA Pants Super L 4x12p, NEU, NSW, Ps</t>
  </si>
  <si>
    <t>66,31 / 100 PCS</t>
  </si>
  <si>
    <t>7231502</t>
  </si>
  <si>
    <t>Velband 2,75m x 10cm - P12</t>
  </si>
  <si>
    <t>10,81 / 1 PC</t>
  </si>
  <si>
    <t>758008</t>
  </si>
  <si>
    <t>TENA Comfort Maxi</t>
  </si>
  <si>
    <t>41,47 / 100 PCS</t>
  </si>
  <si>
    <t>740701</t>
  </si>
  <si>
    <t>TENA Wash Glove 12x50pcs</t>
  </si>
  <si>
    <t>3,14 / 1 CON</t>
  </si>
  <si>
    <t>9314</t>
  </si>
  <si>
    <t>Libresse maxi normal wing 10x14</t>
  </si>
  <si>
    <t>1,71 / 1 CON</t>
  </si>
  <si>
    <t>759010</t>
  </si>
  <si>
    <t>TENA ProSkin Comfort Super</t>
  </si>
  <si>
    <t>33,12 / 100 PCS</t>
  </si>
  <si>
    <t>759008</t>
  </si>
  <si>
    <t>TENA ProSkin Comfort Plus</t>
  </si>
  <si>
    <t>22,71 / 100 PCS</t>
  </si>
  <si>
    <t>7276101</t>
  </si>
  <si>
    <t>Leukoplast Engels Pluksel 1m x 45cm</t>
  </si>
  <si>
    <t>3,64 / 1 PC</t>
  </si>
  <si>
    <t>7228501</t>
  </si>
  <si>
    <t>DC Conformable rood 3,6m x 7,5cm - P10</t>
  </si>
  <si>
    <t>64,28 / 1 PC</t>
  </si>
  <si>
    <t>729620</t>
  </si>
  <si>
    <t>TENA Flex Maxi L 3x22p, INT/NEU, NSW</t>
  </si>
  <si>
    <t>58,92 / 100 PCS</t>
  </si>
  <si>
    <t>770119</t>
  </si>
  <si>
    <t>TENA Bed Plus 60 x 60 cm</t>
  </si>
  <si>
    <t>11,52 / 100 PCS</t>
  </si>
  <si>
    <t>1042</t>
  </si>
  <si>
    <t>TENA ProSkin Shampoo Cap</t>
  </si>
  <si>
    <t>2,38 / 1 CON</t>
  </si>
  <si>
    <t>7270815</t>
  </si>
  <si>
    <t>DC Soft blauw 3,6m x 7,5cm - P10</t>
  </si>
  <si>
    <t>66,47 / 1 PC</t>
  </si>
  <si>
    <t>7163311</t>
  </si>
  <si>
    <t>BSN Crêpe 4m x 8cm - P10</t>
  </si>
  <si>
    <t>9,42 / 1 PC</t>
  </si>
  <si>
    <t>6500442</t>
  </si>
  <si>
    <t>Activmove Post-OP Shoe One Toe WMM N</t>
  </si>
  <si>
    <t>8,21 / 1 PC</t>
  </si>
  <si>
    <t>711404</t>
  </si>
  <si>
    <t>TENA Slip Super L 3x30p ELA, INT/NEU, PS</t>
  </si>
  <si>
    <t>50,38 / 100 PCS</t>
  </si>
  <si>
    <t>02/03/2026</t>
  </si>
  <si>
    <t>7627637</t>
  </si>
  <si>
    <t>Activmove Closed Shell Air Walker Hoog M</t>
  </si>
  <si>
    <t>46,29 / 1 PC</t>
  </si>
  <si>
    <t>7627638</t>
  </si>
  <si>
    <t>Activmove Closed Shell Air Walker Hoog L</t>
  </si>
  <si>
    <t>mail - no.reply.customer.service@medtronic.com — Order bevestiging 26-02818</t>
  </si>
  <si>
    <t>26-02818</t>
  </si>
  <si>
    <t>Medtronic Trading NL BV</t>
  </si>
  <si>
    <t>Canisius Wilhelmina Ziekenhuis</t>
  </si>
  <si>
    <t>00643169021563</t>
  </si>
  <si>
    <t>CAGE 6211604 PEEK ANATOMIC 16X14X4</t>
  </si>
  <si>
    <t>EA</t>
  </si>
  <si>
    <t>468,51 EUR</t>
  </si>
  <si>
    <t>00643169021556</t>
  </si>
  <si>
    <t>CAGE 6211605 PEEK ANATOMIC 16X14X5</t>
  </si>
  <si>
    <t>mail - tena.medical.cs.nl@essity.com — 3505026670 ESSITY Orderbevestiging</t>
  </si>
  <si>
    <t>3004528520</t>
  </si>
  <si>
    <t>12/02/2026</t>
  </si>
  <si>
    <t>Essity Netherlands B.V.</t>
  </si>
  <si>
    <t>TENA Flex Maxi L 3x22p. INT/NEU, NSW</t>
  </si>
  <si>
    <t>58,92 EUR / 100 PCS</t>
  </si>
  <si>
    <t>mail - infonl@vygon.com — Betreft: Overzicht van nog te leveren Vygon producten</t>
  </si>
  <si>
    <t>0004965576</t>
  </si>
  <si>
    <t>VYGON NEDERLAND B.V.</t>
  </si>
  <si>
    <t>Hospital Logistics Frisius MC Heeren</t>
  </si>
  <si>
    <t>001361067</t>
  </si>
  <si>
    <t>NutriFit voedingssde 6Fr 50cm</t>
  </si>
  <si>
    <t>27/02/2026</t>
  </si>
  <si>
    <t>mail - tena.medical.cs.nl@essity.com — 6507004827 ESSITY Order Ontvangstbevestiging</t>
  </si>
  <si>
    <t>3004542917</t>
  </si>
  <si>
    <t>791467</t>
  </si>
  <si>
    <t>TENA Pants Normal S 4x15p, NEU, NSW, Ps</t>
  </si>
  <si>
    <t>35,46 EUR / 100 PCS</t>
  </si>
  <si>
    <t>6251707458 ZOR</t>
  </si>
  <si>
    <t>10884521190665 / SYM2015F</t>
  </si>
  <si>
    <t>SYM2015F ST EX THR 20X15CM X1</t>
  </si>
  <si>
    <t>527,77</t>
  </si>
  <si>
    <t>00763000579234 / 1884012EM</t>
  </si>
  <si>
    <t>BLADE 1884012EM RAD12 4MM M4 ROTATE ROHS</t>
  </si>
  <si>
    <t>220,32</t>
  </si>
  <si>
    <t>mail - customer.nl@lyreco.com — Jouw Lyreco bestelling 1178683275 - 2505040761 is onderweg!</t>
  </si>
  <si>
    <t>mail - mail@kingbelgium.be — Bevestiging bestelling  S09313444-1</t>
  </si>
  <si>
    <t>S09313444-IRIS</t>
  </si>
  <si>
    <t>13/02/2026</t>
  </si>
  <si>
    <t>King Belgium SA/NV</t>
  </si>
  <si>
    <t>HOSPITAL LOGISTICS MAGAZIJN</t>
  </si>
  <si>
    <t>7567515450</t>
  </si>
  <si>
    <t>REFILL WRAPMASTER TOPPITS VERSHOUDOLFOLIE 45CMX300M - 6.5mu (3X1)</t>
  </si>
  <si>
    <t>CS</t>
  </si>
  <si>
    <t>40,17 / CS</t>
  </si>
  <si>
    <t>mail - sligroout_noreply@sligro.nl — JAVA leveringsinformatie</t>
  </si>
  <si>
    <t>mail - info@g3-medical.nl — Verkooporder SO00454642 / 3505026682</t>
  </si>
  <si>
    <t>mail - info@g3-medical.nl — Verkooporder SO00454641 / 3505026682</t>
  </si>
  <si>
    <t>SO00454641</t>
  </si>
  <si>
    <t>Hospital Logistics Nederland B.V./Maastricht UMC</t>
  </si>
  <si>
    <t>210057</t>
  </si>
  <si>
    <t>Grip Lok 3400L fixatiepleister, 60-13,0mm, large, steriel, 100x1st/ds</t>
  </si>
  <si>
    <t>499,40</t>
  </si>
  <si>
    <t>512028</t>
  </si>
  <si>
    <t>CuraSpon standaard, gelatine sponges, 80x50x10mm, steriel, 20x1st/ds</t>
  </si>
  <si>
    <t>33,75</t>
  </si>
  <si>
    <t>512025</t>
  </si>
  <si>
    <t>CuraSpon Cube, gelatine sponges, 10x10x10mm, steriel, 50x1st/ds</t>
  </si>
  <si>
    <t>14,57</t>
  </si>
  <si>
    <t>700167</t>
  </si>
  <si>
    <t>Ultrastop pro-med, 5ml, monodoses clinic, 30x5ml/ds</t>
  </si>
  <si>
    <t>131,31</t>
  </si>
  <si>
    <t>711038</t>
  </si>
  <si>
    <t>CMT drinkrietjes, flexibel plastic, wit, 21x0,6cm, 100x50st/zak, 5.000st/doos</t>
  </si>
  <si>
    <t>45,74</t>
  </si>
  <si>
    <t>mail - info@g3-medical.nl — Verkooporder SO00454639 / 3505026682</t>
  </si>
  <si>
    <t>SO00454639</t>
  </si>
  <si>
    <t>Hospital Logistics Nederland B.V./Stichting</t>
  </si>
  <si>
    <t>700681</t>
  </si>
  <si>
    <t>Ultrastop flacon, 30ml, steriel, p/st</t>
  </si>
  <si>
    <t>11,31</t>
  </si>
  <si>
    <t>700658</t>
  </si>
  <si>
    <t>Wattenstok, disposable, pp, 15cm, 4mm tip, per 2 stuks, steriel, 250x2st/doos</t>
  </si>
  <si>
    <t>69,83</t>
  </si>
  <si>
    <t>410021</t>
  </si>
  <si>
    <t>Parker Signaspray 18-25 electrode solution &amp; skin prep, 250ml, 12st/ds</t>
  </si>
  <si>
    <t>62,49</t>
  </si>
  <si>
    <t>700179</t>
  </si>
  <si>
    <t>Rolcentimeter, 150cm, p/st</t>
  </si>
  <si>
    <t>2,74</t>
  </si>
  <si>
    <t>700005</t>
  </si>
  <si>
    <t>CMT stuwband, disposable, blauw, p/st</t>
  </si>
  <si>
    <t>3,06</t>
  </si>
  <si>
    <t>mail - info@g3-medical.nl — Verkooporder SO00454644 / 3507009728</t>
  </si>
  <si>
    <t>mail - order.nl@teleflex.com — RE: RE: Teleflex Orderbevestiging 1504025864 and 13995843</t>
  </si>
  <si>
    <t>mail - noreply@lyreco.com — Lyreco orderbevestiging 167912161-16022026-0006</t>
  </si>
  <si>
    <t>167912161</t>
  </si>
  <si>
    <t>Lyreco Belgium SA/NV</t>
  </si>
  <si>
    <t>Hospital Logistics Aarschot</t>
  </si>
  <si>
    <t>1.861.945</t>
  </si>
  <si>
    <t>Besteld door Hospital Logistics DS100 MAIL TUFF ENV 180X260 WIT</t>
  </si>
  <si>
    <t>16,92</t>
  </si>
  <si>
    <t>mail - orders.be@duomed.com — Orderbevestiging C007-S2607585-1</t>
  </si>
  <si>
    <t>C007-S2607585-1</t>
  </si>
  <si>
    <t>Duomed Belgium NV/SA</t>
  </si>
  <si>
    <t>Hospital Logistics</t>
  </si>
  <si>
    <t>DCC8007</t>
  </si>
  <si>
    <t>Fairmont medical camera cover + adaptor drape</t>
  </si>
  <si>
    <t>B40</t>
  </si>
  <si>
    <t>418,26</t>
  </si>
  <si>
    <t>01.3300</t>
  </si>
  <si>
    <t>Securo-Reservoir 150ml, Sterile</t>
  </si>
  <si>
    <t>B5</t>
  </si>
  <si>
    <t>141,89</t>
  </si>
  <si>
    <t>0185ND</t>
  </si>
  <si>
    <t>Inflation Device 30Ml/30Bar</t>
  </si>
  <si>
    <t>B6</t>
  </si>
  <si>
    <t>249,46</t>
  </si>
  <si>
    <t>330048070</t>
  </si>
  <si>
    <t>Gammex Latex 7</t>
  </si>
  <si>
    <t>B200</t>
  </si>
  <si>
    <t>148,48</t>
  </si>
  <si>
    <t>330048065</t>
  </si>
  <si>
    <t>Gammex Latex 6,5</t>
  </si>
  <si>
    <t>330048060</t>
  </si>
  <si>
    <t>Gammex Latex 6</t>
  </si>
  <si>
    <t>SOL.50.02.38</t>
  </si>
  <si>
    <t>Afsluitdop M/F Combi Rood Pvc-Vrij (Pad Verp)</t>
  </si>
  <si>
    <t>B5000</t>
  </si>
  <si>
    <t>267,92</t>
  </si>
  <si>
    <t>PAL-1200</t>
  </si>
  <si>
    <t>PAL Aspiration Tubing Set, 12Ft, Disposable, Sterile</t>
  </si>
  <si>
    <t>172,99</t>
  </si>
  <si>
    <t>34145</t>
  </si>
  <si>
    <t>Halyard Quick Check H400 121x121cm</t>
  </si>
  <si>
    <t>B48</t>
  </si>
  <si>
    <t>51,21</t>
  </si>
  <si>
    <t>553304</t>
  </si>
  <si>
    <t>Latex Onderzoekshands Mct Coated Nt.Gep. Large</t>
  </si>
  <si>
    <t>B1000</t>
  </si>
  <si>
    <t>69,59</t>
  </si>
  <si>
    <t>OM-1125-8</t>
  </si>
  <si>
    <t>"Oxymask With 7"" Oxygen Tubing"</t>
  </si>
  <si>
    <t>B25</t>
  </si>
  <si>
    <t>86,64</t>
  </si>
  <si>
    <t>34175</t>
  </si>
  <si>
    <t>Halyard Quick Check H200 76x76cm</t>
  </si>
  <si>
    <t>B144</t>
  </si>
  <si>
    <t>55,14</t>
  </si>
  <si>
    <t>mail - noreply@medica-europe.nl — Orderbevestiging/Orderacknowledgement: 3505026688</t>
  </si>
  <si>
    <t>MM581259</t>
  </si>
  <si>
    <t>Medica Europe B.V.</t>
  </si>
  <si>
    <t>Hospital Logistics (Zuyderland)</t>
  </si>
  <si>
    <t>112560AJ</t>
  </si>
  <si>
    <t>OK URO TUR</t>
  </si>
  <si>
    <t>1</t>
  </si>
  <si>
    <t>42,17</t>
  </si>
  <si>
    <t>mail - mail@kingbelgium.be — Bevestiging bestelling  S09313928-1</t>
  </si>
  <si>
    <t>S09313928-IRIS</t>
  </si>
  <si>
    <t>K0101405</t>
  </si>
  <si>
    <t>VAATWASPOEDER DIPP 14 ACTIEF 5KG</t>
  </si>
  <si>
    <t>22,85 / CS</t>
  </si>
  <si>
    <t>688162220</t>
  </si>
  <si>
    <t>SLABBETJE PRIMECARE+ 2LGS MET ZAK BINNEN BLAUW 38X70CM (6X100)</t>
  </si>
  <si>
    <t>56,40 / CS</t>
  </si>
  <si>
    <t>mail - vygonbe@vygon.com — RE: order 1501037263</t>
  </si>
  <si>
    <t>mail - CSZiekenhuizen@mediq.com — Mediq orderbevestiging: 1507018696</t>
  </si>
  <si>
    <t>4381838</t>
  </si>
  <si>
    <t>Mediq Nederland B.V.</t>
  </si>
  <si>
    <t>3016535</t>
  </si>
  <si>
    <t>KLINIDERM FOAM SILICONE BORDER 7,5X7,5CM STERIEL 40514828</t>
  </si>
  <si>
    <t>BD</t>
  </si>
  <si>
    <t>18,01 EUR</t>
  </si>
  <si>
    <t>mail - info@g3-medical.nl — Verkooporder SO00454663 / 3504015927</t>
  </si>
  <si>
    <t>SO00454663</t>
  </si>
  <si>
    <t>Hospital Logistics Nederland B.V./Isala Klin</t>
  </si>
  <si>
    <t>880501</t>
  </si>
  <si>
    <t>Swann Morton 0501, scalpel nr.10, steriel, disposable, RVS mesje/kunststof heft, per stuk, 10st/ds</t>
  </si>
  <si>
    <t>3,92</t>
  </si>
  <si>
    <t>17000306</t>
  </si>
  <si>
    <t>Rüsch 170003 Brillant Paediatric 2-weg, ballon, stilet,siliconen, Ch06, 1.5ml, 31cm, steriel, 5st/ds</t>
  </si>
  <si>
    <t>94,66</t>
  </si>
  <si>
    <t>BP40F</t>
  </si>
  <si>
    <t>Kai biopsie punch, disposable, steriel, 4,0mm, 20x1st/ds</t>
  </si>
  <si>
    <t>27,83</t>
  </si>
  <si>
    <t>700001</t>
  </si>
  <si>
    <t>Prämata stuwband nr.902, groen, p/st</t>
  </si>
  <si>
    <t>34,04</t>
  </si>
  <si>
    <t>40,67</t>
  </si>
  <si>
    <t>8809190-DI:700726-DIS</t>
  </si>
  <si>
    <t>CMT wegwerpscheermesjes, single-edged, disposable, blauw, 100st/dis</t>
  </si>
  <si>
    <t>9,62</t>
  </si>
  <si>
    <t>212</t>
  </si>
  <si>
    <t>Seca 212 hoofdmeetband, baby/peuter, 5-59cm/1mm, 15st/ds</t>
  </si>
  <si>
    <t>48,00</t>
  </si>
  <si>
    <t>700015</t>
  </si>
  <si>
    <t>CMT penlight, disposable, wit, 6st/pak</t>
  </si>
  <si>
    <t>7,74</t>
  </si>
  <si>
    <t>700781</t>
  </si>
  <si>
    <t>Noba 974117 wattenstok, disposable, hout, 15cm, 7mm tip, middenbol, 10x100st/ds</t>
  </si>
  <si>
    <t>12,46</t>
  </si>
  <si>
    <t>211096</t>
  </si>
  <si>
    <t>Belcare abdominal CTG transducer banden, 120cm, 50x2-pack (1 roze, 1 blauw) 50pr/doos</t>
  </si>
  <si>
    <t>56,45</t>
  </si>
  <si>
    <t xml:space="preserve">mail - rs.beneluxcs@medtronic.com — Medtronic - backorder report - Hospital Logistics </t>
  </si>
  <si>
    <t>mail - BD_Order_Confirmation@EUROPE.BD.COM — BD Order Acknowledgement for your purchase order with reference 3507009726</t>
  </si>
  <si>
    <t>English</t>
  </si>
  <si>
    <t>HWW/I01/B14211125</t>
  </si>
  <si>
    <t>Becton Dickinson BV</t>
  </si>
  <si>
    <t>HOSPITAL LOGISTICS NEDERLAND B.V.</t>
  </si>
  <si>
    <t>305892</t>
  </si>
  <si>
    <t>ECLIPSE NDL 23G1 LS</t>
  </si>
  <si>
    <t>9.95 EUR</t>
  </si>
  <si>
    <t>307736</t>
  </si>
  <si>
    <t>10ML SYRINGE ONLY</t>
  </si>
  <si>
    <t>70.75 EUR</t>
  </si>
  <si>
    <t>367300</t>
  </si>
  <si>
    <t>VMS Luer Adapter</t>
  </si>
  <si>
    <t>104.52 EUR</t>
  </si>
  <si>
    <t>393224</t>
  </si>
  <si>
    <t>VENFLON PRO SAFETY 20 GA</t>
  </si>
  <si>
    <t>400.13 EUR</t>
  </si>
  <si>
    <t>393226</t>
  </si>
  <si>
    <t>VENFLON PRO SAFETY 18 GA</t>
  </si>
  <si>
    <t>45.33 EUR</t>
  </si>
  <si>
    <t>383532</t>
  </si>
  <si>
    <t>NEXIVA 22GA 1.00IN Y</t>
  </si>
  <si>
    <t>228.87 EUR</t>
  </si>
  <si>
    <t>305891</t>
  </si>
  <si>
    <t>ECLIPSE NDL 25G1</t>
  </si>
  <si>
    <t>10.52 EUR</t>
  </si>
  <si>
    <t>306575</t>
  </si>
  <si>
    <t>BD POSIFLUSH 10ml SP</t>
  </si>
  <si>
    <t>117.17 EUR</t>
  </si>
  <si>
    <t>383641</t>
  </si>
  <si>
    <t>NEXIVA 24GA 0.75IN Y W/</t>
  </si>
  <si>
    <t>49.31 EUR</t>
  </si>
  <si>
    <t>393227</t>
  </si>
  <si>
    <t>41.38 EUR</t>
  </si>
  <si>
    <t>364941</t>
  </si>
  <si>
    <t>Urinecontainer 120ml</t>
  </si>
  <si>
    <t>47.46 EUR</t>
  </si>
  <si>
    <t>mail - CustomerCareNL@fresenius-kabi.com — ORDERBEVESTIGING 2364067490</t>
  </si>
  <si>
    <t>2364067490</t>
  </si>
  <si>
    <t>Fresenius Kabi Nederland B.V.</t>
  </si>
  <si>
    <t>Hospital logistics Nederland</t>
  </si>
  <si>
    <t>8189601</t>
  </si>
  <si>
    <t>F THICK LEV 3 W Straw D(CH/B)-F(CH/B)-NL 1 X 200 ML EASYBOTTLE</t>
  </si>
  <si>
    <t>2,17 EUR</t>
  </si>
  <si>
    <t>7162701</t>
  </si>
  <si>
    <t>F. 2 KCAL CRÈME Capp. D-F-S-DK/N-NL-HR 1 X 125 GRAMM BECHER</t>
  </si>
  <si>
    <t>1,61 EUR</t>
  </si>
  <si>
    <t>mail - orders.be@duomed.com — Confirmation C007-S2607613-1</t>
  </si>
  <si>
    <t>French</t>
  </si>
  <si>
    <t>C007-S2607613-1</t>
  </si>
  <si>
    <t>MDC Alleur</t>
  </si>
  <si>
    <t>340007075</t>
  </si>
  <si>
    <t>Gammex Non-Latex Sensitive 75</t>
  </si>
  <si>
    <t>198,29</t>
  </si>
  <si>
    <t>05.000.22.803</t>
  </si>
  <si>
    <t>High Vac Redon Syst.Round 400ml Large Lock Tube</t>
  </si>
  <si>
    <t>B50</t>
  </si>
  <si>
    <t>232,03</t>
  </si>
  <si>
    <t>8003138</t>
  </si>
  <si>
    <t>Multi Absorber-disp-whi/violet</t>
  </si>
  <si>
    <t>91,19</t>
  </si>
  <si>
    <t>48100</t>
  </si>
  <si>
    <t>Masque Chirurgical 'The Lite One' Bleu</t>
  </si>
  <si>
    <t>B300</t>
  </si>
  <si>
    <t>34,35</t>
  </si>
  <si>
    <t>57167-23188</t>
  </si>
  <si>
    <t>Suction Bag + 2000ml Tubing 1,8M Ch25</t>
  </si>
  <si>
    <t>B60</t>
  </si>
  <si>
    <t>113,32</t>
  </si>
  <si>
    <t>57187-23188</t>
  </si>
  <si>
    <t>Suction Bag + 3000ml Tubing 1,8M Ch25</t>
  </si>
  <si>
    <t>733170</t>
  </si>
  <si>
    <t>GAZ ligne de prélèvement 3 m, adulte GE: 2097307-002</t>
  </si>
  <si>
    <t>B10</t>
  </si>
  <si>
    <t>51,14</t>
  </si>
  <si>
    <t>57710</t>
  </si>
  <si>
    <t>Filtre Fumee Serres</t>
  </si>
  <si>
    <t>62,83</t>
  </si>
  <si>
    <t>423289</t>
  </si>
  <si>
    <t>Esenta Adhesive Remover Spray (1x50ml)</t>
  </si>
  <si>
    <t>B12</t>
  </si>
  <si>
    <t>271,19</t>
  </si>
  <si>
    <t>1918687FA</t>
  </si>
  <si>
    <t>Aniosafe Savon Doux Hf 30ml</t>
  </si>
  <si>
    <t>171,04</t>
  </si>
  <si>
    <t>69490</t>
  </si>
  <si>
    <t>**Film Gown Thumbs Up</t>
  </si>
  <si>
    <t>B75</t>
  </si>
  <si>
    <t>59,53</t>
  </si>
  <si>
    <t>mail - sligroout_noreply@sligro.nl — Embal.bon_100726_Sligro_5061_klant_000142470</t>
  </si>
  <si>
    <t>mail - BD_Order_Confirmation@EUROPE.BD.COM — BD Order Acknowledgement for your purchase order with reference 1505040027</t>
  </si>
  <si>
    <t>HWW/I01/B14211119</t>
  </si>
  <si>
    <t>HOSPITAL LOGISTICS NEDERLAND B.V</t>
  </si>
  <si>
    <t>367957</t>
  </si>
  <si>
    <t>PL SSTII 1375 3,5ML PE</t>
  </si>
  <si>
    <t>100 (unit pack)</t>
  </si>
  <si>
    <t>12.22</t>
  </si>
  <si>
    <t>24/02/2026</t>
  </si>
  <si>
    <t>CTS051D</t>
  </si>
  <si>
    <t>HANDLING CHARGE VACUTAIN</t>
  </si>
  <si>
    <t>1 (unit pack)</t>
  </si>
  <si>
    <t>250.00</t>
  </si>
  <si>
    <t>mail - sligroout_noreply@sligro.nl — Van Hoeckel leveringsinformatie</t>
  </si>
  <si>
    <t>Van Hoeckel</t>
  </si>
  <si>
    <t>Hospital Logistics Mdc</t>
  </si>
  <si>
    <t>285668</t>
  </si>
  <si>
    <t>150 Gr Pickwick Professional Green Tea Lemon Ft</t>
  </si>
  <si>
    <t>Ds</t>
  </si>
  <si>
    <t>mail - BD_Order_Confirmation@EUROPE.BD.COM — BD Order Acknowledgement for your purchase order with reference 3504015923</t>
  </si>
  <si>
    <t>HWW/I01/B14211315</t>
  </si>
  <si>
    <t>HOSPITAL LOGISTICS</t>
  </si>
  <si>
    <t>303172</t>
  </si>
  <si>
    <t>TB ST 1 L Concentric EU</t>
  </si>
  <si>
    <t>66.60</t>
  </si>
  <si>
    <t>305959</t>
  </si>
  <si>
    <t>L3 ST 10ML LL</t>
  </si>
  <si>
    <t>50.01</t>
  </si>
  <si>
    <t>301155</t>
  </si>
  <si>
    <t>MICROLANCENAALD 21G2 0,80X50</t>
  </si>
  <si>
    <t>2.36</t>
  </si>
  <si>
    <t>303129</t>
  </si>
  <si>
    <t>BLUNT NDL 18 G 1 1/2</t>
  </si>
  <si>
    <t>205.50</t>
  </si>
  <si>
    <t>309649</t>
  </si>
  <si>
    <t>L3 ST 5 L C CE MARK US</t>
  </si>
  <si>
    <t>49.29</t>
  </si>
  <si>
    <t>300912</t>
  </si>
  <si>
    <t>SPUIT 3-DELIG 10ML LUER LOK</t>
  </si>
  <si>
    <t>51.64</t>
  </si>
  <si>
    <t>301229</t>
  </si>
  <si>
    <t>SPUIT 3-DELIG 30ML LUER LOK</t>
  </si>
  <si>
    <t>139.71</t>
  </si>
  <si>
    <t>385100</t>
  </si>
  <si>
    <t>Q-SYTE device only</t>
  </si>
  <si>
    <t>203.61</t>
  </si>
  <si>
    <t>305211</t>
  </si>
  <si>
    <t>Transfernaald 18G1 1/2 + filter 0,5</t>
  </si>
  <si>
    <t>13.67</t>
  </si>
  <si>
    <t>442023</t>
  </si>
  <si>
    <t>BCTC PLSTC AER/F</t>
  </si>
  <si>
    <t>144.03</t>
  </si>
  <si>
    <t>228.87</t>
  </si>
  <si>
    <t>442021</t>
  </si>
  <si>
    <t>1CTC PLSTC LTC/10 ANAE/F</t>
  </si>
  <si>
    <t>136.61</t>
  </si>
  <si>
    <t>367864</t>
  </si>
  <si>
    <t>Buis K2E 6ml - paars</t>
  </si>
  <si>
    <t>82.61</t>
  </si>
  <si>
    <t>383537</t>
  </si>
  <si>
    <t>NEXIVA 20GA 1.25IN HF Y</t>
  </si>
  <si>
    <t>58.00</t>
  </si>
  <si>
    <t>300865</t>
  </si>
  <si>
    <t>SPUIT 3-DELIG 50/60 ML LUER-LOK</t>
  </si>
  <si>
    <t>20.45</t>
  </si>
  <si>
    <t>393229</t>
  </si>
  <si>
    <t>VENFLON PRO SAFETY 16 GA</t>
  </si>
  <si>
    <t>40.28</t>
  </si>
  <si>
    <t>453.33</t>
  </si>
  <si>
    <t>400.13</t>
  </si>
  <si>
    <t>682245</t>
  </si>
  <si>
    <t>ARTERIE CANULE 20 G 1.0*45 MM</t>
  </si>
  <si>
    <t>59.77</t>
  </si>
  <si>
    <t>364915</t>
  </si>
  <si>
    <t>Buis urine UA 11ml - beige</t>
  </si>
  <si>
    <t>101.48</t>
  </si>
  <si>
    <t>360075</t>
  </si>
  <si>
    <t>EDTA PLH 16X100 10.0 USI</t>
  </si>
  <si>
    <t>133.32</t>
  </si>
  <si>
    <t>368609</t>
  </si>
  <si>
    <t>ECLIPSE naald 21G 1,25" groen</t>
  </si>
  <si>
    <t>70.77</t>
  </si>
  <si>
    <t>360074</t>
  </si>
  <si>
    <t>EDTA PLH 13X75 4.0 USI L</t>
  </si>
  <si>
    <t>7.58</t>
  </si>
  <si>
    <t>368503</t>
  </si>
  <si>
    <t>TUBE-U PLN 13X75 USI</t>
  </si>
  <si>
    <t>97.72</t>
  </si>
  <si>
    <t>47.46</t>
  </si>
  <si>
    <t>364815</t>
  </si>
  <si>
    <t>Naaldhouder wit (Single use)</t>
  </si>
  <si>
    <t>25.41</t>
  </si>
  <si>
    <t>442020</t>
  </si>
  <si>
    <t>BCTC PLSTC PEDS PLUS/F</t>
  </si>
  <si>
    <t>146.34</t>
  </si>
  <si>
    <t>364984</t>
  </si>
  <si>
    <t>24HR URINE CONTAINER</t>
  </si>
  <si>
    <t>32.01</t>
  </si>
  <si>
    <t>391380</t>
  </si>
  <si>
    <t>NEOFLON PRO 24GA</t>
  </si>
  <si>
    <t>122.44</t>
  </si>
  <si>
    <t>mail - mail@kingbelgium.be — Bevestiging bestelling  S09313437-1</t>
  </si>
  <si>
    <t>S09313437-IRIS</t>
  </si>
  <si>
    <t>IMELDA ZIEKENHUIS (Hospital Logistics Magazijn)</t>
  </si>
  <si>
    <t>603402000</t>
  </si>
  <si>
    <t>INNER LAYER BLUE 2.0 25X30CM (1000) (.) Kilometerheffing/Redev</t>
  </si>
  <si>
    <t>68,30 EUR / CS</t>
  </si>
  <si>
    <t>mail - mail@kingbelgium.be — Bevestiging bestelling  S09313425-1</t>
  </si>
  <si>
    <t>S09313425-IRIS</t>
  </si>
  <si>
    <t>733300/GEN</t>
  </si>
  <si>
    <t>BEKER KARTON GEN LICHTBLAUW D.89.8 H.113MM - 300/360ML (20X50)</t>
  </si>
  <si>
    <t>42,35 / CS</t>
  </si>
  <si>
    <t>mail - orders.be@essity.com — 2501209992 ESSITY Orderbevestiging</t>
  </si>
  <si>
    <t>3004528695</t>
  </si>
  <si>
    <t>Essity Belgium NV</t>
  </si>
  <si>
    <t>Hospital Logistics N.V.</t>
  </si>
  <si>
    <t>7151700</t>
  </si>
  <si>
    <t>TEG TUBA 17.5CM X 10M SZJ W 1 INT.</t>
  </si>
  <si>
    <t>23,19 EUR / 1 PC</t>
  </si>
  <si>
    <t>mail - RS.BENELUXCS@MEDTRONIC.COM — RE: FW: Opvolging openstaande orders</t>
  </si>
  <si>
    <t>mail - mail@kingbelgium.be — Bevestiging bestelling  S09313481-1</t>
  </si>
  <si>
    <t>S09313481-IRIS</t>
  </si>
  <si>
    <t>617002000T</t>
  </si>
  <si>
    <t>SEALCHECK ISP®180MM (250) (.) Kilometerheffing/Redev</t>
  </si>
  <si>
    <t>122,46 / CS</t>
  </si>
  <si>
    <t>mail - orders.be@hartmann.info — Hartmann : Order bevestiging</t>
  </si>
  <si>
    <t>42252343</t>
  </si>
  <si>
    <t>04/02/2026</t>
  </si>
  <si>
    <t>N.V. PAUL HARTMANN S.A.</t>
  </si>
  <si>
    <t>Hospital Logistics NV</t>
  </si>
  <si>
    <t>9008736</t>
  </si>
  <si>
    <t>COSMOPOR E latexfree 10x8cm</t>
  </si>
  <si>
    <t>p/s</t>
  </si>
  <si>
    <t>37,17 EUR</t>
  </si>
  <si>
    <t>06/02/2026</t>
  </si>
  <si>
    <t>MM581258</t>
  </si>
  <si>
    <t>77022</t>
  </si>
  <si>
    <t>MASK,PROC,IIR,EARLOOPS KZDC120012</t>
  </si>
  <si>
    <t>2000</t>
  </si>
  <si>
    <t>60,15</t>
  </si>
  <si>
    <t>mail - mail@kingbelgium.be — Confirmation Commande S09313483-1</t>
  </si>
  <si>
    <t>S09313483-IRIS</t>
  </si>
  <si>
    <t>MDC ALLEUR (HOSPITAL LOGISTICS)</t>
  </si>
  <si>
    <t>650100100</t>
  </si>
  <si>
    <t>EXEOL GEL 82 1L AIRLESS -BE-REG-01751 (12X1L)</t>
  </si>
  <si>
    <t>59,86 EUR / CS</t>
  </si>
  <si>
    <t>705773100</t>
  </si>
  <si>
    <t>CREME MAINS EXEOL CARE TUBE (70X100ML)</t>
  </si>
  <si>
    <t>280,00 EUR / CS</t>
  </si>
  <si>
    <t>TEG TUBA 17.5CM X 10M SZ | W 1 INT.</t>
  </si>
  <si>
    <t>mail - sligroout_noreply@sligro.nl — Informatie betreffende een JAVA levering</t>
  </si>
  <si>
    <t>mail - CSC.NL@MOLNLYCKE.COM — * Orderbevestiging 3505026677</t>
  </si>
  <si>
    <t>904370121</t>
  </si>
  <si>
    <t>Mölnlycke Health Care B.V.</t>
  </si>
  <si>
    <t>580204-00</t>
  </si>
  <si>
    <t>Operatiejas Primary Plus SP XXL-L</t>
  </si>
  <si>
    <t>206,48 EUR</t>
  </si>
  <si>
    <t>1932-20</t>
  </si>
  <si>
    <t>Beschermjas Blauw Ondoordringbaar L</t>
  </si>
  <si>
    <t>107,69 EUR</t>
  </si>
  <si>
    <t>mail - CSC.NL@MOLNLYCKE.COM — * Orderbevestiging 1504026582</t>
  </si>
  <si>
    <t>904370151</t>
  </si>
  <si>
    <t>73275-02</t>
  </si>
  <si>
    <t>Biogel Eclipse Ind Uglove 7,5 - 4x50x2</t>
  </si>
  <si>
    <t>78,08 EUR</t>
  </si>
  <si>
    <t>mail - CSC.NL@MOLNLYCKE.COM — * Orderbevestiging 3504015911</t>
  </si>
  <si>
    <t>904369777</t>
  </si>
  <si>
    <t>82280-01</t>
  </si>
  <si>
    <t>Biogel Surgeons 8,0 - 4x50x2</t>
  </si>
  <si>
    <t>59,67 EUR</t>
  </si>
  <si>
    <t>50975-00</t>
  </si>
  <si>
    <t>Biogel Skinsense 7,5 - 4x50x2</t>
  </si>
  <si>
    <t>95,47 EUR</t>
  </si>
  <si>
    <t>73260-02</t>
  </si>
  <si>
    <t>Biogel Eclipse Ind U glove 6,0 - 4x50x2</t>
  </si>
  <si>
    <t>73265-02</t>
  </si>
  <si>
    <t>Biogel Eclipse Ind U glove 6,5 - 4x50x2</t>
  </si>
  <si>
    <t>73270-02</t>
  </si>
  <si>
    <t>Biogel Eclipse Ind U glove 7,0 - 4x50x2</t>
  </si>
  <si>
    <t>73280-02</t>
  </si>
  <si>
    <t>Biogel Eclipse Ind U glove 8,0 - 4x50x2</t>
  </si>
  <si>
    <t>82265-01</t>
  </si>
  <si>
    <t>Biogel Surgeons 6,5 - 4x50x2</t>
  </si>
  <si>
    <t>82270-01</t>
  </si>
  <si>
    <t>Biogel Surgeons 7,0 - 4x50x2</t>
  </si>
  <si>
    <t>82560-01</t>
  </si>
  <si>
    <t>Biogel Super-Sensitive 6,0 - 4x50x2</t>
  </si>
  <si>
    <t>82575-01</t>
  </si>
  <si>
    <t>Biogel Super-Sensitive 7,5 - 4x50x2</t>
  </si>
  <si>
    <t>82580-01</t>
  </si>
  <si>
    <t>Biogel Super-Sensitive 8,0 - 4x50x2</t>
  </si>
  <si>
    <t>289200-01</t>
  </si>
  <si>
    <t>Mepitel One 8x10 cm</t>
  </si>
  <si>
    <t>132,19 EUR</t>
  </si>
  <si>
    <t>82555-01</t>
  </si>
  <si>
    <t>Biogel Super-Sensitive 5,5 - 4x50x2</t>
  </si>
  <si>
    <t>580103-00</t>
  </si>
  <si>
    <t>Primary Plus OJ SP XL-L, 144 cm</t>
  </si>
  <si>
    <t>169,27 EUR</t>
  </si>
  <si>
    <t>590105-00</t>
  </si>
  <si>
    <t>Primary Plus OJ HP XXL-XL, 157 cm</t>
  </si>
  <si>
    <t>218,02 EUR</t>
  </si>
  <si>
    <t>580101-00</t>
  </si>
  <si>
    <t>Primary Plus OJ SP L-L, 134 cm</t>
  </si>
  <si>
    <t>192,86 EUR</t>
  </si>
  <si>
    <t>621500-16</t>
  </si>
  <si>
    <t>Operatietmuts Annie, L, Mixed</t>
  </si>
  <si>
    <t>9,49 EUR</t>
  </si>
  <si>
    <t>4315-00</t>
  </si>
  <si>
    <t>Ext Prot, spatb, oorlus, blauw, IIR</t>
  </si>
  <si>
    <t>11,81 EUR</t>
  </si>
  <si>
    <t>658391-01</t>
  </si>
  <si>
    <t>masker ext conf/prot,vis,vormh,IRR, wit</t>
  </si>
  <si>
    <t>12,64 EUR</t>
  </si>
  <si>
    <t>621001-24</t>
  </si>
  <si>
    <t>Operatiemuts Kosack, Violet</t>
  </si>
  <si>
    <t>14,42 EUR</t>
  </si>
  <si>
    <t>621005-24</t>
  </si>
  <si>
    <t>Operatiemuts Kosack, Blauw</t>
  </si>
  <si>
    <t>11,10 EUR</t>
  </si>
  <si>
    <t>mail - CSC.BE@MOLNLYCKE.COM — * Orderbevestiging 1501037327</t>
  </si>
  <si>
    <t>904370127</t>
  </si>
  <si>
    <t>Mölnlycke Health Care NV</t>
  </si>
  <si>
    <t>HOSPITAL LOGISTICS NV</t>
  </si>
  <si>
    <t>97075106-04</t>
  </si>
  <si>
    <t>Plastische Heelkunde AZ Diest</t>
  </si>
  <si>
    <t>1,00 EUR</t>
  </si>
  <si>
    <t>mail - MOLNLYCKECSC.NETHERLANDS@molnlycke.com — RE: Verwachte leverdatum</t>
  </si>
  <si>
    <t>mail - info@g3-medical.nl — Verkooporder SO00454662 / 3504015927</t>
  </si>
  <si>
    <t>SO00454662</t>
  </si>
  <si>
    <t>880205</t>
  </si>
  <si>
    <t>Swann Morton 0205, chirurgisch mesje nr.15, steriel, disposable, carbonstaal, per stuk, 100st/ds</t>
  </si>
  <si>
    <t>14,43</t>
  </si>
  <si>
    <t>512026</t>
  </si>
  <si>
    <t>CuraSpon anale tampon, gelatine sponges, 30x80mm, steriel 15x1st/ds</t>
  </si>
  <si>
    <t>62,55</t>
  </si>
  <si>
    <t>CuraSpon Cube, gelatine sponges, 10x10x10mm steriel, 50x1st/ds</t>
  </si>
  <si>
    <t>16,42</t>
  </si>
  <si>
    <t>700719</t>
  </si>
  <si>
    <t>Carebowl L, disposable pulp nierbekken schaal, grijs, (4x75st) 300st/ds</t>
  </si>
  <si>
    <t>25,61</t>
  </si>
  <si>
    <t>Dispens</t>
  </si>
  <si>
    <t>1,22</t>
  </si>
  <si>
    <t>mail - info@g3-medical.nl — Verkooporder SO00454638 / 3505026682</t>
  </si>
  <si>
    <t>mail - info@g3-medical.nl — Verkooporder SO00454649 / 3507009728</t>
  </si>
  <si>
    <t>SO00454649</t>
  </si>
  <si>
    <t>101195</t>
  </si>
  <si>
    <t>Catheterstop, disposable, groen, steriel, 100x1st/ds</t>
  </si>
  <si>
    <t>16,45</t>
  </si>
  <si>
    <t>117020</t>
  </si>
  <si>
    <t>Afzuigcatheter Ch14, 60cm, met vacuumcontrol, steriel, 50x1st/ds</t>
  </si>
  <si>
    <t>11,53</t>
  </si>
  <si>
    <t>700111</t>
  </si>
  <si>
    <t>Stiefel biopsy punches, 3,0mm, steriel, 10x1st/ds</t>
  </si>
  <si>
    <t>32,00</t>
  </si>
  <si>
    <t>700118</t>
  </si>
  <si>
    <t>Stiefel ring curette, 7mm, steriel, 10x1st/ds</t>
  </si>
  <si>
    <t>37,92</t>
  </si>
  <si>
    <t>117085</t>
  </si>
  <si>
    <t>Nelatoncatheter, Ch18, 40cm, disposable, steriel, 50x1st/ds</t>
  </si>
  <si>
    <t>10,42</t>
  </si>
  <si>
    <t>WM2T2000/WM2T2000120</t>
  </si>
  <si>
    <t>Urinezak 2.000ml, 120cm slang, monsterafname, CV, bedhanger, NRV, druppelkamer, steriel, 50st/doos</t>
  </si>
  <si>
    <t>138,35</t>
  </si>
  <si>
    <t>88885</t>
  </si>
  <si>
    <t>CMT Anti-slip sokken, groen, large, 43-46, 48pr/doos, p/pr</t>
  </si>
  <si>
    <t>1,27</t>
  </si>
  <si>
    <t>700738</t>
  </si>
  <si>
    <t>Vernacare disposable maatbeker, 1ltr, 100st/ds</t>
  </si>
  <si>
    <t>80,22</t>
  </si>
  <si>
    <t>700209</t>
  </si>
  <si>
    <t>Onderzoeksbekkenpapier Midmark 45 cm. 32 meter ds/12x1</t>
  </si>
  <si>
    <t>76,70</t>
  </si>
  <si>
    <t>CMT Telemetrie draagtasjes, disposable, 21x16,5cm, PP/PE met linttrefband, wit,100st/doos</t>
  </si>
  <si>
    <t>52,59</t>
  </si>
  <si>
    <t>200195</t>
  </si>
  <si>
    <t>Kaakspoolspuit, curved tip, 12ml, 50st/ds</t>
  </si>
  <si>
    <t>11,78</t>
  </si>
  <si>
    <t>700186</t>
  </si>
  <si>
    <t>Sputumbeker 5+ disposable, met deksel, vierkant model, 150 ml, wit, 250st/ds</t>
  </si>
  <si>
    <t>94,24</t>
  </si>
  <si>
    <t xml:space="preserve">mail - collections@sligro.be — 100142673 HL WZC Herinnering Sligro [#KM-6720322] [#RL-144746] </t>
  </si>
  <si>
    <t>mail - no.reply.customer.service@medtronic.com — Order bevestiging 26-02855</t>
  </si>
  <si>
    <t>6251713545 ZOR</t>
  </si>
  <si>
    <t>00763000079505 / 5076-58</t>
  </si>
  <si>
    <t>CapSureFix Novus MRI SureScan 5076 lead (58 cm)</t>
  </si>
  <si>
    <t>273,46</t>
  </si>
  <si>
    <t>20763000532851 / 1882940</t>
  </si>
  <si>
    <t>BLADE 1882940 5PK INFERIOR TURB 2.9MM (1 PK = 5 EA)</t>
  </si>
  <si>
    <t>PK</t>
  </si>
  <si>
    <t>899,89</t>
  </si>
  <si>
    <t>20884521815466</t>
  </si>
  <si>
    <t>MAX-FAST-1 MAX LOW PERF FOREHEAD 02SENS (1 CA = 24 EA)</t>
  </si>
  <si>
    <t>CA</t>
  </si>
  <si>
    <t>543,32</t>
  </si>
  <si>
    <t>00643169488120 / 9734887XOM</t>
  </si>
  <si>
    <t>PATIENT TRACKER 9734887XOM NON-INVASIVE</t>
  </si>
  <si>
    <t>80,11</t>
  </si>
  <si>
    <t>20681490049140 / 1895522</t>
  </si>
  <si>
    <t>TUBING 1895522 5PK STRAIGHTSHOT TO XPS (1 PK = 5 EA)</t>
  </si>
  <si>
    <t>83,26</t>
  </si>
  <si>
    <t>20681490697785 / 1912019</t>
  </si>
  <si>
    <t>SHEATH 1912019 ENDO-SCRUB 2 5PK 4MM/25 DEG WOLF</t>
  </si>
  <si>
    <t>195,00</t>
  </si>
  <si>
    <t>mail - noreply@lyreco.com — Lyreco orderbevestiging 167913009-16022026-0006</t>
  </si>
  <si>
    <t>167913009</t>
  </si>
  <si>
    <t>143.344</t>
  </si>
  <si>
    <t>DS2400 LYRECO ETIKET 70X36</t>
  </si>
  <si>
    <t>3,40 EUR</t>
  </si>
  <si>
    <t>mail - CustomerCareBE@fresenius-kabi.com — ORDERBEVESTIGING 2364064918</t>
  </si>
  <si>
    <t>2364064918</t>
  </si>
  <si>
    <t>Fresenius Kabi nv/sa</t>
  </si>
  <si>
    <t>HOSPITAL LOGISTICS N.V. - UZL</t>
  </si>
  <si>
    <t>9004132</t>
  </si>
  <si>
    <t>INJ ECTOMAT LINE PE 150 CM 1 X 1 STÜCK / EACH</t>
  </si>
  <si>
    <t>0,26</t>
  </si>
  <si>
    <t>8050601</t>
  </si>
  <si>
    <t>Fresubin ENERGY Drink Chocolate F-NL 1 X 200 ML EASYBOTTLE</t>
  </si>
  <si>
    <t>0,75</t>
  </si>
  <si>
    <t>8020641</t>
  </si>
  <si>
    <t>Fresubin 2 KCAL Drink Cappuccino F-NL 1 X 200 ML EASYBOTTLE</t>
  </si>
  <si>
    <t>0,95</t>
  </si>
  <si>
    <t>mail - tena.medical.cs.nl@essity.com — 2507017044 ESSITY Order Ontvangstbevestiging</t>
  </si>
  <si>
    <t>3004543712</t>
  </si>
  <si>
    <t>6570</t>
  </si>
  <si>
    <t>TENA ProSkin Wash Mousse 400 ml</t>
  </si>
  <si>
    <t>CON</t>
  </si>
  <si>
    <t>2,61 / 1 CON</t>
  </si>
  <si>
    <t>4257</t>
  </si>
  <si>
    <t>TENA ProSkin Body Cream 150 ml</t>
  </si>
  <si>
    <t>1,90 / 1 CON</t>
  </si>
  <si>
    <t>mail - tena.medical.cs.nl@essity.com — 2505040799 ESSITY Order Ontvangstbevestiging</t>
  </si>
  <si>
    <t>3004543710</t>
  </si>
  <si>
    <t>7276000</t>
  </si>
  <si>
    <t>Leukoplast swab cellulose 4 x 5cm - P500</t>
  </si>
  <si>
    <t>4,53 / 1 PC</t>
  </si>
  <si>
    <t>mail - tena.medical.cs.nl@essity.com — 3505026678 ESSITY Orderbevestiging</t>
  </si>
  <si>
    <t>3004536034</t>
  </si>
  <si>
    <t>7128500</t>
  </si>
  <si>
    <t>LP cot wool gauze ST 80x53g hygiene set</t>
  </si>
  <si>
    <t>47,18 EUR / 1 PC</t>
  </si>
  <si>
    <t>792691</t>
  </si>
  <si>
    <t>TENA Pants Plus L, 4x14 pcs, Centr. Ps</t>
  </si>
  <si>
    <t>85,31 EUR / 100 PCS</t>
  </si>
  <si>
    <t>mail - tena.medical.cs.nl@essity.com — 6507004831 ESSITY Order Ontvangstbevestiging</t>
  </si>
  <si>
    <t>3004543709</t>
  </si>
  <si>
    <t>722394</t>
  </si>
  <si>
    <t>TENA Flex Normal L 3x34p, INT/NEU, NSW</t>
  </si>
  <si>
    <t>41,61 EUR / 100 PCS</t>
  </si>
  <si>
    <t>mail - noreplyr@brocacef.nl — Uw orderinformatie (uw referentie: 2505040801, Brocacef Ordernr: TPV72495)</t>
  </si>
  <si>
    <t>TPV72495</t>
  </si>
  <si>
    <t>Brocacef</t>
  </si>
  <si>
    <t>Hospital Logistics - Jeroen Bosch</t>
  </si>
  <si>
    <t>70150471</t>
  </si>
  <si>
    <t>Nutrilon nenatal 1</t>
  </si>
  <si>
    <t>900g</t>
  </si>
  <si>
    <t>mail - noreplyr@brocacef.nl — Uw orderinformatie (uw referentie: 1504026606, Brocacef Ordernr: TPV72539)</t>
  </si>
  <si>
    <t>TPV72539</t>
  </si>
  <si>
    <t>Brocacef BV</t>
  </si>
  <si>
    <t>Hospital Logistics - Gelre Ziekenhuizen</t>
  </si>
  <si>
    <t>70145073</t>
  </si>
  <si>
    <t>Flocare univ set inf enfit 90084</t>
  </si>
  <si>
    <t>30x1st</t>
  </si>
  <si>
    <t>TP060817</t>
  </si>
  <si>
    <t>12/12/2025</t>
  </si>
  <si>
    <t>FL001012</t>
  </si>
  <si>
    <t>Flocare container leeg 1ltr</t>
  </si>
  <si>
    <t>10st</t>
  </si>
  <si>
    <t>TPP41303</t>
  </si>
  <si>
    <t>18/12/2025</t>
  </si>
  <si>
    <t>TPF62250</t>
  </si>
  <si>
    <t>19/12/2025</t>
  </si>
  <si>
    <t>mail - orders.NL@freseniusmedicalcare.com — Re: [EXTERNAL EMAIL] Order Hospital Logistics  3505026679</t>
  </si>
  <si>
    <t>2364066063</t>
  </si>
  <si>
    <t>Hospital Logistics MDC / Erasmus MC</t>
  </si>
  <si>
    <t>F00010398</t>
  </si>
  <si>
    <t>Ci-Ca Dialysate K4 Plus, 4mmol/l K+, LC1</t>
  </si>
  <si>
    <t>F00007433</t>
  </si>
  <si>
    <t>multiBic 4mmol/L K+, 5000mL</t>
  </si>
  <si>
    <t>2364065998</t>
  </si>
  <si>
    <t>Hospital Logistics Nederland (AZM)</t>
  </si>
  <si>
    <t>5008201</t>
  </si>
  <si>
    <t>DIASAFE PLUS FILTER</t>
  </si>
  <si>
    <t>117,70</t>
  </si>
  <si>
    <t>F00007729</t>
  </si>
  <si>
    <t>6008 CAREset BVM L-R</t>
  </si>
  <si>
    <t>2364065951</t>
  </si>
  <si>
    <t>Hospital Logistics Nederland (Zuyd.)</t>
  </si>
  <si>
    <t>7030011</t>
  </si>
  <si>
    <t>PROLONGATION LLF-LLM 75 cm R</t>
  </si>
  <si>
    <t>2,53</t>
  </si>
  <si>
    <t>F00003229</t>
  </si>
  <si>
    <t>VenAcc Patch</t>
  </si>
  <si>
    <t>3,71</t>
  </si>
  <si>
    <t>F00012523</t>
  </si>
  <si>
    <t>Freka-NOL 2L</t>
  </si>
  <si>
    <t>14,88</t>
  </si>
  <si>
    <t>2364065929</t>
  </si>
  <si>
    <t>Hospital Logistics Nederland (Bernhoven)</t>
  </si>
  <si>
    <t>31,64</t>
  </si>
  <si>
    <t>F00005857</t>
  </si>
  <si>
    <t>Citrosteril 5 L</t>
  </si>
  <si>
    <t>F00006341</t>
  </si>
  <si>
    <t>AC-F 311.5 (4.2L)</t>
  </si>
  <si>
    <t>2364065876</t>
  </si>
  <si>
    <t>Hospital Logistics Nederland (Bern)</t>
  </si>
  <si>
    <t>F00007727</t>
  </si>
  <si>
    <t>6008 CAREset BVM-R</t>
  </si>
  <si>
    <t>8,21</t>
  </si>
  <si>
    <t>mail - orders.NL@hartmann.info — HARTMANN: ORDERBEVESTIGING0021752283</t>
  </si>
  <si>
    <t>21752283</t>
  </si>
  <si>
    <t>Paul Hartmann B.V.</t>
  </si>
  <si>
    <t>9814402</t>
  </si>
  <si>
    <t>Bacillol AF tissues</t>
  </si>
  <si>
    <t>pak</t>
  </si>
  <si>
    <t>38,34 EUR</t>
  </si>
  <si>
    <t>9811843</t>
  </si>
  <si>
    <t>Sterillium Med 500 ml</t>
  </si>
  <si>
    <t>stuk</t>
  </si>
  <si>
    <t>59,00 EUR</t>
  </si>
  <si>
    <t>9813285</t>
  </si>
  <si>
    <t>Baktolin pure 500ml</t>
  </si>
  <si>
    <t>40,11 EUR</t>
  </si>
  <si>
    <t>9819871</t>
  </si>
  <si>
    <t>Bacillol 30 Sens. Tiss.green</t>
  </si>
  <si>
    <t>120st</t>
  </si>
  <si>
    <t>36,72 EUR</t>
  </si>
  <si>
    <t>mail - orders.be@duomed.com — Orderbevestiging C007-S2607598-1</t>
  </si>
  <si>
    <t>C007-S2607598-1</t>
  </si>
  <si>
    <t>M1004132</t>
  </si>
  <si>
    <t>HMEF 750</t>
  </si>
  <si>
    <t>70.71</t>
  </si>
  <si>
    <t>TP1101</t>
  </si>
  <si>
    <t>Zakje Suture Strips 6mmx76mm (3 Strips)</t>
  </si>
  <si>
    <t>50.88</t>
  </si>
  <si>
    <t>E6020</t>
  </si>
  <si>
    <t>C-Arm Drape B Model XI (1)</t>
  </si>
  <si>
    <t>B30</t>
  </si>
  <si>
    <t>342.36</t>
  </si>
  <si>
    <t>AFNXXXXXX</t>
  </si>
  <si>
    <t>Limbo 1,83m-Elbow-gas sampling</t>
  </si>
  <si>
    <t>B20</t>
  </si>
  <si>
    <t>183.47</t>
  </si>
  <si>
    <t>01.000.08.110</t>
  </si>
  <si>
    <t>Zuurstofmasker Volwassen, 2,1M Leiding</t>
  </si>
  <si>
    <t>43.80</t>
  </si>
  <si>
    <t>1837639HD</t>
  </si>
  <si>
    <t>Aniosrub 85 Npc 500ml Dispenser - Notif 091</t>
  </si>
  <si>
    <t>42.30</t>
  </si>
  <si>
    <t>1644748HD</t>
  </si>
  <si>
    <t>Aniosgel 85 Npc Fles 500ml+3 ml Pomp - Notif 093</t>
  </si>
  <si>
    <t>36.85</t>
  </si>
  <si>
    <t>01.000.08.753</t>
  </si>
  <si>
    <t>Aerosolmasker Volw.+ Vernev 6ml, 210cm Leiding</t>
  </si>
  <si>
    <t>60.60</t>
  </si>
  <si>
    <t>184.98</t>
  </si>
  <si>
    <t>3148468</t>
  </si>
  <si>
    <t>Incidin Pro 2 L Aut.4618B</t>
  </si>
  <si>
    <t>B3</t>
  </si>
  <si>
    <t>87.40</t>
  </si>
  <si>
    <t>mail - orders.NL@hartmann.info — HARTMANN: ORDERBEVESTIGING0021752292</t>
  </si>
  <si>
    <t>21752292</t>
  </si>
  <si>
    <t>9325346</t>
  </si>
  <si>
    <t>Verba gr. 4 br 25cm 95-105cm</t>
  </si>
  <si>
    <t>14.18 EUR</t>
  </si>
  <si>
    <t>4137010</t>
  </si>
  <si>
    <t>Zetuvit st 10x10cm</t>
  </si>
  <si>
    <t>OK</t>
  </si>
  <si>
    <t>29.01 EUR</t>
  </si>
  <si>
    <t>4137048</t>
  </si>
  <si>
    <t>Zetuvit st 20x40cm</t>
  </si>
  <si>
    <t>33.18 EUR</t>
  </si>
  <si>
    <t>4110753</t>
  </si>
  <si>
    <t>Medicomp 10x20cm s</t>
  </si>
  <si>
    <t>FS</t>
  </si>
  <si>
    <t>8.72 EUR</t>
  </si>
  <si>
    <t>1680490</t>
  </si>
  <si>
    <t>MoliCare Premium lady Pad 4.5D</t>
  </si>
  <si>
    <t>ZK</t>
  </si>
  <si>
    <t>2.57 EUR</t>
  </si>
  <si>
    <t>1652742</t>
  </si>
  <si>
    <t>MoliCare Elastic 6dr mt XL</t>
  </si>
  <si>
    <t>28.82 EUR</t>
  </si>
  <si>
    <t>4521373</t>
  </si>
  <si>
    <t>Telacomp tms 10x20cm 12lg s</t>
  </si>
  <si>
    <t>12.54 EUR</t>
  </si>
  <si>
    <t>5353814</t>
  </si>
  <si>
    <t>DP Injectie pleister 16x40mm</t>
  </si>
  <si>
    <t>1.64 EUR</t>
  </si>
  <si>
    <t>5406847</t>
  </si>
  <si>
    <t>Omnistrip 6x10mm st</t>
  </si>
  <si>
    <t>16.20 EUR</t>
  </si>
  <si>
    <t>7163130</t>
  </si>
  <si>
    <t>Samu kraamverband maxi plus</t>
  </si>
  <si>
    <t>3.54 EUR</t>
  </si>
  <si>
    <t>9320491</t>
  </si>
  <si>
    <t>rolta soft 3mx10cm</t>
  </si>
  <si>
    <t>12.92 EUR</t>
  </si>
  <si>
    <t>3000450</t>
  </si>
  <si>
    <t>Peha-haft latexvrij 20mx8cm</t>
  </si>
  <si>
    <t>48.89 EUR</t>
  </si>
  <si>
    <t>9325336</t>
  </si>
  <si>
    <t>Verba gr. 3 br 25cm 85-95cm</t>
  </si>
  <si>
    <t>9820170</t>
  </si>
  <si>
    <t>Sterillium Gel pure 500 ml</t>
  </si>
  <si>
    <t>85.15 EUR</t>
  </si>
  <si>
    <t>6850205</t>
  </si>
  <si>
    <t>RespoSorb Super 10x10cm</t>
  </si>
  <si>
    <t>2.44 EUR</t>
  </si>
  <si>
    <t>4188006</t>
  </si>
  <si>
    <t>Sterilux ES-Komp 5x5cm 8lg</t>
  </si>
  <si>
    <t>17.33 EUR</t>
  </si>
  <si>
    <t>9324604</t>
  </si>
  <si>
    <t>Peha-haft rood 6cmx20m</t>
  </si>
  <si>
    <t>2.24 EUR</t>
  </si>
  <si>
    <t>3000460</t>
  </si>
  <si>
    <t>Peha-haft latexvrij 20mx12cm</t>
  </si>
  <si>
    <t>75.10 EUR</t>
  </si>
  <si>
    <t>9005740</t>
  </si>
  <si>
    <t>Omniplast 2,5cm x 9,2m</t>
  </si>
  <si>
    <t>0.99 EUR</t>
  </si>
  <si>
    <t>9310680</t>
  </si>
  <si>
    <t>Coverflex-grip mD T 7,5x10m</t>
  </si>
  <si>
    <t>8.28 EUR</t>
  </si>
  <si>
    <t>9310690</t>
  </si>
  <si>
    <t>Coverflex-grip mT E 8,75x10m</t>
  </si>
  <si>
    <t>9.75 EUR</t>
  </si>
  <si>
    <t>3101102</t>
  </si>
  <si>
    <t>Peha-lastotel 4mx4cm ongecel</t>
  </si>
  <si>
    <t>1.74 EUR</t>
  </si>
  <si>
    <t>9008746</t>
  </si>
  <si>
    <t>Cosmopor E 15x8cm s</t>
  </si>
  <si>
    <t>49.61 EUR</t>
  </si>
  <si>
    <t>4215357</t>
  </si>
  <si>
    <t>Medicomp drain 10x10cm s</t>
  </si>
  <si>
    <t>17.05 EUR</t>
  </si>
  <si>
    <t>4137039</t>
  </si>
  <si>
    <t>Zetuvit st 20x20cm</t>
  </si>
  <si>
    <t>30.80 EUR</t>
  </si>
  <si>
    <t>1660150</t>
  </si>
  <si>
    <t>MoliCare Premium Mobile 6D L</t>
  </si>
  <si>
    <t>33.27 EUR</t>
  </si>
  <si>
    <t>9802871</t>
  </si>
  <si>
    <t>Sterillium 1000 ml</t>
  </si>
  <si>
    <t>58.75 EUR</t>
  </si>
  <si>
    <t>4995532</t>
  </si>
  <si>
    <t>Atrauman 7,5x10cm steriel</t>
  </si>
  <si>
    <t>75.35 EUR</t>
  </si>
  <si>
    <t>Cosmopor E 10x8cm s</t>
  </si>
  <si>
    <t>26.30 EUR</t>
  </si>
  <si>
    <t>2343312</t>
  </si>
  <si>
    <t>CS PMC Algemene set</t>
  </si>
  <si>
    <t>183.11 EUR</t>
  </si>
  <si>
    <t>9325326</t>
  </si>
  <si>
    <t>Verba gr. 2 br 25cm 75-85cm</t>
  </si>
  <si>
    <t>14.25 EUR</t>
  </si>
  <si>
    <t>9008708</t>
  </si>
  <si>
    <t>Cosmopor E 7,2x5 cm s</t>
  </si>
  <si>
    <t>64.64 EUR</t>
  </si>
  <si>
    <t>9324614</t>
  </si>
  <si>
    <t>Peha-haft color rood 8cmx20m</t>
  </si>
  <si>
    <t>2.69 EUR</t>
  </si>
  <si>
    <t>5353612</t>
  </si>
  <si>
    <t>DermaPlast Sensitive 5mx6cm</t>
  </si>
  <si>
    <t>2.65 EUR</t>
  </si>
  <si>
    <t>1660140</t>
  </si>
  <si>
    <t>MoliCare Premium Mobile 6D M</t>
  </si>
  <si>
    <t>21.91 EUR</t>
  </si>
  <si>
    <t>1652722</t>
  </si>
  <si>
    <t>MoliCare Elastic 6dr mt M</t>
  </si>
  <si>
    <t>31.00 EUR</t>
  </si>
  <si>
    <t>9816992</t>
  </si>
  <si>
    <t>Bacillol 30 Sensitive Foam 50 ml</t>
  </si>
  <si>
    <t>67.06 EUR</t>
  </si>
  <si>
    <t>Bacillol 30 Sens. Tiss.green 120st</t>
  </si>
  <si>
    <t>36.72 EUR</t>
  </si>
  <si>
    <t>4110642</t>
  </si>
  <si>
    <t>Medicomp 10x10cm s</t>
  </si>
  <si>
    <t>1.75 EUR</t>
  </si>
  <si>
    <t>5355481</t>
  </si>
  <si>
    <t>DermaPlast aqua strips 3 mt.</t>
  </si>
  <si>
    <t>0.48 EUR</t>
  </si>
  <si>
    <t>3101112</t>
  </si>
  <si>
    <t>Peha-lastotel 4mx6cm ongecel</t>
  </si>
  <si>
    <t>19.85 EUR</t>
  </si>
  <si>
    <t>4710010</t>
  </si>
  <si>
    <t>Mediset nietjesverwijderaar</t>
  </si>
  <si>
    <t>71.52 EUR</t>
  </si>
  <si>
    <t>mail - orders.NL@hartmann.info — HARTMANN: ORDERBEVESTIGING0021752293</t>
  </si>
  <si>
    <t>21752293</t>
  </si>
  <si>
    <t>3030722</t>
  </si>
  <si>
    <t>Peha-Fix 4mx8cm cell</t>
  </si>
  <si>
    <t>21,00 EUR</t>
  </si>
  <si>
    <t>4137020</t>
  </si>
  <si>
    <t>Zetuvit st 10x20cm (doos 25x1)</t>
  </si>
  <si>
    <t>43,75 EUR</t>
  </si>
  <si>
    <t>4540131</t>
  </si>
  <si>
    <t>Telasorb s 45x45cm 20dr 4lg (doos 12x5)</t>
  </si>
  <si>
    <t>32,31 EUR</t>
  </si>
  <si>
    <t>3320660</t>
  </si>
  <si>
    <t>Idealast 5mx12cm cell (zwachtel)</t>
  </si>
  <si>
    <t>80,64 EUR</t>
  </si>
  <si>
    <t>9802861</t>
  </si>
  <si>
    <t>Sterillium 500 ml</t>
  </si>
  <si>
    <t>3,25 EUR</t>
  </si>
  <si>
    <t>14,25 EUR</t>
  </si>
  <si>
    <t>3320650</t>
  </si>
  <si>
    <t>Idealast 5mx10cm cell (zwachtel)</t>
  </si>
  <si>
    <t>83,92 EUR</t>
  </si>
  <si>
    <t>5356481</t>
  </si>
  <si>
    <t>DermaPlast Kids strips 2 mt. (doos 20)</t>
  </si>
  <si>
    <t>0,30 EUR</t>
  </si>
  <si>
    <t>5,88 EUR</t>
  </si>
  <si>
    <t>Sterillium 500 ml (different pack)</t>
  </si>
  <si>
    <t>65,00 EUR</t>
  </si>
  <si>
    <t>4501012</t>
  </si>
  <si>
    <t>Telaprep tms middel nr.2 s (doos 30x10)</t>
  </si>
  <si>
    <t>42,50 EUR</t>
  </si>
  <si>
    <t>4521353</t>
  </si>
  <si>
    <t>Telacomp ES-K st 10x10 12lg (ds 16x10)</t>
  </si>
  <si>
    <t>68,04 EUR</t>
  </si>
  <si>
    <t>4218218</t>
  </si>
  <si>
    <t>Medicomp 5x5cm (zak 100)</t>
  </si>
  <si>
    <t>8,57 EUR</t>
  </si>
  <si>
    <t>mail - CSZiekenhuizen@mediq.com — Mediq orderbevestiging: 3507009731</t>
  </si>
  <si>
    <t>4381872</t>
  </si>
  <si>
    <t>3038183</t>
  </si>
  <si>
    <t>NUTRICIA FLOCARE PUR TUBE CH10 110CM 94570</t>
  </si>
  <si>
    <t>6,87 EUR</t>
  </si>
  <si>
    <t>3052501</t>
  </si>
  <si>
    <t>KLINION ENGELS PLUKSEL 10CMX5M 40170060</t>
  </si>
  <si>
    <t>3,72 EUR</t>
  </si>
  <si>
    <t>mail - orders.be@duomed.com — Orderbevestiging C007-S2607622-1</t>
  </si>
  <si>
    <t>C007-S2607622-1</t>
  </si>
  <si>
    <t>Hospital Logistics n.v.</t>
  </si>
  <si>
    <t>CJ-PAT-23-160-A</t>
  </si>
  <si>
    <t>Biopsy Forceps Standard Cup with Needle; Catheter Diam 2.3mm - Length 160cm / PTFE Coated</t>
  </si>
  <si>
    <t>BIO</t>
  </si>
  <si>
    <t>38,08 EUR</t>
  </si>
  <si>
    <t>CJ-PAT-23-230-A</t>
  </si>
  <si>
    <t>Biopsy Forceps Standard Cup with Needle; Catheter Diam 2.3mm - Length 230cm / PTFE Coated</t>
  </si>
  <si>
    <t xml:space="preserve">mail - intraorder@brocacef.nl — RE: Verwachte LT </t>
  </si>
  <si>
    <t>mail - orders.be@duomed.com — Orderbevestiging C007-S2607619-1</t>
  </si>
  <si>
    <t>C007-S2607619-1</t>
  </si>
  <si>
    <t>330048075</t>
  </si>
  <si>
    <t>Gammex Latex 7,5</t>
  </si>
  <si>
    <t>140,54 EUR</t>
  </si>
  <si>
    <t>36,85 EUR</t>
  </si>
  <si>
    <t>mail - nl-customerservice@medline.com — FW: ORDERBEVESTIGING NL327171, Deb.nr. 110890HE,  Uw order: 3507009725</t>
  </si>
  <si>
    <t>NL327171</t>
  </si>
  <si>
    <t>Medline International Netherlands B.V.</t>
  </si>
  <si>
    <t>Hosp.Log NL</t>
  </si>
  <si>
    <t>8371ICEB</t>
  </si>
  <si>
    <t>Tafelveld Versterkt 140x190cm</t>
  </si>
  <si>
    <t>St.</t>
  </si>
  <si>
    <t>39,95</t>
  </si>
  <si>
    <t>91051482</t>
  </si>
  <si>
    <t>CIL FLEX, 122CM, FLL, MLL, 1200PSI</t>
  </si>
  <si>
    <t>234,90</t>
  </si>
  <si>
    <t>WGHBA031NL</t>
  </si>
  <si>
    <t>Laparosc, Tray, Abd/Rectal</t>
  </si>
  <si>
    <t>108,12</t>
  </si>
  <si>
    <t>9358CECA</t>
  </si>
  <si>
    <t>Afdekaken, 112 x 145cm, ECL</t>
  </si>
  <si>
    <t>44,22</t>
  </si>
  <si>
    <t>WGHBA068EVNUS</t>
  </si>
  <si>
    <t>Tray (WGHBA068EVNUS)</t>
  </si>
  <si>
    <t>93,38</t>
  </si>
  <si>
    <t>IDE1016</t>
  </si>
  <si>
    <t>VUCHTOPVANGZAK, 51X51CM, ADH, FRST</t>
  </si>
  <si>
    <t>112,31</t>
  </si>
  <si>
    <t>WGHEN048A</t>
  </si>
  <si>
    <t>Kaak, Tray (WGHEN048A)</t>
  </si>
  <si>
    <t>95,91</t>
  </si>
  <si>
    <t>WGHBS123E</t>
  </si>
  <si>
    <t>Schouderscopie, Tray</t>
  </si>
  <si>
    <t>118,79</t>
  </si>
  <si>
    <t>WGHAN023J</t>
  </si>
  <si>
    <t>Angiografie, Tray</t>
  </si>
  <si>
    <t>166,56</t>
  </si>
  <si>
    <t>WGHAN119BPICC</t>
  </si>
  <si>
    <t>BPICC, Tray</t>
  </si>
  <si>
    <t>128,20</t>
  </si>
  <si>
    <t>KER70211</t>
  </si>
  <si>
    <t>Washandje tbv Joderen P2, MP</t>
  </si>
  <si>
    <t>72,41</t>
  </si>
  <si>
    <t>TB9650CE</t>
  </si>
  <si>
    <t>Splitlaken 196x274cm set</t>
  </si>
  <si>
    <t>70,63</t>
  </si>
  <si>
    <t>TB29960CE</t>
  </si>
  <si>
    <t>Gynaecologie, Set</t>
  </si>
  <si>
    <t>56,94</t>
  </si>
  <si>
    <t>TB31600CE</t>
  </si>
  <si>
    <t>Voetlaken 196x200cm</t>
  </si>
  <si>
    <t>92,42</t>
  </si>
  <si>
    <t>9512CEA0K</t>
  </si>
  <si>
    <t>Jas Spunlace Versterkt 150cm</t>
  </si>
  <si>
    <t>63,62</t>
  </si>
  <si>
    <t>WGHMA034D</t>
  </si>
  <si>
    <t>Vaginaal, Tray</t>
  </si>
  <si>
    <t>153,75</t>
  </si>
  <si>
    <t>PC1290EU</t>
  </si>
  <si>
    <t>Sondehoes 15x122cm Gel</t>
  </si>
  <si>
    <t>81,39</t>
  </si>
  <si>
    <t>KER71070AOOG</t>
  </si>
  <si>
    <t>Oog, Tray-MP</t>
  </si>
  <si>
    <t>352,32</t>
  </si>
  <si>
    <t>4765IM-BOORHOES</t>
  </si>
  <si>
    <t>8x120cm + 2 kleefstripjes</t>
  </si>
  <si>
    <t>115,15</t>
  </si>
  <si>
    <t>MSG9665</t>
  </si>
  <si>
    <t>SensiCare PI Micro 6,5</t>
  </si>
  <si>
    <t>203,91</t>
  </si>
  <si>
    <t>MSG9670</t>
  </si>
  <si>
    <t>SensiCare PI Micro 7,0</t>
  </si>
  <si>
    <t>MSG9680</t>
  </si>
  <si>
    <t>SensiCare PI Micro 8,0</t>
  </si>
  <si>
    <t>NONECVL</t>
  </si>
  <si>
    <t>VISITOR COVERALL, BLUE, SMS, L (backorder)</t>
  </si>
  <si>
    <t>21,50</t>
  </si>
  <si>
    <t>WGHBS181DTKP</t>
  </si>
  <si>
    <t>Tray (WGHBS181DTKP)</t>
  </si>
  <si>
    <t>135,34</t>
  </si>
  <si>
    <t>486802</t>
  </si>
  <si>
    <t>SensiCare Ice M Nitrile Blauw</t>
  </si>
  <si>
    <t>74,24</t>
  </si>
  <si>
    <t>MDTEDBTRD3XL</t>
  </si>
  <si>
    <t>Antislipkousen Dubbel Grijs Bariatrisch &gt;46 (backorder)</t>
  </si>
  <si>
    <t>72,25</t>
  </si>
  <si>
    <t>CRIE404IC</t>
  </si>
  <si>
    <t>Isolatieschort Bilaminaat Manchet Geel XL</t>
  </si>
  <si>
    <t>77,69</t>
  </si>
  <si>
    <t>CUB1</t>
  </si>
  <si>
    <t>Clippersmesje Universeel Grijs</t>
  </si>
  <si>
    <t>76,18</t>
  </si>
  <si>
    <t>VISITOR COVERALL, BLUE, SMS, L (backorder batch)</t>
  </si>
  <si>
    <t>F. 2 KCAL CREME Capp. D-F-S-DK/N-NL-HR 1 X 125 GRAMM BECHER</t>
  </si>
  <si>
    <t>mail - orders.be@duomed.com — Orderbevestiging C007-S2607623-1</t>
  </si>
  <si>
    <t>C007-S2607623-1</t>
  </si>
  <si>
    <t>EUCS270C</t>
  </si>
  <si>
    <t>Chirurgische Borstel Met Chlohexidine 4%</t>
  </si>
  <si>
    <t>11,43 EUR</t>
  </si>
  <si>
    <t>TPI102</t>
  </si>
  <si>
    <t>Zakje Suture Strips 6mmx102mm (10 Strips)</t>
  </si>
  <si>
    <t>55,56 EUR</t>
  </si>
  <si>
    <t>3115790</t>
  </si>
  <si>
    <t>Incidin OxyFoam S 750 ml</t>
  </si>
  <si>
    <t>34,28 EUR</t>
  </si>
  <si>
    <t>23810366C</t>
  </si>
  <si>
    <t>Aniosyme xl3 Bus Van 5 Liter + Doseerpomp</t>
  </si>
  <si>
    <t>B4</t>
  </si>
  <si>
    <t>332,68 EUR</t>
  </si>
  <si>
    <t>7506</t>
  </si>
  <si>
    <t>Kimtech Absorberende Handdoek</t>
  </si>
  <si>
    <t>B16</t>
  </si>
  <si>
    <t>228,72 EUR</t>
  </si>
  <si>
    <t>OP-1125-8</t>
  </si>
  <si>
    <t>Oxypuls over Sized Mask+7" Tube</t>
  </si>
  <si>
    <t>134,94 EUR</t>
  </si>
  <si>
    <t>423281</t>
  </si>
  <si>
    <t>Esenta Adhesive Remover Wipes (30 Wipes/Box)</t>
  </si>
  <si>
    <t>391,73 EUR</t>
  </si>
  <si>
    <t>34186</t>
  </si>
  <si>
    <t>Halyard Quick Check H200 101x101cm</t>
  </si>
  <si>
    <t>B120</t>
  </si>
  <si>
    <t>66,00 EUR</t>
  </si>
  <si>
    <t>34181</t>
  </si>
  <si>
    <t>Halyard Quick Check H300 121x121cm</t>
  </si>
  <si>
    <t>B96</t>
  </si>
  <si>
    <t>82,65 EUR</t>
  </si>
  <si>
    <t>S10-3P</t>
  </si>
  <si>
    <t>Zakjes Papier/Tranparant 205x400mm + 3 Indicatoren</t>
  </si>
  <si>
    <t>B600</t>
  </si>
  <si>
    <t>46,41 EUR</t>
  </si>
  <si>
    <t>S9-3P</t>
  </si>
  <si>
    <t>Zakjes Papier/Transparant 100x400mm+ 3 Indicatoren</t>
  </si>
  <si>
    <t>B1200</t>
  </si>
  <si>
    <t>50,89 EUR</t>
  </si>
  <si>
    <t>55,40 EUR</t>
  </si>
  <si>
    <t>DL 316</t>
  </si>
  <si>
    <t>Hold-n-Place Cath. Holder-Leg Band Fits Up To 76 cm</t>
  </si>
  <si>
    <t>PCS</t>
  </si>
  <si>
    <t>7,55 EUR</t>
  </si>
  <si>
    <t>mail - customerservice.nl@hartmann.info — RE: Verwachte LT</t>
  </si>
  <si>
    <t>mail - noreply@lyreco.com — Lyreco orderbevestiging 167924591-16022026-0006</t>
  </si>
  <si>
    <t>167924591</t>
  </si>
  <si>
    <t>Besteld door Hospital Logistics DS2400 LY RECO ETIKET 70X36</t>
  </si>
  <si>
    <t>3,40</t>
  </si>
  <si>
    <t>mail - infobenelux@bd.com — RE: Opvolging openstaande orders</t>
  </si>
  <si>
    <t>mail - tena.medical.cs.nl@essity.com — 6507004833 ESSITY Order Ontvangstbevestiging</t>
  </si>
  <si>
    <t>3004547003</t>
  </si>
  <si>
    <t>mail - sligroout_noreply@sligro.nl — Van Hoeckel order ontvangstbevestiging</t>
  </si>
  <si>
    <t>HOSPITAL LOGISTICS MDC (702665)</t>
  </si>
  <si>
    <t>302135</t>
  </si>
  <si>
    <t>640 GR KNORR C-A-S VEND.TOMAAT 40P</t>
  </si>
  <si>
    <t>17/03/2026</t>
  </si>
  <si>
    <t>mail - orders.be@essity.com — 2508010179 ESSITY Orderbevestiging</t>
  </si>
  <si>
    <t>3004536001</t>
  </si>
  <si>
    <t>7146701</t>
  </si>
  <si>
    <t>SOFF BAN 7.5CM X 2,7M /12</t>
  </si>
  <si>
    <t>2,94 EUR / 1 PC</t>
  </si>
  <si>
    <t>7645524</t>
  </si>
  <si>
    <t>LP EL 19X75MM TA 100 INT.</t>
  </si>
  <si>
    <t>3,76 EUR / 1 PC</t>
  </si>
  <si>
    <t>7199400</t>
  </si>
  <si>
    <t>GYPSONA S DISP. 10CMX20M /4L</t>
  </si>
  <si>
    <t>28,68 EUR / 1 PC</t>
  </si>
  <si>
    <t>mail - mail@kingbelgium.be — Bevestiging bestelling  S09313926-1</t>
  </si>
  <si>
    <t>S09313926-IRIS</t>
  </si>
  <si>
    <t>HOSPITAL LOGISTICS MAGAZIJN - AZ HERENTALS</t>
  </si>
  <si>
    <t>090708/01</t>
  </si>
  <si>
    <t>AFVALZAK LD RECYCLED T40 61X69CM GRIJS (30X20)</t>
  </si>
  <si>
    <t>36,85 / CS</t>
  </si>
  <si>
    <t>42252052</t>
  </si>
  <si>
    <t>02/02/2026</t>
  </si>
  <si>
    <t>4110742</t>
  </si>
  <si>
    <t>MEDICOMP 5x5cm 4l. st.</t>
  </si>
  <si>
    <t>0,55</t>
  </si>
  <si>
    <t>4110722</t>
  </si>
  <si>
    <t>MEDICOMP 7,5x7,5cm 4l. st.</t>
  </si>
  <si>
    <t>36,31</t>
  </si>
  <si>
    <t>4110515</t>
  </si>
  <si>
    <t>26,76</t>
  </si>
  <si>
    <t>4110525</t>
  </si>
  <si>
    <t>46,61</t>
  </si>
  <si>
    <t>4793304</t>
  </si>
  <si>
    <t>Antisepsie en huidprep. 14</t>
  </si>
  <si>
    <t>33,49</t>
  </si>
  <si>
    <t>COSMOPOR E latexfree 7,2x5cm</t>
  </si>
  <si>
    <t>88,51</t>
  </si>
  <si>
    <t>900870</t>
  </si>
  <si>
    <t>MediSet kl.verzorg.E/B compact</t>
  </si>
  <si>
    <t>45,20</t>
  </si>
  <si>
    <t>STERILUX ES 5x5cm 8l.nst.</t>
  </si>
  <si>
    <t>16,54</t>
  </si>
  <si>
    <t>3000380</t>
  </si>
  <si>
    <t>PEHA-HAFT latexfree 4cmx4m</t>
  </si>
  <si>
    <t>MEDICOMP 5x5cm 4l. nst.</t>
  </si>
  <si>
    <t>10,93</t>
  </si>
  <si>
    <t>6047054</t>
  </si>
  <si>
    <t>FOLIODRESS Isolatieschort bl.</t>
  </si>
  <si>
    <t>27,08</t>
  </si>
  <si>
    <t>mail - sligroout_noreply@sligro.nl — Van Hoeckel orderinformatie</t>
  </si>
  <si>
    <t>1 zk 640 gr Knorr c-a-s vend.tomaat 40p</t>
  </si>
  <si>
    <t>mail - INFO.NL@TELEFLEX.COM — Teleflex Verzendnotificatie 8015532636</t>
  </si>
  <si>
    <t>mail - INFO.NL@TELEFLEX.COM — Teleflex Verzendnotificatie 8015531328</t>
  </si>
  <si>
    <t>Essity Belgium NV Health &amp; Medical</t>
  </si>
  <si>
    <t>SOFFBAN 7,5CM X 2,7M /12</t>
  </si>
  <si>
    <t>mail - CSC.NL@MOLNLYCKE.COM — * Orderbevestiging 1505040022</t>
  </si>
  <si>
    <t>904372460</t>
  </si>
  <si>
    <t>97109957-06</t>
  </si>
  <si>
    <t>HEUP TRAY</t>
  </si>
  <si>
    <t>3.484,32 EUR per 100</t>
  </si>
  <si>
    <t>279,48 EUR</t>
  </si>
  <si>
    <t>mail - be-customerservice@medline.com — BE356233 Order Hospital Logistics  1501037350</t>
  </si>
  <si>
    <t>BE356233</t>
  </si>
  <si>
    <t>Medline Int'l Belgium BV</t>
  </si>
  <si>
    <t>Hospital Logistics BE SPRL AZH</t>
  </si>
  <si>
    <t>KER70461VERLOSSET</t>
  </si>
  <si>
    <t>119,29</t>
  </si>
  <si>
    <t>mail - orders.be@duomed.com — Orderbevestiging C007-S2607720-1</t>
  </si>
  <si>
    <t>C007-S2607720-1</t>
  </si>
  <si>
    <t>170161002</t>
  </si>
  <si>
    <t>Nasal Prong for nCPAP-M</t>
  </si>
  <si>
    <t>120,15</t>
  </si>
  <si>
    <t>42253639</t>
  </si>
  <si>
    <t>0,55 EUR</t>
  </si>
  <si>
    <t>36,31 EUR</t>
  </si>
  <si>
    <t>26,76 EUR</t>
  </si>
  <si>
    <t>33,49 EUR</t>
  </si>
  <si>
    <t>72,37 EUR</t>
  </si>
  <si>
    <t>COSMOPOR E latexfree 15x8cm</t>
  </si>
  <si>
    <t>47,25 EUR</t>
  </si>
  <si>
    <t>TELASORB 45x45 4L 20dr. wit</t>
  </si>
  <si>
    <t>27,41 EUR</t>
  </si>
  <si>
    <t>4755905</t>
  </si>
  <si>
    <t>45,20 EUR</t>
  </si>
  <si>
    <t>4755915</t>
  </si>
  <si>
    <t>MediSet kl.verzorg.F/B compact</t>
  </si>
  <si>
    <t>47,96 EUR</t>
  </si>
  <si>
    <t>4137810</t>
  </si>
  <si>
    <t>ZETUVIT E 10x10cm st.</t>
  </si>
  <si>
    <t>23,46 EUR</t>
  </si>
  <si>
    <t>16,54 EUR</t>
  </si>
  <si>
    <t>3000390</t>
  </si>
  <si>
    <t>PEHA-HAFT latexfree 6cmx4m</t>
  </si>
  <si>
    <t>80,12 EUR</t>
  </si>
  <si>
    <t>4218253</t>
  </si>
  <si>
    <t>MEDICOMP 10x10cm 4l. nst.</t>
  </si>
  <si>
    <t>14,23 EUR</t>
  </si>
  <si>
    <t>27,08 EUR</t>
  </si>
  <si>
    <t>1432330</t>
  </si>
  <si>
    <t>PUR-ZELLIN germ reduced 4x5cm</t>
  </si>
  <si>
    <t>24,42 EUR</t>
  </si>
  <si>
    <t>mail - no.reply.customer.service@medtronic.com — Order bevestiging 26-02889</t>
  </si>
  <si>
    <t>26-02889</t>
  </si>
  <si>
    <t>00763000487065</t>
  </si>
  <si>
    <t>TOOL MR8-10BA20 MR8 10CM BALL 2MM DIAM</t>
  </si>
  <si>
    <t>107,38 EUR</t>
  </si>
  <si>
    <t>mail - orders.be@duomed.com — Orderbevestiging C007-S2607726-1</t>
  </si>
  <si>
    <t>mail - BE-WI.Orders@fmc-ag.com — Re: [EXTERNAL EMAIL] Order Hospital Logistics  1508015191</t>
  </si>
  <si>
    <t>Deze proberen weren van OB mailbox</t>
  </si>
  <si>
    <t>Geen OB - Verzendbevestiging fout geëxtract als OB</t>
  </si>
  <si>
    <t>Niet extracted want geen OB - Betalingsherinnering</t>
  </si>
  <si>
    <t>Niet extracted want geen OB - Volgoed- en emballagebon</t>
  </si>
  <si>
    <t>Niet extracted want geen OB - Afleverbon</t>
  </si>
  <si>
    <t>Niet extracted want geen OB - Leveringsinformatie</t>
  </si>
  <si>
    <t>Leveranciersnummer</t>
  </si>
  <si>
    <t>Leveranciersnaam</t>
  </si>
  <si>
    <t>Totaal # artikelen</t>
  </si>
  <si>
    <t>pdf</t>
  </si>
  <si>
    <t>tekst
in mail</t>
  </si>
  <si>
    <t>via link
in mail</t>
  </si>
  <si>
    <t>Nota</t>
  </si>
  <si>
    <t>ABENA BV</t>
  </si>
  <si>
    <t>x</t>
  </si>
  <si>
    <t>ADDED PHARMA BV</t>
  </si>
  <si>
    <t>AKB GROOTVERBRUIK B.V.</t>
  </si>
  <si>
    <t>ALCON NEDERLAND BV</t>
  </si>
  <si>
    <t>ALCON NV</t>
  </si>
  <si>
    <t>ALPHEIOS</t>
  </si>
  <si>
    <t>ALPHEIOS BV</t>
  </si>
  <si>
    <t>AMBU BV</t>
  </si>
  <si>
    <t>AMBU BV Belgie</t>
  </si>
  <si>
    <t>APPLIED MEDICAL BELGIUM BV</t>
  </si>
  <si>
    <t>APPLIED MEDICAL BV</t>
  </si>
  <si>
    <t>ARGUS ETIKETTEN BV</t>
  </si>
  <si>
    <t>ARJO BELGIUM NV</t>
  </si>
  <si>
    <t>ARJO NEDERLAND BV</t>
  </si>
  <si>
    <t>ARSEUS MEDICAL GROUP BV</t>
  </si>
  <si>
    <t>ARSEUS MEDICAL GROUP NV</t>
  </si>
  <si>
    <t>ARSEUS MEDICAL GROUP NV AZ DIMPNA</t>
  </si>
  <si>
    <t>ARSEUS MEDICAL GROUP NV AZ H</t>
  </si>
  <si>
    <t>ARSEUS MEDICAL GROUP NV CHC</t>
  </si>
  <si>
    <t>ARSEUS MEDICAL GROUP NV EMMAUS</t>
  </si>
  <si>
    <t>ARSEUS MEDICAL GROUP NV IMELDA</t>
  </si>
  <si>
    <t>ARSEUS MEDICAL GROUP NV SAL</t>
  </si>
  <si>
    <t>ARSEUS MEDICAL GROUP NV WZC</t>
  </si>
  <si>
    <t>ARTHREX BVBA</t>
  </si>
  <si>
    <t>ARTHREX NEDERLAND BV</t>
  </si>
  <si>
    <t>AT MEDICALS BVBA AZ ST DIMPNA GEEL</t>
  </si>
  <si>
    <t>AT MEDICALS BVBA EMMAUS</t>
  </si>
  <si>
    <t>AT MEDICALS BVBA IMELDA</t>
  </si>
  <si>
    <t>AT MEDICALS BVBA SAL</t>
  </si>
  <si>
    <t>B. BRAUN MEDICAL BV</t>
  </si>
  <si>
    <t>AFW: bruto naar netto prijs</t>
  </si>
  <si>
    <t>B.BRAUN MEDICAL N.V.</t>
  </si>
  <si>
    <t>BAUSCH &amp; LOMB BVBA</t>
  </si>
  <si>
    <t>BAUSCH EN LOMB SURGICAL</t>
  </si>
  <si>
    <t>BAXTER BE BVBA AZ ST DIMPNA</t>
  </si>
  <si>
    <t>BAXTER BE BVBA AZH</t>
  </si>
  <si>
    <t>BAXTER BE BVBA CHC</t>
  </si>
  <si>
    <t>BAXTER BE BVBA EMMAUS</t>
  </si>
  <si>
    <t>BAXTER BE BVBA IMELDA</t>
  </si>
  <si>
    <t>BAXTER BE BVBA SAL</t>
  </si>
  <si>
    <t>BAXTER BV</t>
  </si>
  <si>
    <t>BAYER HEALTHCARE</t>
  </si>
  <si>
    <t>BECTON DICKINSON BV</t>
  </si>
  <si>
    <t>OB =&gt; alleen van art met LT?</t>
  </si>
  <si>
    <t>BECTON DICKINSON BV EU NL1033064313</t>
  </si>
  <si>
    <t>BECTON DICKINSON NV</t>
  </si>
  <si>
    <t>BELDICO BV</t>
  </si>
  <si>
    <t>BELDICO BV EUROFINS NL1033067738</t>
  </si>
  <si>
    <t>BOMA NEDERLAND BV</t>
  </si>
  <si>
    <t>BOMA NV AZH</t>
  </si>
  <si>
    <t>BOMA NV CHC</t>
  </si>
  <si>
    <t>BOMA NV EMMAUS</t>
  </si>
  <si>
    <t>BOMA NV IMELDA</t>
  </si>
  <si>
    <t>BOMA NV SAL</t>
  </si>
  <si>
    <t>BOMA NV WZC</t>
  </si>
  <si>
    <t>AFW: LT niet op artikelniveau</t>
  </si>
  <si>
    <t>BOSTON SCIENTIFIC BENELUX NV</t>
  </si>
  <si>
    <t>BOSTON SCIENTIFIC NEDERLAND BV</t>
  </si>
  <si>
    <t>Bracco Imaging Europe</t>
  </si>
  <si>
    <t>BRACCO IMAGING EUROPE BV</t>
  </si>
  <si>
    <t>BRIDEA MEDICAL BV</t>
  </si>
  <si>
    <t>BROCACEF ZORGLOGISTIEK BV</t>
  </si>
  <si>
    <t xml:space="preserve">AFW: OB per klant, ook update over artikel besteld op andere PO </t>
  </si>
  <si>
    <t>BUROFORM NV</t>
  </si>
  <si>
    <t>CAIR BELGIUM</t>
  </si>
  <si>
    <t>CaptureTech</t>
  </si>
  <si>
    <t>CARDINAL HEALTH BE AZ ST D</t>
  </si>
  <si>
    <t>CARDINAL HEALTH BE AZH</t>
  </si>
  <si>
    <t>CARDINAL HEALTH BE CHC</t>
  </si>
  <si>
    <t>CARDINAL HEALTH BE EMMAUS</t>
  </si>
  <si>
    <t>CARDINAL HEALTH BE IMELDA</t>
  </si>
  <si>
    <t>AFW: er wordt nooit LT vermeld</t>
  </si>
  <si>
    <t>CARDINAL HEALTH BE SAL</t>
  </si>
  <si>
    <t>CARDINAL HEALTH NETHERLANDS 502 BV</t>
  </si>
  <si>
    <t>CAREL LURVINK</t>
  </si>
  <si>
    <t>CAZANDER MEDICAL BV</t>
  </si>
  <si>
    <t>COCA-COLA BEVERAGES (1991) N.V</t>
  </si>
  <si>
    <t>CODAN BV</t>
  </si>
  <si>
    <t>CODAN GHZ</t>
  </si>
  <si>
    <t>CODAN PMC</t>
  </si>
  <si>
    <t>COLOPLAST BV</t>
  </si>
  <si>
    <t>COLOPLAST NV AZ ST DIMPNA</t>
  </si>
  <si>
    <t>COLOPLAST NV AZH</t>
  </si>
  <si>
    <t>COLOPLAST NV CHC</t>
  </si>
  <si>
    <t>COLOPLAST NV EMMAUS</t>
  </si>
  <si>
    <t>COLOPLAST NV IMELDA</t>
  </si>
  <si>
    <t>COLOPLAST NV SAL</t>
  </si>
  <si>
    <t>CONVATEC BELGIUM BVBA</t>
  </si>
  <si>
    <t>CONVATEC BV</t>
  </si>
  <si>
    <t>COOK BELGIUM NV</t>
  </si>
  <si>
    <t>COOK NEDERLAND BV</t>
  </si>
  <si>
    <t>CORDIS BELGIUM IMELDA</t>
  </si>
  <si>
    <t>CORDIS NETHERLANDS</t>
  </si>
  <si>
    <t>DAILY FRESH FOOD BV</t>
  </si>
  <si>
    <t>DAKLAPACK EUROPE BV</t>
  </si>
  <si>
    <t>DAKLAPACK EUROPE BV EU NL1033067753</t>
  </si>
  <si>
    <t>DANONE BELUX NV</t>
  </si>
  <si>
    <t>De Bondt Grafimedia Communicatie BV</t>
  </si>
  <si>
    <t>DEFORCE MEDICAL BVBA</t>
  </si>
  <si>
    <t>DEMUYNCK-VERRAX NV</t>
  </si>
  <si>
    <t>DIALEX BIOMEDICA NV AZ ST DIMPNA</t>
  </si>
  <si>
    <t>DIALEX BIOMEDICA NV AZH</t>
  </si>
  <si>
    <t>DIALEX BIOMEDICA NV CHC</t>
  </si>
  <si>
    <t>DIALEX BIOMEDICA NV EMMAUS</t>
  </si>
  <si>
    <t>DIALEX BIOMEDICA NV IMELDA</t>
  </si>
  <si>
    <t>DIALEX BIOMEDICA NV OPZ</t>
  </si>
  <si>
    <t>DIALEX BIOMEDICA NV SAL</t>
  </si>
  <si>
    <t>DIALEX BIOMEDICA NV WZC</t>
  </si>
  <si>
    <t>DIVERSEY B.V.</t>
  </si>
  <si>
    <t>DIVERSEY BELGIUM BVBA</t>
  </si>
  <si>
    <t>DORC INTERNATIONAL BV</t>
  </si>
  <si>
    <t>DORC SALES</t>
  </si>
  <si>
    <t>DOUWE EGBERTS PROFESSIONAL</t>
  </si>
  <si>
    <t>DR. WEIGERT NEDERLAND BV</t>
  </si>
  <si>
    <t>DR.WEIGERT NV</t>
  </si>
  <si>
    <t>DRAGER BELGIUM N.V.</t>
  </si>
  <si>
    <t>DRAGER MEDICAL NETHERLANDS BV</t>
  </si>
  <si>
    <t>DRUKKERIJ DE BINK</t>
  </si>
  <si>
    <t>DRUKKERIJ THIJSEN GELDERMALSEN B.V.</t>
  </si>
  <si>
    <t>DUOMED BELGIUM NV AZ ST DIMPNA</t>
  </si>
  <si>
    <t>DUOMED BELGIUM NV AZH</t>
  </si>
  <si>
    <t>DUOMED BELGIUM NV CHC</t>
  </si>
  <si>
    <t>DUOMED BELGIUM NV EMMAUS</t>
  </si>
  <si>
    <t>DUOMED BELGIUM NV IMELDA</t>
  </si>
  <si>
    <t>DUOMED BELGIUM NV SAL</t>
  </si>
  <si>
    <t>DUOMED BELGIUM NV WZC</t>
  </si>
  <si>
    <t>DUOMED BV</t>
  </si>
  <si>
    <t>DUOMED THE NEDERLANDS</t>
  </si>
  <si>
    <t>ECOLAB BVBA</t>
  </si>
  <si>
    <t>EDWARDS LIFESCIENCES BELGIUM BV</t>
  </si>
  <si>
    <t>EDWARDS LIFESCIENCES BV</t>
  </si>
  <si>
    <t>ELEP DRUKKERIJ</t>
  </si>
  <si>
    <t>EMDAMED BV</t>
  </si>
  <si>
    <t>ENDOMED BV</t>
  </si>
  <si>
    <t>ESSITY BELGIUM NV</t>
  </si>
  <si>
    <t>AFW: eerst ontvangstbevestiging, dan volgt OB , art nr lev niet altijd exacte match</t>
  </si>
  <si>
    <t>ESSITY NETHERLANDS BV</t>
  </si>
  <si>
    <t>Eye on Consumables BV</t>
  </si>
  <si>
    <t>FAGRON NV</t>
  </si>
  <si>
    <t>FISHER - PAYKEL AZ HERENTALS</t>
  </si>
  <si>
    <t>FISHER - PAYKEL CHC</t>
  </si>
  <si>
    <t>FISHER - PAYKEL EMMAUS</t>
  </si>
  <si>
    <t>FISHER - PAYKEL HEALTHCARE</t>
  </si>
  <si>
    <t>FISHER - PAYKEL IMELDA</t>
  </si>
  <si>
    <t>FISHER - PAYKEL SAL</t>
  </si>
  <si>
    <t>Flexicare B.V.</t>
  </si>
  <si>
    <t>FRESENIUS KABI NEDERLAND BV</t>
  </si>
  <si>
    <t>FRESENIUS KABI NV</t>
  </si>
  <si>
    <t>FRESENIUS MEDICAL CARE NED. BV</t>
  </si>
  <si>
    <t>FRESENIUS MEDICAL CARE NV</t>
  </si>
  <si>
    <t>G3 MEDICAL BV</t>
  </si>
  <si>
    <t>AFW: aparte OB per klant, bij afwijk. LT wordt dit op lijnniveau vermeld, anders op hoofdniveau</t>
  </si>
  <si>
    <t>GD MEDICAL BELGIUM BV</t>
  </si>
  <si>
    <t>GD MEDICAL PHARMA BV</t>
  </si>
  <si>
    <t>GEOSTICK BV</t>
  </si>
  <si>
    <t>GETINGE BELGIUM</t>
  </si>
  <si>
    <t>GETINGE NETHERLANDS BV</t>
  </si>
  <si>
    <t>GLOBAL NET SA - GLORIEUX</t>
  </si>
  <si>
    <t>G-PLUS bvba</t>
  </si>
  <si>
    <t>GREINER BIO-ONE BV</t>
  </si>
  <si>
    <t>GREINER BIO-ONE BV EU NL1033074544</t>
  </si>
  <si>
    <t>GUERBET NEDERLAND BV</t>
  </si>
  <si>
    <t>GUERBET NV</t>
  </si>
  <si>
    <t>HALBACH MEDICAL</t>
  </si>
  <si>
    <t>HOLLISTER BELGIUM</t>
  </si>
  <si>
    <t>HOLLISTER BV</t>
  </si>
  <si>
    <t>HOLOGIC NETHERLANDS BV</t>
  </si>
  <si>
    <t>HOLOGIC NV</t>
  </si>
  <si>
    <t>Hospidex BV</t>
  </si>
  <si>
    <t>HOSPIDEX NV</t>
  </si>
  <si>
    <t>HUSK MEDICAL BV</t>
  </si>
  <si>
    <t>HUUSKES VERSPRODUCTEN</t>
  </si>
  <si>
    <t>AFW: OB is reply op scm, LT in mail, geen prijs, extra info wanneer artikel niet leverbaar is</t>
  </si>
  <si>
    <t>ICU Medical Belgium NV</t>
  </si>
  <si>
    <t>ICU Medical Belgium NV AZH</t>
  </si>
  <si>
    <t>ICU Medical Belgium NV CHC</t>
  </si>
  <si>
    <t>ICU Medical Belgium NV DIMPNA</t>
  </si>
  <si>
    <t>AFW: PO HL wordt in bijlage terug meegestuurd bij OB</t>
  </si>
  <si>
    <t>ICU Medical Belgium NV EMMAUS</t>
  </si>
  <si>
    <t>ICU Medical Belgium NV IMELDA</t>
  </si>
  <si>
    <t>ICU Medical Belgium NV SAL</t>
  </si>
  <si>
    <t>ICU MEDICAL BV</t>
  </si>
  <si>
    <t>ICU MEDICAL NV AZ HERENTALS</t>
  </si>
  <si>
    <t>IMMED BENELUX NV</t>
  </si>
  <si>
    <t>INBEV SAL</t>
  </si>
  <si>
    <t>INBEV WZC</t>
  </si>
  <si>
    <t>INTERNAT. MEDICAL PRODUCTS CHC</t>
  </si>
  <si>
    <t>INTERNAT. MEDICAL PRODUCTS EMMAUS</t>
  </si>
  <si>
    <t>INTERNAT. MEDICAL PRODUCTS IMELDA</t>
  </si>
  <si>
    <t>INTERNAT. MEDICAL PRODUCTS NV AZH</t>
  </si>
  <si>
    <t>INTERNAT. MEDICAL PRODUCTS NV AZSTD</t>
  </si>
  <si>
    <t>INTERNAT. MEDICAL PRODUCTS SAL</t>
  </si>
  <si>
    <t>INTERNAT. MEDICAL PRODUCTS WZC</t>
  </si>
  <si>
    <t>INTERSTER INTERNATIONAL BV</t>
  </si>
  <si>
    <t>INTERSURGICAL AZ ST DIMPNA GEEL</t>
  </si>
  <si>
    <t>INTERSURGICAL BV</t>
  </si>
  <si>
    <t>Verzenddatum ipv leverdatum wordt bevestigd</t>
  </si>
  <si>
    <t>INTERSURGICAL BV BE AZ HERENTALS</t>
  </si>
  <si>
    <t>INTERSURGICAL BV BE CHC</t>
  </si>
  <si>
    <t>INTERSURGICAL BV BE EMMAUS</t>
  </si>
  <si>
    <t>INTERSURGICAL BV BE IMELDA</t>
  </si>
  <si>
    <t>INTERSURGICAL BV BE SAL</t>
  </si>
  <si>
    <t>INTERSURGICAL GHZ</t>
  </si>
  <si>
    <t>INTERSURGICAL OZR</t>
  </si>
  <si>
    <t>INTERSURGICAL PRINSES MAXIMA CEN</t>
  </si>
  <si>
    <t>INTUITIVE SURGICAL EUROPE SARL</t>
  </si>
  <si>
    <t>JOHNSON &amp; JOHNSON AZM</t>
  </si>
  <si>
    <t>JOHNSON &amp; JOHNSON BERNHOVEN</t>
  </si>
  <si>
    <t>JOHNSON &amp; JOHNSON CHC</t>
  </si>
  <si>
    <t>JOHNSON &amp; JOHNSON CWZ</t>
  </si>
  <si>
    <t>JOHNSON &amp; JOHNSON Frisius MC</t>
  </si>
  <si>
    <t>JOHNSON &amp; JOHNSON GELRE</t>
  </si>
  <si>
    <t>JOHNSON &amp; JOHNSON GHZ</t>
  </si>
  <si>
    <t>JOHNSON &amp; JOHNSON IMELDA</t>
  </si>
  <si>
    <t>JOHNSON &amp; JOHNSON ISALA</t>
  </si>
  <si>
    <t>JOHNSON &amp; JOHNSON JBZ</t>
  </si>
  <si>
    <t>JOHNSON &amp; JOHNSON MEDICAL BV</t>
  </si>
  <si>
    <t>JOHNSON &amp; JOHNSON NS</t>
  </si>
  <si>
    <t>JOHNSON &amp; JOHNSON OZR</t>
  </si>
  <si>
    <t>JOHNSON &amp; JOHNSON SAL</t>
  </si>
  <si>
    <t>JOHNSON &amp; JOHNSON ZUYDERLAND</t>
  </si>
  <si>
    <t>KCI MEDICAL B.V.</t>
  </si>
  <si>
    <t>KCI MEDICAL BELGIUM BV</t>
  </si>
  <si>
    <t>KEBOMED BV</t>
  </si>
  <si>
    <t>KING BELGIUM NV</t>
  </si>
  <si>
    <t>KING BELGIUM NV AZ ST DIMPNA</t>
  </si>
  <si>
    <t>KING BELGIUM NV AZH</t>
  </si>
  <si>
    <t>KING BELGIUM NV CHC</t>
  </si>
  <si>
    <t>KING BELGIUM NV EMMAUS</t>
  </si>
  <si>
    <t>KING BELGIUM NV IMELDA</t>
  </si>
  <si>
    <t>KING BELGIUM NV OPZ</t>
  </si>
  <si>
    <t>KING BELGIUM NV SAL</t>
  </si>
  <si>
    <t>KING BELGIUM NV WZC</t>
  </si>
  <si>
    <t>KING NEDERLAND</t>
  </si>
  <si>
    <t>Extra info ivm verpakkingen</t>
  </si>
  <si>
    <t>KM INNOVATIONS BV</t>
  </si>
  <si>
    <t>KYOCERA Document Solutions Belgium</t>
  </si>
  <si>
    <t>LIVA NOVA NEDERLAND NV</t>
  </si>
  <si>
    <t>LIVANOVA BELGIUM NV</t>
  </si>
  <si>
    <t>LOHMANN EN RAUSCHER BV</t>
  </si>
  <si>
    <t>LOHMANN RAUSCHER NV AZ ST DIMPNA</t>
  </si>
  <si>
    <t>LOHMANN RAUSCHER NV AZH</t>
  </si>
  <si>
    <t>LOHMANN RAUSCHER NV CHC</t>
  </si>
  <si>
    <t>LOHMANN RAUSCHER NV EMMAUS</t>
  </si>
  <si>
    <t>LOHMANN RAUSCHER NV IMELDA</t>
  </si>
  <si>
    <t>LOHMANN RAUSCHER NV SAL</t>
  </si>
  <si>
    <t>LOHMANN RAUSCHER NV WZC</t>
  </si>
  <si>
    <t>LOMED NEDERLAND</t>
  </si>
  <si>
    <t>LOTUS BAKERIES NV</t>
  </si>
  <si>
    <t>LYRECO BELGIUM NV</t>
  </si>
  <si>
    <t>LYRECO NEDERLAND BV</t>
  </si>
  <si>
    <t>MEDECO BV</t>
  </si>
  <si>
    <t>LT voor 1 artikel opgesplitst</t>
  </si>
  <si>
    <t>MEDELA BENELUX BV</t>
  </si>
  <si>
    <t>MEDICA EUROPE</t>
  </si>
  <si>
    <t>MEDICA EUROPE BV</t>
  </si>
  <si>
    <t>Versiewijzigingen worden gemeld op OB</t>
  </si>
  <si>
    <t>MEDICAL DYNAMICS BV</t>
  </si>
  <si>
    <t>MEDICO CARE BV</t>
  </si>
  <si>
    <t>MEDIPHARCHEM NEDERLAND BV</t>
  </si>
  <si>
    <t>MEDIPLAST / CAIR NEDERLAND</t>
  </si>
  <si>
    <t>MEDIPLAST BENELUX BV</t>
  </si>
  <si>
    <t>MEDIQ MEDECO AZ HERENTALS</t>
  </si>
  <si>
    <t>MEDIQ MEDECO AZ ST DIMPNA GEEL</t>
  </si>
  <si>
    <t>MEDIQ MEDECO CHC</t>
  </si>
  <si>
    <t>MEDIQ MEDECO EMMAUS</t>
  </si>
  <si>
    <t>MEDIQ MEDECO IMELDA</t>
  </si>
  <si>
    <t>MEDIQ MEDECO NV</t>
  </si>
  <si>
    <t>MEDIQ MEDECO SAL</t>
  </si>
  <si>
    <t>MEDIQ MEDECO WZC</t>
  </si>
  <si>
    <t>MEDIQ MEDECO ZOZ</t>
  </si>
  <si>
    <t>MEDITEC BV</t>
  </si>
  <si>
    <t>MEDLINE BVBA AZ ST DIMPNA</t>
  </si>
  <si>
    <t>MEDLINE BVBA AZH</t>
  </si>
  <si>
    <t>MEDLINE BVBA CHC</t>
  </si>
  <si>
    <t>MEDLINE BVBA EMMAUS</t>
  </si>
  <si>
    <t>MEDLINE BVBA IMELDA</t>
  </si>
  <si>
    <t>MEDLINE BVBA SAL</t>
  </si>
  <si>
    <t>MEDLINE INTERNATIONAL NL</t>
  </si>
  <si>
    <t>Verzenddatum + bij BO artikel wordt indicatie week vermeld (ipv leverdatum)</t>
  </si>
  <si>
    <t>MEDTRONIC BELGIUM NV</t>
  </si>
  <si>
    <t>MEDTRONIC NEDERLAND BV</t>
  </si>
  <si>
    <t>LT wordt later bevestigd =&gt; niet idem als LT onbekend? - OB die niet voor HL bestemd is</t>
  </si>
  <si>
    <t>MEDTRONIC NV AZ ST DIMPNA</t>
  </si>
  <si>
    <t>MEDTRONIC NV AZH</t>
  </si>
  <si>
    <t>MEDTRONIC NV CHC</t>
  </si>
  <si>
    <t>MEDTRONIC NV EMMAUS</t>
  </si>
  <si>
    <t>MEDTRONIC NV IMELDA</t>
  </si>
  <si>
    <t>MEDTRONIC NV SAL</t>
  </si>
  <si>
    <t>MEDTRONIC NV WZC</t>
  </si>
  <si>
    <t>MERIT MEDICAL BELGIUM BVBA</t>
  </si>
  <si>
    <t>MERIT MEDICAL BV</t>
  </si>
  <si>
    <t>MLS Imelda</t>
  </si>
  <si>
    <t>MLS NV</t>
  </si>
  <si>
    <t>MLS NV AZ ST DIMPNA</t>
  </si>
  <si>
    <t>MLS NV AZH</t>
  </si>
  <si>
    <t>MLS NV CHC</t>
  </si>
  <si>
    <t>MLS NV EMMAUS</t>
  </si>
  <si>
    <t>MLS NV EUROFINS NL1033074523</t>
  </si>
  <si>
    <t>MLS NV SAL</t>
  </si>
  <si>
    <t>MLS NV TBV E-SWAB AZM</t>
  </si>
  <si>
    <t>MLS NV WZC</t>
  </si>
  <si>
    <t>MLS UZ Leuven</t>
  </si>
  <si>
    <t>MOLNLYCKE HEALTH CARE NV</t>
  </si>
  <si>
    <t>MOLNLYCKE HEALTHCARE BV</t>
  </si>
  <si>
    <t>MOLNLYCKE NV AZ HERENTALS</t>
  </si>
  <si>
    <t>MOLNLYCKE NV AZ ST DIMPNA GEEL</t>
  </si>
  <si>
    <t>MOLNLYCKE NV CHC</t>
  </si>
  <si>
    <t>MOLNLYCKE NV EMMAUS</t>
  </si>
  <si>
    <t>MOLNLYCKE NV IMELDA</t>
  </si>
  <si>
    <t>MOLNLYCKE NV SAL</t>
  </si>
  <si>
    <t>MOLNLYCKE NV WZC</t>
  </si>
  <si>
    <t>MOOVARTES BV</t>
  </si>
  <si>
    <t>Nestle Belgilux</t>
  </si>
  <si>
    <t>NIPRO EUROPE NEDERLAND</t>
  </si>
  <si>
    <t>NIPRO MEDICAL EUROPE</t>
  </si>
  <si>
    <t>NOOTENS AZ HERENTALS</t>
  </si>
  <si>
    <t>NOOTENS AZ ST DIMPNA GEEL</t>
  </si>
  <si>
    <t>NOOTENS CHC</t>
  </si>
  <si>
    <t>NOOTENS EMMAUS</t>
  </si>
  <si>
    <t>NOOTENS IMELDA</t>
  </si>
  <si>
    <t>NOOTENS SAL</t>
  </si>
  <si>
    <t>NOOTENS WZC</t>
  </si>
  <si>
    <t>O+M HALYARD BELGIUM BVBA</t>
  </si>
  <si>
    <t>O+M HALYARD NETHERLANDS BV</t>
  </si>
  <si>
    <t>OLYMPUS BELGIUM NV</t>
  </si>
  <si>
    <t>OLYMPUS NEDERLAND BV</t>
  </si>
  <si>
    <t>OMNISAFE NV</t>
  </si>
  <si>
    <t>ON SPOT MEDICAL</t>
  </si>
  <si>
    <t>ONTEX BVBA</t>
  </si>
  <si>
    <t>PACKYARD PHARMA BV</t>
  </si>
  <si>
    <t>PAJUNK MEDICAL PRODUKTE GMBH</t>
  </si>
  <si>
    <t>PAUL HARTMANN BV</t>
  </si>
  <si>
    <t>PAUL HARTMANN NV AZ ST DIMPNA</t>
  </si>
  <si>
    <t>PAUL HARTMANN NV AZH</t>
  </si>
  <si>
    <t>PAUL HARTMANN NV CHC</t>
  </si>
  <si>
    <t>PAUL HARTMANN NV EMMAUS</t>
  </si>
  <si>
    <t>PAUL HARTMANN NV IMELDA</t>
  </si>
  <si>
    <t>PAUL HARTMANN NV OPZ</t>
  </si>
  <si>
    <t>PAUL HARTMANN NV SAL</t>
  </si>
  <si>
    <t>PAUL HARTMANN NV WZC</t>
  </si>
  <si>
    <t>PETERS SURGICAL SA</t>
  </si>
  <si>
    <t>PHI DATA NV</t>
  </si>
  <si>
    <t>PHILIPS BELGIUM COMMERCIAL NV</t>
  </si>
  <si>
    <t>PHILIPS NEDERLAND HEALTHCARE BV</t>
  </si>
  <si>
    <t>PHYSIOL NV</t>
  </si>
  <si>
    <t>PL-SAFETY</t>
  </si>
  <si>
    <t>PREZERO RECYCLING BV</t>
  </si>
  <si>
    <t>QP&amp;S NV</t>
  </si>
  <si>
    <t>QRS HEALTHCARE BV</t>
  </si>
  <si>
    <t>LT = alleen leverweek indicatie</t>
  </si>
  <si>
    <t>RAJAPACK BV</t>
  </si>
  <si>
    <t>RAJAPACK NV</t>
  </si>
  <si>
    <t>REALDOLMEN NV</t>
  </si>
  <si>
    <t>REMBRANDT MEDICAL</t>
  </si>
  <si>
    <t>REMBRANDT MEDICAL NV</t>
  </si>
  <si>
    <t>REYNDERS LABEL PRINTING</t>
  </si>
  <si>
    <t>RICOH BELGIUM NV</t>
  </si>
  <si>
    <t>RMS Medical Devices</t>
  </si>
  <si>
    <t>ROCHE DIAGNOSTICS BELGIUM NV</t>
  </si>
  <si>
    <t>ROCHE DIAGNOSTICS BV-GLUC.STR. ORB</t>
  </si>
  <si>
    <t>ROCHE DIAGONSTICS BV</t>
  </si>
  <si>
    <t>ROCKMED</t>
  </si>
  <si>
    <t>ROCKMED BV</t>
  </si>
  <si>
    <t>Rockmed Pharma BV</t>
  </si>
  <si>
    <t>SALUBRIS EMMAUS</t>
  </si>
  <si>
    <t>SALUBRIS IMELDA</t>
  </si>
  <si>
    <t>SALUBRIS OPZ</t>
  </si>
  <si>
    <t>SALUBRIS SAL</t>
  </si>
  <si>
    <t>SALUBRIS WZC</t>
  </si>
  <si>
    <t>SARSTEDT BV</t>
  </si>
  <si>
    <t>SARSTEDT BVBA</t>
  </si>
  <si>
    <t>SLIGRO FOOD - VAN HOECKEL BV</t>
  </si>
  <si>
    <t>SLIGRO FOOD GROUP BELGIUM NV</t>
  </si>
  <si>
    <t>SLIGRO FOOD GROUP BELGIUM OPZ</t>
  </si>
  <si>
    <t>SLIGRO FOOD GROUP BELGIUM SAL</t>
  </si>
  <si>
    <t>SLIGRO FOOD GROUP BELGIUM WZC</t>
  </si>
  <si>
    <t>SLIGRO FOOD-VAN HOECKEL BV GHZ</t>
  </si>
  <si>
    <t>SMITH &amp; NEPHEW NV AZ ST DIMPNA</t>
  </si>
  <si>
    <t>SMITH &amp; NEPHEW NV AZH</t>
  </si>
  <si>
    <t>SMITH &amp; NEPHEW NV CHC</t>
  </si>
  <si>
    <t>SMITH &amp; NEPHEW NV EMMAUS</t>
  </si>
  <si>
    <t>SMITH &amp; NEPHEW NV IMELDA</t>
  </si>
  <si>
    <t>SMITH &amp; NEPHEW NV SAL</t>
  </si>
  <si>
    <t>SMITH &amp; NEPHEW NV WZC</t>
  </si>
  <si>
    <t>SMITH EN NEPHEW NEDERLAND BV</t>
  </si>
  <si>
    <t>SODEXO HEALTHCARE</t>
  </si>
  <si>
    <t>SOLUCIOUS NV IMELDA</t>
  </si>
  <si>
    <t>SOLUCIOUS NV SAL</t>
  </si>
  <si>
    <t>SOLUCIOUS NV WZC</t>
  </si>
  <si>
    <t>AFW: reply op scm - art nt beschikbaar wordt vermeld, geen prijs</t>
  </si>
  <si>
    <t>STAPLES ADVANTAGE BVBA</t>
  </si>
  <si>
    <t>STAXS BELGIUM NV</t>
  </si>
  <si>
    <t>STAXS THE NETHERLANDS BV</t>
  </si>
  <si>
    <t>STERIS NETHERLANDS BV</t>
  </si>
  <si>
    <t>STICHTING CERTE MED.DIAGNOSTIEK+ADV</t>
  </si>
  <si>
    <t>STRYKER HOWMEDICA NV</t>
  </si>
  <si>
    <t>STRYKER NEDERLAND</t>
  </si>
  <si>
    <t>SYSMEX BELGIUM NV</t>
  </si>
  <si>
    <t>SYSMEX BV</t>
  </si>
  <si>
    <t>Systemat Document Solutions</t>
  </si>
  <si>
    <t>TELEFLEX AZ HERENTALS</t>
  </si>
  <si>
    <t>TELEFLEX AZ ST DIMPNA GEEL</t>
  </si>
  <si>
    <t>TELEFLEX CHC</t>
  </si>
  <si>
    <t>TELEFLEX EMMAUS</t>
  </si>
  <si>
    <t>TELEFLEX IMELDA</t>
  </si>
  <si>
    <t>TELEFLEX MEDICAL BV</t>
  </si>
  <si>
    <t>TELEFLEX SAL</t>
  </si>
  <si>
    <t>TELEFLEX WZC</t>
  </si>
  <si>
    <t>TERUMO BCT EUROPE NV</t>
  </si>
  <si>
    <t>TERUMO EUROPE NV</t>
  </si>
  <si>
    <t>THE SURGICAL COMPANY PTM</t>
  </si>
  <si>
    <t>TRENDY FOODS BELGIUM</t>
  </si>
  <si>
    <t>TURBEL NV</t>
  </si>
  <si>
    <t>TZMO BENELUX BV</t>
  </si>
  <si>
    <t>VAN HOECKEL - PALLET LEVERING</t>
  </si>
  <si>
    <t>VAN HOECKEL BV ZOZ</t>
  </si>
  <si>
    <t>VAN STRATEN MEDICAL BV</t>
  </si>
  <si>
    <t>VAN VLIET MEDICAL PRODUCTS BV</t>
  </si>
  <si>
    <t>VAN VLIET MEDICAL SUPPLY BV</t>
  </si>
  <si>
    <t>VANDEPUTTE MEDICAL</t>
  </si>
  <si>
    <t>Vandeputte Medical BV</t>
  </si>
  <si>
    <t>VANDEPUTTE SAFETY</t>
  </si>
  <si>
    <t>Vantive B.V.</t>
  </si>
  <si>
    <t>AFW: geen prijzen, afwijkende UOM</t>
  </si>
  <si>
    <t>VANTIVE BELGIUM SRL CHC</t>
  </si>
  <si>
    <t>VANTIVE BELGIUM SRL IMELDA</t>
  </si>
  <si>
    <t>VANTIVE BELGIUM SRL SAL</t>
  </si>
  <si>
    <t>VEKA MEDICAL BV</t>
  </si>
  <si>
    <t>VE-SYSTEMS BV</t>
  </si>
  <si>
    <t>VISION MEDICAL COMPANY</t>
  </si>
  <si>
    <t>Er wordt extra info in mail vermeld (vb: verhoogde afname)</t>
  </si>
  <si>
    <t>VIVISOL BVBA</t>
  </si>
  <si>
    <t>VIVISOL NEDERLAND</t>
  </si>
  <si>
    <t>VVO DRINKS BVBA</t>
  </si>
  <si>
    <t>VWR INTERNATIONAL</t>
  </si>
  <si>
    <t>VWR INTERNATIONAL AZ ST DIMPNA GEEL</t>
  </si>
  <si>
    <t>VWR INTERNATIONAL CHC</t>
  </si>
  <si>
    <t>VWR INTERNATIONAL EMMAUS</t>
  </si>
  <si>
    <t>VWR INTERNATIONAL IMELDA</t>
  </si>
  <si>
    <t>VWR INTERNATIONAL SAL</t>
  </si>
  <si>
    <t>VYGON NEDERLAND BV</t>
  </si>
  <si>
    <t>VYGON NV</t>
  </si>
  <si>
    <t>VYGON NV AZ HERENTALS</t>
  </si>
  <si>
    <t>VYGON NV AZ ST DIMPNA</t>
  </si>
  <si>
    <t>VYGON NV CHC</t>
  </si>
  <si>
    <t>VYGON NV EMMAUS</t>
  </si>
  <si>
    <t>VYGON NV IMELDA</t>
  </si>
  <si>
    <t>VYGON NV SAL</t>
  </si>
  <si>
    <t>WELLSPECT BV</t>
  </si>
  <si>
    <t>WM SUPPLIES BVBA AZ ST D</t>
  </si>
  <si>
    <t>WM SUPPLIES BVBA AZH</t>
  </si>
  <si>
    <t>WM SUPPLIES BVBA CHC</t>
  </si>
  <si>
    <t>WM SUPPLIES BVBA EMMAUS</t>
  </si>
  <si>
    <t>WM SUPPLIES BVBA IMELDA</t>
  </si>
  <si>
    <t>WM SUPPLIES BVBA OPZ</t>
  </si>
  <si>
    <t>WM SUPPLIES BVBA SAL</t>
  </si>
  <si>
    <t>WM SUPPLIES BVBA WZC</t>
  </si>
  <si>
    <t>YVSOLAB NV</t>
  </si>
  <si>
    <t>ZALSMAN BV</t>
  </si>
  <si>
    <t>ZALSMAN BV - LEVERINGEN OSS</t>
  </si>
  <si>
    <t>ZOLL INTERNATIONAL HOLDING</t>
  </si>
  <si>
    <t>In scope</t>
  </si>
  <si>
    <t>X</t>
  </si>
  <si>
    <t>Doc type</t>
  </si>
  <si>
    <t>Leveranciersspecifiek?</t>
  </si>
  <si>
    <t>Orderontvangstbevestiging</t>
  </si>
  <si>
    <t>Essity BE + NL</t>
  </si>
  <si>
    <t>Business rule</t>
  </si>
  <si>
    <t>Aanpak</t>
  </si>
  <si>
    <t>1st document is orderontvangstbevestiging zonder info, 2de document is échte orderbevestiging</t>
  </si>
  <si>
    <t>In prompting voor leverancier Essity, filteren op 'orderontvangstbevestiging' = niet te extracten</t>
  </si>
  <si>
    <t>Orderbevestiging</t>
  </si>
  <si>
    <t>Nee</t>
  </si>
  <si>
    <t>Indien range van een week bevestigd wordt -&gt; vrijdag van die specifieke week berekenen en invullen</t>
  </si>
  <si>
    <t>Vb 'week 8' wordt de vrijdag van week 8</t>
  </si>
  <si>
    <t>Done</t>
  </si>
  <si>
    <t>question</t>
  </si>
  <si>
    <t>Indien range van enkele dagen/uren bevestigd wordt -&gt; laatst mogelijke timing nemen</t>
  </si>
  <si>
    <t>Waar</t>
  </si>
  <si>
    <t>Prompting doc type</t>
  </si>
  <si>
    <t>Prompting delivery date</t>
  </si>
  <si>
    <t>Indien op line item afwijkende informatie staat van de header info moet de line item prioriteit krijgen (vb. Afw. Leverdatum)</t>
  </si>
  <si>
    <t>vb. Afwijkende leverdatum voor 1 lijn tegenover algemene leverdatum op hoofd</t>
  </si>
  <si>
    <t>Vb 48-72hr na orderbevestigd wordt geleverd = neem 72hr = 3d en tel die bij de order data vh document, indien geen working date: neem volgende working delivery date</t>
  </si>
  <si>
    <t>Indien bruto en netto prijs op OB --&gt; Neem nettoprijs</t>
  </si>
  <si>
    <t>Prompting Unit Price</t>
  </si>
  <si>
    <t>vb. Bruto prijs €100 - 10% discount --&gt; Netto prijs = €90</t>
  </si>
  <si>
    <t>Input</t>
  </si>
  <si>
    <t>PDF attachment in email</t>
  </si>
  <si>
    <t>NO PDF attachment in email</t>
  </si>
  <si>
    <t>Read the email title + body</t>
  </si>
  <si>
    <t>Extraction as usual</t>
  </si>
  <si>
    <t>fase 2</t>
  </si>
  <si>
    <t>UoM herkenningsverbetering</t>
  </si>
  <si>
    <t>Lijst met gebruikte UoM's verkrijgen van HL en in prompting toelichten</t>
  </si>
  <si>
    <t>Te confirmeren dat we de KM-heffing negeren</t>
  </si>
  <si>
    <t>All</t>
  </si>
  <si>
    <t>Komt in unclassified in de extractie, wordt daar terecht geparkeerd</t>
  </si>
  <si>
    <t>Automatische doc type classificatie in AI extractie</t>
  </si>
  <si>
    <t>Verzendbevestiging, leveringsinformatie, afleverbon, volgoed en emballagebon, betalingsherinnering</t>
  </si>
  <si>
    <t>Te confirmeren indien geen delivery date veld leeg of altijd +1 dag tegenover bevestigingsdatum</t>
  </si>
  <si>
    <t>Analyseronde</t>
  </si>
  <si>
    <t>Aantal documenten</t>
  </si>
  <si>
    <t>Te confirmeren indien geen UOM maar quantity matcht - UOM van PO overnemen of to check?</t>
  </si>
  <si>
    <t>Aantal van type PO confirmations</t>
  </si>
  <si>
    <t>Te confirmeren indien geen UOM maar quantity matcht - UOM van PO overnemen of to check?
Te confirmeren indien geen description maar lev. Art. Nr matcht - Description van PO overnemen of to check?</t>
  </si>
  <si>
    <t>Te confirmeren indien geen unit price --&gt; To check of overnemen van PO?
Te confirmeren indien geen currency --&gt; To check of overnemen van PO?</t>
  </si>
  <si>
    <t>Average</t>
  </si>
  <si>
    <t>% average extractie succes</t>
  </si>
  <si>
    <t>% document binnen scope fase 1</t>
  </si>
  <si>
    <t>Count of Purchase Order Number</t>
  </si>
  <si>
    <t>Count of Item Planned Delivery Date</t>
  </si>
  <si>
    <t>Count of Article Number</t>
  </si>
  <si>
    <t>Count of Supplier Order Number</t>
  </si>
  <si>
    <t>Count of Order Date</t>
  </si>
  <si>
    <t>Count of Supplier Name</t>
  </si>
  <si>
    <t>Count of Customer Name</t>
  </si>
  <si>
    <t>Count of Currency</t>
  </si>
  <si>
    <t>Count of Item Description</t>
  </si>
  <si>
    <t>Count of Quantity</t>
  </si>
  <si>
    <t>Count of Unit of Measure</t>
  </si>
  <si>
    <t>Count of Unit Price</t>
  </si>
  <si>
    <t>Count of Line Item #</t>
  </si>
  <si>
    <t>% of Purchase Order Number</t>
  </si>
  <si>
    <t>% of Supplier Order Number</t>
  </si>
  <si>
    <t>% of Order Date</t>
  </si>
  <si>
    <t>% of Supplier Name</t>
  </si>
  <si>
    <t>% of Customer Name</t>
  </si>
  <si>
    <t>% of Currency</t>
  </si>
  <si>
    <t>% of Article Number</t>
  </si>
  <si>
    <t>% of Item Description</t>
  </si>
  <si>
    <t>% of Quantity</t>
  </si>
  <si>
    <t>% of Unit of Measure</t>
  </si>
  <si>
    <t>% of Unit Price</t>
  </si>
  <si>
    <t>% of Item Planned Delivery Date</t>
  </si>
  <si>
    <t>(blank)</t>
  </si>
  <si>
    <t>Extracted data</t>
  </si>
  <si>
    <t>Corrected data</t>
  </si>
  <si>
    <t>Geen unit price op OB: Leverancier stuurt eerst doc zonder prijs, daarna doc met prijs</t>
  </si>
  <si>
    <t>Geen unit price op OB en 1 ontbrekende leverdatum: Leverancier stuurt eerst doc zonder prijs, daarna doc met prijs</t>
  </si>
  <si>
    <t>OB niet voor HL maar klant - Leverdatum voor 1 lijn niet meegegeven</t>
  </si>
  <si>
    <t>Voor sommige lijnen geen levertijd meegegeven</t>
  </si>
  <si>
    <t>Info</t>
  </si>
  <si>
    <t>Analyse van alle emails in inbox</t>
  </si>
  <si>
    <t>2a</t>
  </si>
  <si>
    <t>2b</t>
  </si>
  <si>
    <t>2b) success rate indien info op doc staat</t>
  </si>
  <si>
    <t>Success rate % van enkel OB docs</t>
  </si>
  <si>
    <t>Veld herkenning van OB docs</t>
  </si>
  <si>
    <t>1) all fields extraction succss rate</t>
  </si>
  <si>
    <t>2a) all fields extraction succss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</si>
</sst>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rgb="FFFF0000"/>
      <name val="Arial"/>
      <family val="2"/>
    </font>
    <font>
      <sz val="11"/>
      <color theme="2" tint="-0.499984740745262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10" fillId="0" borderId="0"/>
  </cellStyleXfs>
  <cellXfs count="151">
    <xf numFmtId="0" fontId="0" fillId="0" borderId="0" xfId="0"/>
    <xf numFmtId="0" fontId="4" fillId="2" borderId="0" xfId="2" applyFont="1" applyFill="1"/>
    <xf numFmtId="0" fontId="3" fillId="0" borderId="0" xfId="2"/>
    <xf numFmtId="22" fontId="3" fillId="0" borderId="0" xfId="2" applyNumberFormat="1"/>
    <xf numFmtId="0" fontId="2" fillId="0" borderId="0" xfId="0" applyFont="1"/>
    <xf numFmtId="9" fontId="0" fillId="0" borderId="0" xfId="1" applyFont="1"/>
    <xf numFmtId="0" fontId="0" fillId="0" borderId="1" xfId="0" applyBorder="1"/>
    <xf numFmtId="0" fontId="0" fillId="0" borderId="2" xfId="0" applyBorder="1"/>
    <xf numFmtId="9" fontId="0" fillId="0" borderId="6" xfId="1" applyFont="1" applyBorder="1" applyAlignment="1">
      <alignment horizontal="center"/>
    </xf>
    <xf numFmtId="9" fontId="0" fillId="0" borderId="0" xfId="1" applyFont="1" applyBorder="1" applyAlignment="1">
      <alignment horizontal="center"/>
    </xf>
    <xf numFmtId="9" fontId="0" fillId="0" borderId="7" xfId="1" applyFont="1" applyBorder="1" applyAlignment="1">
      <alignment horizontal="center"/>
    </xf>
    <xf numFmtId="9" fontId="0" fillId="0" borderId="13" xfId="1" applyFont="1" applyBorder="1" applyAlignment="1">
      <alignment horizontal="center"/>
    </xf>
    <xf numFmtId="9" fontId="1" fillId="0" borderId="0" xfId="1" applyFont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4" xfId="1" applyFont="1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3" fillId="0" borderId="15" xfId="2" applyBorder="1"/>
    <xf numFmtId="0" fontId="3" fillId="0" borderId="16" xfId="2" applyBorder="1"/>
    <xf numFmtId="0" fontId="3" fillId="0" borderId="17" xfId="2" applyBorder="1"/>
    <xf numFmtId="0" fontId="3" fillId="0" borderId="18" xfId="2" applyBorder="1"/>
    <xf numFmtId="0" fontId="3" fillId="0" borderId="19" xfId="2" applyBorder="1"/>
    <xf numFmtId="0" fontId="4" fillId="2" borderId="9" xfId="2" applyFont="1" applyFill="1" applyBorder="1" applyAlignment="1">
      <alignment vertical="top"/>
    </xf>
    <xf numFmtId="0" fontId="4" fillId="2" borderId="10" xfId="2" applyFont="1" applyFill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0" borderId="11" xfId="0" applyFont="1" applyBorder="1" applyAlignment="1">
      <alignment horizontal="center" vertical="top"/>
    </xf>
    <xf numFmtId="0" fontId="8" fillId="0" borderId="16" xfId="2" applyFont="1" applyBorder="1" applyAlignment="1">
      <alignment horizontal="center"/>
    </xf>
    <xf numFmtId="0" fontId="8" fillId="0" borderId="0" xfId="2" applyFont="1" applyAlignment="1">
      <alignment horizontal="center"/>
    </xf>
    <xf numFmtId="0" fontId="0" fillId="0" borderId="6" xfId="0" applyBorder="1"/>
    <xf numFmtId="0" fontId="6" fillId="0" borderId="6" xfId="0" applyFont="1" applyBorder="1"/>
    <xf numFmtId="0" fontId="7" fillId="0" borderId="6" xfId="0" applyFont="1" applyBorder="1"/>
    <xf numFmtId="0" fontId="0" fillId="0" borderId="12" xfId="0" applyBorder="1" applyAlignment="1">
      <alignment horizontal="left" vertical="top" wrapText="1"/>
    </xf>
    <xf numFmtId="0" fontId="3" fillId="0" borderId="17" xfId="2" applyBorder="1" applyAlignment="1">
      <alignment wrapText="1"/>
    </xf>
    <xf numFmtId="0" fontId="3" fillId="0" borderId="0" xfId="2" applyAlignment="1">
      <alignment wrapText="1"/>
    </xf>
    <xf numFmtId="0" fontId="8" fillId="0" borderId="0" xfId="2" applyFont="1" applyAlignment="1">
      <alignment horizontal="center" wrapText="1"/>
    </xf>
    <xf numFmtId="9" fontId="0" fillId="0" borderId="0" xfId="1" applyFont="1" applyBorder="1" applyAlignment="1">
      <alignment horizontal="center" wrapText="1"/>
    </xf>
    <xf numFmtId="9" fontId="0" fillId="4" borderId="6" xfId="1" applyFont="1" applyFill="1" applyBorder="1" applyAlignment="1">
      <alignment horizontal="center" wrapText="1"/>
    </xf>
    <xf numFmtId="9" fontId="0" fillId="4" borderId="0" xfId="1" applyFont="1" applyFill="1" applyBorder="1" applyAlignment="1">
      <alignment horizontal="center" wrapText="1"/>
    </xf>
    <xf numFmtId="9" fontId="0" fillId="4" borderId="7" xfId="1" applyFont="1" applyFill="1" applyBorder="1" applyAlignment="1">
      <alignment horizontal="center" wrapText="1"/>
    </xf>
    <xf numFmtId="0" fontId="0" fillId="0" borderId="13" xfId="0" applyBorder="1" applyAlignment="1">
      <alignment wrapText="1"/>
    </xf>
    <xf numFmtId="0" fontId="7" fillId="0" borderId="6" xfId="0" applyFont="1" applyBorder="1" applyAlignment="1">
      <alignment wrapText="1"/>
    </xf>
    <xf numFmtId="0" fontId="0" fillId="0" borderId="0" xfId="0" applyAlignment="1">
      <alignment wrapText="1"/>
    </xf>
    <xf numFmtId="9" fontId="0" fillId="0" borderId="6" xfId="1" applyFont="1" applyBorder="1" applyAlignment="1">
      <alignment horizontal="center" wrapText="1"/>
    </xf>
    <xf numFmtId="0" fontId="7" fillId="0" borderId="17" xfId="0" applyFont="1" applyBorder="1"/>
    <xf numFmtId="0" fontId="7" fillId="0" borderId="13" xfId="0" applyFont="1" applyBorder="1"/>
    <xf numFmtId="0" fontId="6" fillId="0" borderId="13" xfId="0" applyFont="1" applyBorder="1"/>
    <xf numFmtId="0" fontId="7" fillId="0" borderId="13" xfId="0" applyFont="1" applyBorder="1" applyAlignment="1">
      <alignment wrapText="1"/>
    </xf>
    <xf numFmtId="0" fontId="7" fillId="0" borderId="13" xfId="0" applyFont="1" applyBorder="1" applyAlignment="1">
      <alignment vertical="top" wrapText="1"/>
    </xf>
    <xf numFmtId="0" fontId="0" fillId="0" borderId="0" xfId="0" applyAlignment="1">
      <alignment horizontal="left"/>
    </xf>
    <xf numFmtId="9" fontId="0" fillId="0" borderId="0" xfId="1" applyFont="1" applyFill="1" applyBorder="1" applyAlignment="1">
      <alignment horizontal="center" wrapText="1"/>
    </xf>
    <xf numFmtId="9" fontId="0" fillId="0" borderId="7" xfId="1" applyFont="1" applyFill="1" applyBorder="1" applyAlignment="1">
      <alignment horizontal="center" wrapText="1"/>
    </xf>
    <xf numFmtId="9" fontId="0" fillId="0" borderId="10" xfId="1" applyFont="1" applyBorder="1" applyAlignment="1">
      <alignment horizontal="center"/>
    </xf>
    <xf numFmtId="0" fontId="3" fillId="0" borderId="11" xfId="2" applyBorder="1"/>
    <xf numFmtId="0" fontId="3" fillId="0" borderId="7" xfId="2" applyBorder="1"/>
    <xf numFmtId="0" fontId="3" fillId="0" borderId="20" xfId="2" applyBorder="1"/>
    <xf numFmtId="0" fontId="0" fillId="0" borderId="19" xfId="0" applyBorder="1" applyAlignment="1">
      <alignment horizontal="center"/>
    </xf>
    <xf numFmtId="9" fontId="0" fillId="0" borderId="19" xfId="1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/>
    <xf numFmtId="0" fontId="3" fillId="0" borderId="12" xfId="2" applyBorder="1" applyAlignment="1">
      <alignment horizontal="center"/>
    </xf>
    <xf numFmtId="0" fontId="3" fillId="0" borderId="13" xfId="2" applyBorder="1" applyAlignment="1">
      <alignment horizontal="center"/>
    </xf>
    <xf numFmtId="0" fontId="3" fillId="0" borderId="14" xfId="2" applyBorder="1" applyAlignment="1">
      <alignment horizontal="center"/>
    </xf>
    <xf numFmtId="0" fontId="4" fillId="5" borderId="9" xfId="2" applyFont="1" applyFill="1" applyBorder="1" applyAlignment="1">
      <alignment vertical="top"/>
    </xf>
    <xf numFmtId="0" fontId="4" fillId="5" borderId="2" xfId="2" applyFont="1" applyFill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0" fillId="5" borderId="2" xfId="0" applyFill="1" applyBorder="1" applyAlignment="1">
      <alignment horizontal="center" vertical="top" wrapText="1"/>
    </xf>
    <xf numFmtId="0" fontId="0" fillId="5" borderId="2" xfId="0" applyFill="1" applyBorder="1" applyAlignment="1">
      <alignment horizontal="center" wrapText="1"/>
    </xf>
    <xf numFmtId="0" fontId="0" fillId="5" borderId="3" xfId="0" applyFill="1" applyBorder="1" applyAlignment="1">
      <alignment horizontal="center" vertical="top" wrapText="1"/>
    </xf>
    <xf numFmtId="0" fontId="0" fillId="5" borderId="5" xfId="0" applyFill="1" applyBorder="1" applyAlignment="1">
      <alignment horizontal="center" vertical="top" wrapText="1"/>
    </xf>
    <xf numFmtId="0" fontId="0" fillId="5" borderId="5" xfId="0" applyFill="1" applyBorder="1" applyAlignment="1">
      <alignment horizontal="left" vertical="top" wrapText="1"/>
    </xf>
    <xf numFmtId="0" fontId="0" fillId="5" borderId="12" xfId="0" applyFill="1" applyBorder="1" applyAlignment="1">
      <alignment horizontal="left" vertical="top" wrapText="1"/>
    </xf>
    <xf numFmtId="0" fontId="2" fillId="5" borderId="5" xfId="0" applyFont="1" applyFill="1" applyBorder="1" applyAlignment="1">
      <alignment horizontal="center" vertical="top" wrapText="1"/>
    </xf>
    <xf numFmtId="0" fontId="0" fillId="0" borderId="6" xfId="0" applyBorder="1" applyAlignment="1">
      <alignment wrapText="1"/>
    </xf>
    <xf numFmtId="0" fontId="5" fillId="0" borderId="13" xfId="0" applyFont="1" applyBorder="1"/>
    <xf numFmtId="0" fontId="9" fillId="0" borderId="0" xfId="0" applyFont="1" applyAlignment="1">
      <alignment horizontal="center"/>
    </xf>
    <xf numFmtId="9" fontId="9" fillId="0" borderId="0" xfId="1" applyFont="1" applyAlignment="1">
      <alignment horizontal="center"/>
    </xf>
    <xf numFmtId="0" fontId="9" fillId="5" borderId="2" xfId="0" applyFont="1" applyFill="1" applyBorder="1" applyAlignment="1">
      <alignment horizontal="center" vertical="top" wrapText="1"/>
    </xf>
    <xf numFmtId="9" fontId="9" fillId="0" borderId="0" xfId="1" applyFont="1" applyBorder="1" applyAlignment="1">
      <alignment horizontal="center"/>
    </xf>
    <xf numFmtId="9" fontId="9" fillId="0" borderId="0" xfId="1" applyFont="1" applyFill="1" applyBorder="1" applyAlignment="1">
      <alignment horizontal="center" wrapText="1"/>
    </xf>
    <xf numFmtId="9" fontId="9" fillId="0" borderId="0" xfId="1" applyFont="1" applyBorder="1" applyAlignment="1">
      <alignment horizontal="center" wrapText="1"/>
    </xf>
    <xf numFmtId="0" fontId="9" fillId="0" borderId="19" xfId="0" applyFont="1" applyBorder="1" applyAlignment="1">
      <alignment horizontal="center"/>
    </xf>
    <xf numFmtId="0" fontId="0" fillId="5" borderId="12" xfId="0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/>
    </xf>
    <xf numFmtId="0" fontId="0" fillId="0" borderId="7" xfId="0" applyBorder="1"/>
    <xf numFmtId="0" fontId="3" fillId="0" borderId="4" xfId="2" applyBorder="1"/>
    <xf numFmtId="0" fontId="0" fillId="0" borderId="4" xfId="0" applyBorder="1"/>
    <xf numFmtId="0" fontId="5" fillId="0" borderId="4" xfId="0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0" fontId="0" fillId="0" borderId="22" xfId="0" applyBorder="1"/>
    <xf numFmtId="0" fontId="4" fillId="2" borderId="0" xfId="2" applyFont="1" applyFill="1" applyAlignment="1">
      <alignment wrapText="1"/>
    </xf>
    <xf numFmtId="0" fontId="8" fillId="0" borderId="0" xfId="2" applyFont="1"/>
    <xf numFmtId="22" fontId="8" fillId="0" borderId="0" xfId="2" applyNumberFormat="1" applyFont="1"/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 wrapText="1"/>
    </xf>
    <xf numFmtId="0" fontId="10" fillId="0" borderId="0" xfId="3"/>
    <xf numFmtId="0" fontId="10" fillId="0" borderId="0" xfId="3" applyAlignment="1">
      <alignment horizontal="center"/>
    </xf>
    <xf numFmtId="0" fontId="10" fillId="4" borderId="0" xfId="3" applyFill="1" applyAlignment="1">
      <alignment horizontal="center"/>
    </xf>
    <xf numFmtId="0" fontId="2" fillId="0" borderId="0" xfId="0" applyFont="1" applyAlignment="1">
      <alignment wrapText="1"/>
    </xf>
    <xf numFmtId="0" fontId="2" fillId="6" borderId="0" xfId="0" applyFont="1" applyFill="1" applyAlignment="1">
      <alignment wrapText="1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/>
    </xf>
    <xf numFmtId="0" fontId="2" fillId="0" borderId="3" xfId="0" applyFont="1" applyBorder="1" applyAlignment="1">
      <alignment horizontal="center" vertical="top" wrapText="1"/>
    </xf>
    <xf numFmtId="0" fontId="0" fillId="0" borderId="0" xfId="0" pivotButton="1"/>
    <xf numFmtId="0" fontId="0" fillId="0" borderId="0" xfId="1" applyNumberFormat="1" applyFont="1"/>
    <xf numFmtId="9" fontId="0" fillId="0" borderId="23" xfId="1" applyFont="1" applyBorder="1"/>
    <xf numFmtId="0" fontId="12" fillId="0" borderId="0" xfId="0" applyFont="1"/>
    <xf numFmtId="0" fontId="0" fillId="0" borderId="0" xfId="0" applyAlignment="1">
      <alignment horizontal="center" wrapText="1"/>
    </xf>
    <xf numFmtId="0" fontId="2" fillId="6" borderId="25" xfId="0" applyFont="1" applyFill="1" applyBorder="1" applyAlignment="1">
      <alignment horizontal="center" vertical="center" wrapText="1"/>
    </xf>
    <xf numFmtId="0" fontId="2" fillId="6" borderId="25" xfId="0" applyFont="1" applyFill="1" applyBorder="1" applyAlignment="1">
      <alignment horizontal="center" wrapText="1"/>
    </xf>
    <xf numFmtId="0" fontId="2" fillId="6" borderId="26" xfId="0" applyFont="1" applyFill="1" applyBorder="1" applyAlignment="1">
      <alignment horizontal="center" wrapText="1"/>
    </xf>
    <xf numFmtId="9" fontId="0" fillId="0" borderId="27" xfId="0" applyNumberFormat="1" applyBorder="1" applyAlignment="1">
      <alignment horizontal="center"/>
    </xf>
    <xf numFmtId="0" fontId="0" fillId="0" borderId="27" xfId="0" applyBorder="1"/>
    <xf numFmtId="0" fontId="0" fillId="0" borderId="29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27" xfId="0" applyBorder="1" applyAlignment="1">
      <alignment horizontal="center"/>
    </xf>
    <xf numFmtId="0" fontId="0" fillId="0" borderId="30" xfId="0" applyBorder="1" applyAlignment="1">
      <alignment horizontal="center"/>
    </xf>
    <xf numFmtId="0" fontId="2" fillId="6" borderId="25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0" fillId="0" borderId="29" xfId="0" applyBorder="1"/>
    <xf numFmtId="9" fontId="13" fillId="0" borderId="27" xfId="0" applyNumberFormat="1" applyFont="1" applyBorder="1" applyAlignment="1">
      <alignment horizontal="center"/>
    </xf>
    <xf numFmtId="0" fontId="0" fillId="0" borderId="31" xfId="0" applyBorder="1" applyAlignment="1">
      <alignment horizontal="center" vertical="center"/>
    </xf>
    <xf numFmtId="9" fontId="0" fillId="0" borderId="32" xfId="1" applyFont="1" applyBorder="1" applyAlignment="1">
      <alignment horizontal="center" vertical="center"/>
    </xf>
    <xf numFmtId="9" fontId="0" fillId="0" borderId="32" xfId="1" applyFont="1" applyBorder="1" applyAlignment="1">
      <alignment horizontal="center"/>
    </xf>
    <xf numFmtId="9" fontId="0" fillId="0" borderId="33" xfId="1" applyFont="1" applyBorder="1" applyAlignment="1">
      <alignment horizontal="center"/>
    </xf>
    <xf numFmtId="0" fontId="0" fillId="0" borderId="24" xfId="0" applyBorder="1" applyAlignment="1">
      <alignment horizontal="center" vertical="center"/>
    </xf>
    <xf numFmtId="9" fontId="0" fillId="0" borderId="25" xfId="0" applyNumberFormat="1" applyBorder="1" applyAlignment="1">
      <alignment horizontal="center" vertical="center"/>
    </xf>
    <xf numFmtId="9" fontId="0" fillId="0" borderId="25" xfId="0" applyNumberFormat="1" applyBorder="1" applyAlignment="1">
      <alignment horizontal="center"/>
    </xf>
    <xf numFmtId="9" fontId="0" fillId="0" borderId="26" xfId="0" applyNumberFormat="1" applyBorder="1" applyAlignment="1">
      <alignment horizontal="center"/>
    </xf>
    <xf numFmtId="0" fontId="0" fillId="0" borderId="28" xfId="0" applyBorder="1" applyAlignment="1">
      <alignment horizontal="center" vertical="center"/>
    </xf>
    <xf numFmtId="9" fontId="0" fillId="0" borderId="29" xfId="0" applyNumberFormat="1" applyBorder="1" applyAlignment="1">
      <alignment horizontal="center" vertical="center"/>
    </xf>
    <xf numFmtId="9" fontId="0" fillId="0" borderId="29" xfId="0" applyNumberFormat="1" applyBorder="1" applyAlignment="1">
      <alignment horizontal="center"/>
    </xf>
    <xf numFmtId="9" fontId="0" fillId="0" borderId="30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6" borderId="24" xfId="0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 wrapText="1"/>
    </xf>
    <xf numFmtId="0" fontId="2" fillId="6" borderId="28" xfId="0" applyFont="1" applyFill="1" applyBorder="1" applyAlignment="1">
      <alignment horizontal="center" vertical="center" wrapText="1"/>
    </xf>
  </cellXfs>
  <cellStyles count="4">
    <cellStyle name="Normal 2" xfId="2" xr:uid="{67039E30-0EF4-4024-9E56-62820BCC4AA1}"/>
    <cellStyle name="Normal 3" xfId="3" xr:uid="{E5DB57FB-D80E-4DCF-8838-FC1B5F0C0F75}"/>
    <cellStyle name="Procent" xfId="1" builtinId="5"/>
    <cellStyle name="Standaard" xfId="0" builtinId="0"/>
  </cellStyles>
  <dxfs count="112"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13" formatCode="0%"/>
      <alignment horizontal="center" vertical="bottom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bottom" textRotation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499984740745262"/>
        <name val="Aptos Narrow"/>
        <family val="2"/>
        <scheme val="minor"/>
      </font>
      <alignment horizontal="center" vertical="bottom" textRotation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font>
        <color rgb="FFFF0000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rgb="FF000000"/>
        </left>
        <right/>
        <top/>
        <bottom/>
        <vertical/>
        <horizontal/>
      </border>
    </dxf>
    <dxf>
      <fill>
        <patternFill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</dxf>
    <dxf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13" formatCode="0%"/>
      <alignment horizontal="center" vertical="bottom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bottom" textRotation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numFmt numFmtId="13" formatCode="0%"/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499984740745262"/>
        <name val="Aptos Narrow"/>
        <family val="2"/>
        <scheme val="minor"/>
      </font>
      <alignment horizontal="center" vertical="bottom" textRotation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numFmt numFmtId="13" formatCode="0%"/>
      <alignment horizontal="center" vertical="bottom" textRotation="0" indent="0" justifyLastLine="0" shrinkToFit="0" readingOrder="0"/>
    </dxf>
    <dxf>
      <font>
        <color rgb="FFFF0000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rgb="FF000000"/>
        </left>
        <right/>
        <top/>
        <bottom/>
        <vertical/>
        <horizontal/>
      </border>
    </dxf>
    <dxf>
      <fill>
        <patternFill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13" formatCode="0%"/>
      <alignment horizontal="center" vertical="bottom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bottom" textRotation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numFmt numFmtId="13" formatCode="0%"/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499984740745262"/>
        <name val="Aptos Narrow"/>
        <family val="2"/>
        <scheme val="minor"/>
      </font>
      <alignment horizontal="center" vertical="bottom" textRotation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numFmt numFmtId="13" formatCode="0%"/>
      <alignment horizontal="center" vertical="bottom" textRotation="0" indent="0" justifyLastLine="0" shrinkToFit="0" readingOrder="0"/>
    </dxf>
    <dxf>
      <font>
        <color rgb="FFFF0000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rgb="FF000000"/>
        </left>
        <right/>
        <top/>
        <bottom/>
        <vertical/>
        <horizontal/>
      </border>
    </dxf>
    <dxf>
      <fill>
        <patternFill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13" formatCode="0%"/>
      <alignment horizontal="center" vertical="bottom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bottom" textRotation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499984740745262"/>
        <name val="Aptos Narrow"/>
        <family val="2"/>
        <scheme val="minor"/>
      </font>
      <alignment horizontal="center" vertical="bottom" textRotation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font>
        <color rgb="FFFF0000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rgb="FF000000"/>
        </left>
        <right/>
        <top/>
        <bottom/>
        <vertical/>
        <horizontal/>
      </border>
    </dxf>
    <dxf>
      <fill>
        <patternFill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  <border diagonalUp="0" diagonalDown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font>
        <color rgb="FFFF0000"/>
      </font>
      <alignment horizontal="center" vertical="bottom" textRotation="0" wrapText="0" indent="0" justifyLastLine="0" shrinkToFit="0" readingOrder="0"/>
    </dxf>
    <dxf>
      <border diagonalUp="0" diagonalDown="0">
        <left style="medium">
          <color rgb="FF000000"/>
        </left>
        <right/>
        <top/>
        <bottom/>
        <vertical/>
        <horizontal/>
      </border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SCM Test Mailbox - extractie success rate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Overzicht!$E$9</c:f>
              <c:strCache>
                <c:ptCount val="1"/>
                <c:pt idx="0">
                  <c:v>Aantal van type PO confirmations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Overzicht!$D$10:$D$12</c:f>
              <c:strCache>
                <c:ptCount val="3"/>
                <c:pt idx="0">
                  <c:v>1) all fields extraction succss rate</c:v>
                </c:pt>
                <c:pt idx="1">
                  <c:v>2a) all fields extraction succss rate</c:v>
                </c:pt>
                <c:pt idx="2">
                  <c:v>2b) success rate indien info op doc staat</c:v>
                </c:pt>
              </c:strCache>
            </c:strRef>
          </c:cat>
          <c:val>
            <c:numRef>
              <c:f>Overzicht!$E$10:$E$12</c:f>
              <c:numCache>
                <c:formatCode>General</c:formatCode>
                <c:ptCount val="3"/>
                <c:pt idx="0">
                  <c:v>23</c:v>
                </c:pt>
                <c:pt idx="1">
                  <c:v>76</c:v>
                </c:pt>
                <c:pt idx="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75-4D62-936C-E20B0579C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3073487"/>
        <c:axId val="1273068687"/>
      </c:barChart>
      <c:lineChart>
        <c:grouping val="standard"/>
        <c:varyColors val="0"/>
        <c:ser>
          <c:idx val="1"/>
          <c:order val="1"/>
          <c:tx>
            <c:strRef>
              <c:f>Overzicht!$F$9</c:f>
              <c:strCache>
                <c:ptCount val="1"/>
                <c:pt idx="0">
                  <c:v>% average extractie succes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Overzicht!$D$10:$D$12</c:f>
              <c:strCache>
                <c:ptCount val="3"/>
                <c:pt idx="0">
                  <c:v>1) all fields extraction succss rate</c:v>
                </c:pt>
                <c:pt idx="1">
                  <c:v>2a) all fields extraction succss rate</c:v>
                </c:pt>
                <c:pt idx="2">
                  <c:v>2b) success rate indien info op doc staat</c:v>
                </c:pt>
              </c:strCache>
            </c:strRef>
          </c:cat>
          <c:val>
            <c:numRef>
              <c:f>Overzicht!$F$10:$F$12</c:f>
              <c:numCache>
                <c:formatCode>0%</c:formatCode>
                <c:ptCount val="3"/>
                <c:pt idx="0">
                  <c:v>0.95117056856187276</c:v>
                </c:pt>
                <c:pt idx="1">
                  <c:v>0.95183809246309259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75-4D62-936C-E20B0579C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3061007"/>
        <c:axId val="1273071087"/>
      </c:lineChart>
      <c:catAx>
        <c:axId val="127307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273068687"/>
        <c:crosses val="autoZero"/>
        <c:auto val="1"/>
        <c:lblAlgn val="ctr"/>
        <c:lblOffset val="100"/>
        <c:noMultiLvlLbl val="0"/>
      </c:catAx>
      <c:valAx>
        <c:axId val="127306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273073487"/>
        <c:crosses val="autoZero"/>
        <c:crossBetween val="between"/>
      </c:valAx>
      <c:valAx>
        <c:axId val="1273071087"/>
        <c:scaling>
          <c:orientation val="minMax"/>
          <c:max val="1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273061007"/>
        <c:crosses val="max"/>
        <c:crossBetween val="between"/>
      </c:valAx>
      <c:catAx>
        <c:axId val="12730610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73071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358139</xdr:colOff>
      <xdr:row>1</xdr:row>
      <xdr:rowOff>73343</xdr:rowOff>
    </xdr:from>
    <xdr:to>
      <xdr:col>17</xdr:col>
      <xdr:colOff>333374</xdr:colOff>
      <xdr:row>19</xdr:row>
      <xdr:rowOff>139065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306E79-DB22-22CE-BC9D-809F5673F2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 Corvers" refreshedDate="46085.476891550927" createdVersion="8" refreshedVersion="8" minRefreshableVersion="3" recordCount="493" xr:uid="{7627C959-3422-44D6-AFD9-38A4B2E08D04}">
  <cacheSource type="worksheet">
    <worksheetSource ref="A2:AK495" sheet="Analyse 2 Detail 02-03"/>
  </cacheSource>
  <cacheFields count="38">
    <cacheField name="File Name" numFmtId="0">
      <sharedItems count="85">
        <s v="Uw orderbevestiging 60392040.pdf"/>
        <s v="Verkooporder SO00454632 _ 3505026682.pdf"/>
        <s v="Verkooporder SO00454616 _ 3505026682.pdf"/>
        <s v="Re_ [EXTERNAL EMAIL] Order Hospital Logistics  1507018691.pdf"/>
        <s v="Re_ [EXTERNAL EMAIL] Order Hospital Logistics  3504015924.pdf"/>
        <s v="3505026639 ESSITY Orderbevestiging.pdf"/>
        <s v="Order bevestiging 26-02818.pdf"/>
        <s v="3505026670 ESSITY Orderbevestiging.pdf"/>
        <s v="Betreft_ Overzicht van nog te leveren Vygon producten.pdf"/>
        <s v="6507004827 ESSITY Order Ontvangstbevestiging.pdf"/>
        <s v="Jouw Lyreco bestelling 1178683275 - 2505040761 is onderweg!.pdf"/>
        <s v="Bevestiging bestelling  S09313444-1.pdf"/>
        <s v="JAVA leveringsinformatie.pdf"/>
        <s v="Verkooporder SO00454642 _ 3505026682.pdf"/>
        <s v="Verkooporder SO00454641 _ 3505026682.pdf"/>
        <s v="Verkooporder SO00454639 _ 3505026682.pdf"/>
        <s v="Verkooporder SO00454644 _ 3507009728.pdf"/>
        <s v="RE_ RE_ Teleflex Orderbevestiging 1504025864 and 13995843.pdf"/>
        <s v="Lyreco orderbevestiging 167912161-16022026-0006.pdf"/>
        <s v="Orderbevestiging C007-S2607585-1.pdf"/>
        <s v="Orderbevestiging_Orderacknowledgement_ 3505026688.pdf"/>
        <s v="Bevestiging bestelling  S09313928-1.pdf"/>
        <s v="RE_ order 1501037263.pdf"/>
        <s v="Mediq orderbevestiging_ 1507018696.pdf"/>
        <s v="Verkooporder SO00454663 _ 3504015927.pdf"/>
        <s v="Medtronic - backorder report - Hospital Logistics.pdf"/>
        <s v="BD Order Acknowledgement for your purchase order with reference 3507009726.pdf"/>
        <s v="ORDERBEVESTIGING 2364067490.pdf"/>
        <s v="Confirmation C007-S2607613-1.pdf"/>
        <s v="Embal.bon_100726_Sligro_5061_klant_000142470.pdf"/>
        <s v="BD Order Acknowledgement for your purchase order with reference 1505040027.pdf"/>
        <s v="Van Hoeckel leveringsinformatie.pdf"/>
        <s v="BD Order Acknowledgement for your purchase order with reference 3504015923.pdf"/>
        <s v="Bevestiging bestelling  S09313437-1.pdf"/>
        <s v="Bevestiging bestelling  S09313425-1.pdf"/>
        <s v="2501209992 ESSITY Orderbevestiging.pdf"/>
        <s v="RE_ FW_ Opvolging openstaande orders.pdf"/>
        <s v="Bevestiging bestelling  S09313481-1.pdf"/>
        <s v="Hartmann _ Order bevestiging.pdf"/>
        <s v="Confirmation Commande S09313483-1.pdf"/>
        <s v="Informatie betreffende een JAVA levering.pdf"/>
        <s v="_ Orderbevestiging 3505026677.pdf"/>
        <s v="_ Orderbevestiging 1504026582.pdf"/>
        <s v="_ Orderbevestiging 3504015911.pdf"/>
        <s v="_ Orderbevestiging 1501037327.pdf"/>
        <s v="RE_ Verwachte leverdatum.pdf"/>
        <s v="Verkooporder SO00454662 _ 3504015927.pdf"/>
        <s v="Verkooporder SO00454638 _ 3505026682.pdf"/>
        <s v="Verkooporder SO00454649 _ 3507009728.pdf"/>
        <s v="100142673 HL WZC Herinnering Sligro [#KM-6720322] [#RL-144746].pdf"/>
        <s v="Order bevestiging 26-02855.pdf"/>
        <s v="Lyreco orderbevestiging 167913009-16022026-0006.pdf"/>
        <s v="ORDERBEVESTIGING 2364064918.pdf"/>
        <s v="2507017044 ESSITY Order Ontvangstbevestiging.pdf"/>
        <s v="2505040799 ESSITY Order Ontvangstbevestiging.pdf"/>
        <s v="3505026678 ESSITY Orderbevestiging.pdf"/>
        <s v="6507004831 ESSITY Order Ontvangstbevestiging.pdf"/>
        <s v="Uw orderinformatie (uw referentie_ 2505040801, Brocacef Ordernr_ TPV72495).pdf"/>
        <s v="Uw orderinformatie (uw referentie_ 1504026606, Brocacef Ordernr_ TPV72539).pdf"/>
        <s v="Re_ [EXTERNAL EMAIL] Order Hospital Logistics  3505026679.pdf"/>
        <s v="HARTMANN_ ORDERBEVESTIGING0021752283.pdf"/>
        <s v="Orderbevestiging C007-S2607598-1.pdf"/>
        <s v="HARTMANN_ ORDERBEVESTIGING0021752292.pdf"/>
        <s v="HARTMANN_ ORDERBEVESTIGING0021752293.pdf"/>
        <s v="Mediq orderbevestiging_ 3507009731.pdf"/>
        <s v="Orderbevestiging C007-S2607622-1.pdf"/>
        <s v="RE_ Verwachte LT.pdf"/>
        <s v="Orderbevestiging C007-S2607619-1.pdf"/>
        <s v="FW_ ORDERBEVESTIGING NL327171, Deb.nr. 110890HE,  Uw order_ 3507009725.pdf"/>
        <s v="Orderbevestiging C007-S2607623-1.pdf"/>
        <s v="Lyreco orderbevestiging 167924591-16022026-0006.pdf"/>
        <s v="RE_ Opvolging openstaande orders.pdf"/>
        <s v="6507004833 ESSITY Order Ontvangstbevestiging.pdf"/>
        <s v="Van Hoeckel order ontvangstbevestiging.pdf"/>
        <s v="2508010179 ESSITY Orderbevestiging.pdf"/>
        <s v="Bevestiging bestelling  S09313926-1.pdf"/>
        <s v="Van Hoeckel orderinformatie.pdf"/>
        <s v="Teleflex Verzendnotificatie 8015532636.pdf"/>
        <s v="Teleflex Verzendnotificatie 8015531328.pdf"/>
        <s v="_ Orderbevestiging 1505040022.pdf"/>
        <s v="BE356233 Order Hospital Logistics  1501037350.pdf"/>
        <s v="Orderbevestiging C007-S2607720-1.pdf"/>
        <s v="Order bevestiging 26-02889.pdf"/>
        <s v="Orderbevestiging C007-S2607726-1.pdf"/>
        <s v="Re_ [EXTERNAL EMAIL] Order Hospital Logistics  1508015191.pdf"/>
      </sharedItems>
    </cacheField>
    <cacheField name="Document Type" numFmtId="0">
      <sharedItems containsBlank="1" count="2">
        <s v="Purchase Order Confirmation"/>
        <m/>
      </sharedItems>
    </cacheField>
    <cacheField name="Status" numFmtId="0">
      <sharedItems count="2">
        <s v="extracted"/>
        <s v="unclassified"/>
      </sharedItems>
    </cacheField>
    <cacheField name="Uploaded (UTC)" numFmtId="22">
      <sharedItems containsSemiMixedTypes="0" containsNonDate="0" containsDate="1" containsString="0" minDate="2026-02-27T09:21:25" maxDate="2026-02-27T13:26:33"/>
    </cacheField>
    <cacheField name="Extraction Score" numFmtId="0">
      <sharedItems containsSemiMixedTypes="0" containsString="0" containsNumber="1" minValue="15" maxValue="93.8"/>
    </cacheField>
    <cacheField name="Total Fields" numFmtId="0">
      <sharedItems containsSemiMixedTypes="0" containsString="0" containsNumber="1" containsInteger="1" minValue="0" maxValue="1140"/>
    </cacheField>
    <cacheField name="Missing Fields" numFmtId="0">
      <sharedItems containsSemiMixedTypes="0" containsString="0" containsNumber="1" containsInteger="1" minValue="0" maxValue="11"/>
    </cacheField>
    <cacheField name="Reviewed By" numFmtId="0">
      <sharedItems containsNonDate="0" containsString="0" containsBlank="1"/>
    </cacheField>
    <cacheField name="Source" numFmtId="0">
      <sharedItems/>
    </cacheField>
    <cacheField name="Language" numFmtId="0">
      <sharedItems containsBlank="1"/>
    </cacheField>
    <cacheField name="Line Item #" numFmtId="0">
      <sharedItems containsString="0" containsBlank="1" containsNumber="1" containsInteger="1" minValue="1" maxValue="88" count="8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m/>
      </sharedItems>
    </cacheField>
    <cacheField name="Purchase Order Number" numFmtId="0">
      <sharedItems containsString="0" containsBlank="1" containsNumber="1" containsInteger="1" minValue="167913009" maxValue="6507004833" count="62">
        <n v="1505040024"/>
        <n v="3505026682"/>
        <n v="1507018691"/>
        <n v="3504015924"/>
        <n v="3505026639"/>
        <m/>
        <n v="3505026670"/>
        <n v="1507018668"/>
        <n v="6507004827"/>
        <n v="6501017954"/>
        <n v="2501210303"/>
        <n v="3501022495"/>
        <n v="3505026688"/>
        <n v="2501201307"/>
        <n v="1507018696"/>
        <n v="3504015927"/>
        <n v="3507009726"/>
        <n v="3507009729"/>
        <n v="3508007527"/>
        <n v="1505040027"/>
        <n v="3504015923"/>
        <n v="6501017953"/>
        <n v="6501017952"/>
        <n v="2501209992"/>
        <n v="6501017960"/>
        <n v="1508015130"/>
        <n v="2508010181"/>
        <n v="3505026677"/>
        <n v="1504026582"/>
        <n v="3504015911"/>
        <n v="1501037327"/>
        <n v="3507009728"/>
        <n v="167913009"/>
        <n v="3501022503"/>
        <n v="2507017044"/>
        <n v="2505040799"/>
        <n v="3505026678"/>
        <n v="6507004831"/>
        <n v="2505040801"/>
        <n v="1504026606"/>
        <n v="3504015556"/>
        <n v="3504015596"/>
        <n v="3504015597"/>
        <n v="3505026679"/>
        <n v="2507017037"/>
        <n v="3501022500"/>
        <n v="3505026681"/>
        <n v="3504015926"/>
        <n v="3507009731"/>
        <n v="3501022494"/>
        <n v="3501022505"/>
        <n v="3507009725"/>
        <n v="167924591"/>
        <n v="6507004833"/>
        <n v="2507017017"/>
        <n v="2508010179"/>
        <n v="2501201300"/>
        <n v="3508007476"/>
        <n v="1505040022"/>
        <n v="1501037350"/>
        <n v="6501017988"/>
        <n v="3508007525"/>
      </sharedItems>
    </cacheField>
    <cacheField name="Purchase Order Number (Confidence %)" numFmtId="0">
      <sharedItems containsString="0" containsBlank="1" containsNumber="1" containsInteger="1" minValue="10" maxValue="99"/>
    </cacheField>
    <cacheField name="Supplier Order Number" numFmtId="0">
      <sharedItems containsBlank="1"/>
    </cacheField>
    <cacheField name="Supplier Order Number (Confidence %)" numFmtId="0">
      <sharedItems containsString="0" containsBlank="1" containsNumber="1" containsInteger="1" minValue="10" maxValue="98"/>
    </cacheField>
    <cacheField name="Order Date" numFmtId="0">
      <sharedItems containsBlank="1"/>
    </cacheField>
    <cacheField name="Order Date (Confidence %)" numFmtId="0">
      <sharedItems containsString="0" containsBlank="1" containsNumber="1" containsInteger="1" minValue="50" maxValue="98"/>
    </cacheField>
    <cacheField name="Supplier Name" numFmtId="0">
      <sharedItems containsBlank="1"/>
    </cacheField>
    <cacheField name="Supplier Name (Confidence %)" numFmtId="0">
      <sharedItems containsString="0" containsBlank="1" containsNumber="1" containsInteger="1" minValue="50" maxValue="99"/>
    </cacheField>
    <cacheField name="Customer Name" numFmtId="0">
      <sharedItems containsBlank="1"/>
    </cacheField>
    <cacheField name="Customer Name (Confidence %)" numFmtId="0">
      <sharedItems containsString="0" containsBlank="1" containsNumber="1" containsInteger="1" minValue="50" maxValue="95"/>
    </cacheField>
    <cacheField name="Currency" numFmtId="0">
      <sharedItems containsBlank="1" count="2">
        <s v="EUR"/>
        <m/>
      </sharedItems>
    </cacheField>
    <cacheField name="Currency (Confidence %)" numFmtId="0">
      <sharedItems containsString="0" containsBlank="1" containsNumber="1" containsInteger="1" minValue="10" maxValue="100"/>
    </cacheField>
    <cacheField name="Line Number" numFmtId="0">
      <sharedItems containsString="0" containsBlank="1" containsNumber="1" containsInteger="1" minValue="1" maxValue="880" count="116">
        <n v="1"/>
        <n v="2"/>
        <n v="3"/>
        <n v="4"/>
        <n v="5"/>
        <n v="6"/>
        <n v="7"/>
        <n v="8"/>
        <n v="9"/>
        <n v="10"/>
        <n v="11"/>
        <n v="210"/>
        <n v="440"/>
        <n v="660"/>
        <n v="730"/>
        <n v="810"/>
        <n v="20"/>
        <n v="30"/>
        <n v="40"/>
        <n v="50"/>
        <n v="60"/>
        <n v="70"/>
        <n v="80"/>
        <n v="90"/>
        <n v="100"/>
        <n v="110"/>
        <n v="120"/>
        <n v="130"/>
        <n v="140"/>
        <n v="150"/>
        <n v="160"/>
        <n v="170"/>
        <n v="180"/>
        <n v="190"/>
        <n v="200"/>
        <n v="220"/>
        <n v="230"/>
        <n v="240"/>
        <n v="250"/>
        <n v="260"/>
        <n v="270"/>
        <n v="280"/>
        <n v="290"/>
        <n v="300"/>
        <n v="310"/>
        <n v="320"/>
        <n v="330"/>
        <n v="340"/>
        <n v="350"/>
        <n v="360"/>
        <n v="370"/>
        <n v="380"/>
        <n v="390"/>
        <n v="400"/>
        <n v="410"/>
        <n v="420"/>
        <n v="430"/>
        <n v="450"/>
        <n v="460"/>
        <n v="470"/>
        <n v="480"/>
        <n v="490"/>
        <n v="500"/>
        <n v="510"/>
        <n v="520"/>
        <n v="530"/>
        <n v="540"/>
        <n v="550"/>
        <n v="560"/>
        <n v="570"/>
        <n v="580"/>
        <n v="590"/>
        <n v="600"/>
        <n v="610"/>
        <n v="620"/>
        <n v="630"/>
        <n v="640"/>
        <n v="650"/>
        <n v="670"/>
        <n v="680"/>
        <n v="690"/>
        <n v="700"/>
        <n v="710"/>
        <n v="720"/>
        <n v="740"/>
        <n v="750"/>
        <n v="760"/>
        <n v="770"/>
        <n v="780"/>
        <n v="790"/>
        <n v="800"/>
        <n v="820"/>
        <n v="830"/>
        <n v="840"/>
        <n v="850"/>
        <n v="860"/>
        <n v="870"/>
        <n v="880"/>
        <m/>
        <n v="12"/>
        <n v="13"/>
        <n v="14"/>
        <n v="15"/>
        <n v="16"/>
        <n v="17"/>
        <n v="18"/>
        <n v="19"/>
        <n v="21"/>
        <n v="22"/>
        <n v="23"/>
        <n v="24"/>
        <n v="25"/>
        <n v="26"/>
        <n v="27"/>
        <n v="28"/>
        <n v="29"/>
      </sharedItems>
    </cacheField>
    <cacheField name="Line Number (Confidence %)" numFmtId="0">
      <sharedItems containsString="0" containsBlank="1" containsNumber="1" containsInteger="1" minValue="20" maxValue="98"/>
    </cacheField>
    <cacheField name="Article Number" numFmtId="0">
      <sharedItems containsBlank="1"/>
    </cacheField>
    <cacheField name="Article Number (Confidence %)" numFmtId="0">
      <sharedItems containsString="0" containsBlank="1" containsNumber="1" containsInteger="1" minValue="50" maxValue="98"/>
    </cacheField>
    <cacheField name="Item Description" numFmtId="0">
      <sharedItems containsBlank="1"/>
    </cacheField>
    <cacheField name="Item Description (Confidence %)" numFmtId="0">
      <sharedItems containsString="0" containsBlank="1" containsNumber="1" containsInteger="1" minValue="30" maxValue="96"/>
    </cacheField>
    <cacheField name="Quantity" numFmtId="0">
      <sharedItems containsString="0" containsBlank="1" containsNumber="1" containsInteger="1" minValue="1" maxValue="32400"/>
    </cacheField>
    <cacheField name="Quantity (Confidence %)" numFmtId="0">
      <sharedItems containsString="0" containsBlank="1" containsNumber="1" containsInteger="1" minValue="50" maxValue="98"/>
    </cacheField>
    <cacheField name="Unit of Measure" numFmtId="0">
      <sharedItems containsBlank="1"/>
    </cacheField>
    <cacheField name="Unit of Measure (Confidence %)" numFmtId="0">
      <sharedItems containsString="0" containsBlank="1" containsNumber="1" containsInteger="1" minValue="10" maxValue="95"/>
    </cacheField>
    <cacheField name="Unit Price" numFmtId="0">
      <sharedItems containsBlank="1"/>
    </cacheField>
    <cacheField name="Unit Price (Confidence %)" numFmtId="0">
      <sharedItems containsString="0" containsBlank="1" containsNumber="1" containsInteger="1" minValue="5" maxValue="97"/>
    </cacheField>
    <cacheField name="Item Planned Delivery Date" numFmtId="0">
      <sharedItems containsBlank="1"/>
    </cacheField>
    <cacheField name="Item Planned Delivery Date (Confidence %)" numFmtId="0">
      <sharedItems containsString="0" containsBlank="1" containsNumber="1" containsInteger="1" minValue="10" maxValue="98"/>
    </cacheField>
    <cacheField name="% Planned Delivery Item" numFmtId="0" formula="'Item Planned Delivery Date'/'Line Item #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3">
  <r>
    <x v="0"/>
    <x v="0"/>
    <x v="0"/>
    <d v="2026-02-27T13:26:33"/>
    <n v="93.8"/>
    <n v="13"/>
    <n v="0"/>
    <m/>
    <s v="mail - noreply@qrs.nl — Uw orderbevestiging 60392040"/>
    <s v="Dutch"/>
    <x v="0"/>
    <x v="0"/>
    <n v="95"/>
    <s v="60392040"/>
    <n v="90"/>
    <s v="16/02/2026"/>
    <n v="98"/>
    <s v="QRS Healthcare BV"/>
    <n v="92"/>
    <s v="Hospital Logistics Nederland BV (Bernhoven)"/>
    <n v="94"/>
    <x v="0"/>
    <n v="96"/>
    <x v="0"/>
    <n v="90"/>
    <s v="54758"/>
    <n v="98"/>
    <s v="Dispo Medical Cystoscopie enkel (50 stuks)"/>
    <n v="96"/>
    <n v="5"/>
    <n v="98"/>
    <s v="DS"/>
    <n v="92"/>
    <s v="EUR 166,21"/>
    <n v="95"/>
    <s v="20/02/2026"/>
    <n v="92"/>
  </r>
  <r>
    <x v="1"/>
    <x v="0"/>
    <x v="0"/>
    <d v="2026-02-27T13:25:52"/>
    <n v="90.83"/>
    <n v="104"/>
    <n v="0"/>
    <m/>
    <s v="mail - info@g3-medical.nl — Verkooporder SO00454632 / 3505026682"/>
    <s v="Dutch"/>
    <x v="0"/>
    <x v="1"/>
    <n v="98"/>
    <s v="SO00454632"/>
    <n v="95"/>
    <s v="16/02/2026"/>
    <n v="95"/>
    <s v="G3 Medical B.V."/>
    <n v="95"/>
    <s v="Hospital Logistics Nederland B.V."/>
    <n v="92"/>
    <x v="0"/>
    <n v="95"/>
    <x v="0"/>
    <n v="95"/>
    <s v="BP30F"/>
    <n v="95"/>
    <s v="Kai biopsie punch, disposable, steriel, 3,0mm, 20x1st/ds"/>
    <n v="92"/>
    <n v="5"/>
    <n v="95"/>
    <s v="Dozen"/>
    <n v="92"/>
    <s v="25,15"/>
    <n v="92"/>
    <s v="19/02/2026"/>
    <n v="90"/>
  </r>
  <r>
    <x v="1"/>
    <x v="0"/>
    <x v="0"/>
    <d v="2026-02-27T13:25:52"/>
    <n v="90.83"/>
    <n v="104"/>
    <n v="0"/>
    <m/>
    <s v="mail - info@g3-medical.nl — Verkooporder SO00454632 / 3505026682"/>
    <s v="Dutch"/>
    <x v="1"/>
    <x v="1"/>
    <n v="98"/>
    <s v="SO00454632"/>
    <n v="95"/>
    <s v="16/02/2026"/>
    <n v="95"/>
    <s v="G3 Medical B.V."/>
    <n v="95"/>
    <s v="Hospital Logistics Nederland B.V."/>
    <n v="92"/>
    <x v="0"/>
    <n v="95"/>
    <x v="1"/>
    <n v="95"/>
    <s v="MK407"/>
    <n v="95"/>
    <s v="Kai ring curette, disposable, steriel, 7,0mm, 20x1st/ds"/>
    <n v="90"/>
    <n v="3"/>
    <n v="95"/>
    <s v="Dozen"/>
    <n v="92"/>
    <s v="33,31"/>
    <n v="92"/>
    <s v="19/02/2026"/>
    <n v="90"/>
  </r>
  <r>
    <x v="1"/>
    <x v="0"/>
    <x v="0"/>
    <d v="2026-02-27T13:25:52"/>
    <n v="90.83"/>
    <n v="104"/>
    <n v="0"/>
    <m/>
    <s v="mail - info@g3-medical.nl — Verkooporder SO00454632 / 3505026682"/>
    <s v="Dutch"/>
    <x v="2"/>
    <x v="1"/>
    <n v="98"/>
    <s v="SO00454632"/>
    <n v="95"/>
    <s v="16/02/2026"/>
    <n v="95"/>
    <s v="G3 Medical B.V."/>
    <n v="95"/>
    <s v="Hospital Logistics Nederland B.V."/>
    <n v="92"/>
    <x v="0"/>
    <n v="95"/>
    <x v="2"/>
    <n v="95"/>
    <s v="BP50F"/>
    <n v="95"/>
    <s v="Kai biopsie punch, disposable, steriel, 5,0mm, 20x1st/ds"/>
    <n v="90"/>
    <n v="1"/>
    <n v="95"/>
    <s v="Dozen"/>
    <n v="92"/>
    <s v="26,07"/>
    <n v="92"/>
    <s v="19/02/2026"/>
    <n v="90"/>
  </r>
  <r>
    <x v="1"/>
    <x v="0"/>
    <x v="0"/>
    <d v="2026-02-27T13:25:52"/>
    <n v="90.83"/>
    <n v="104"/>
    <n v="0"/>
    <m/>
    <s v="mail - info@g3-medical.nl — Verkooporder SO00454632 / 3505026682"/>
    <s v="Dutch"/>
    <x v="3"/>
    <x v="1"/>
    <n v="98"/>
    <s v="SO00454632"/>
    <n v="95"/>
    <s v="16/02/2026"/>
    <n v="95"/>
    <s v="G3 Medical B.V."/>
    <n v="95"/>
    <s v="Hospital Logistics Nederland B.V."/>
    <n v="92"/>
    <x v="0"/>
    <n v="95"/>
    <x v="3"/>
    <n v="95"/>
    <s v="700635"/>
    <n v="95"/>
    <s v="Medicijnbeker 30ml, disposable, transparant, 100st/ds"/>
    <n v="88"/>
    <n v="3"/>
    <n v="95"/>
    <s v="Dozen"/>
    <n v="90"/>
    <s v="30,79"/>
    <n v="92"/>
    <s v="19/02/2026"/>
    <n v="90"/>
  </r>
  <r>
    <x v="1"/>
    <x v="0"/>
    <x v="0"/>
    <d v="2026-02-27T13:25:52"/>
    <n v="90.83"/>
    <n v="104"/>
    <n v="0"/>
    <m/>
    <s v="mail - info@g3-medical.nl — Verkooporder SO00454632 / 3505026682"/>
    <s v="Dutch"/>
    <x v="4"/>
    <x v="1"/>
    <n v="98"/>
    <s v="SO00454632"/>
    <n v="95"/>
    <s v="16/02/2026"/>
    <n v="95"/>
    <s v="G3 Medical B.V."/>
    <n v="95"/>
    <s v="Hospital Logistics Nederland B.V."/>
    <n v="92"/>
    <x v="0"/>
    <n v="95"/>
    <x v="4"/>
    <n v="95"/>
    <s v="300205"/>
    <n v="95"/>
    <s v="CMT Identificatie foambandje, baby, disposable, X-Large, wit, 24st/doos"/>
    <n v="92"/>
    <n v="4"/>
    <n v="95"/>
    <s v="Dozen"/>
    <n v="92"/>
    <s v="53,08"/>
    <n v="92"/>
    <s v="19/02/2026"/>
    <n v="90"/>
  </r>
  <r>
    <x v="1"/>
    <x v="0"/>
    <x v="0"/>
    <d v="2026-02-27T13:25:52"/>
    <n v="90.83"/>
    <n v="104"/>
    <n v="0"/>
    <m/>
    <s v="mail - info@g3-medical.nl — Verkooporder SO00454632 / 3505026682"/>
    <s v="Dutch"/>
    <x v="5"/>
    <x v="1"/>
    <n v="98"/>
    <s v="SO00454632"/>
    <n v="95"/>
    <s v="16/02/2026"/>
    <n v="95"/>
    <s v="G3 Medical B.V."/>
    <n v="95"/>
    <s v="Hospital Logistics Nederland B.V."/>
    <n v="92"/>
    <x v="0"/>
    <n v="95"/>
    <x v="5"/>
    <n v="95"/>
    <s v="700747"/>
    <n v="95"/>
    <s v="Medi-inn scheermesje, dubbel-edged, disposable, blauw, 100st/doos"/>
    <n v="90"/>
    <n v="2"/>
    <n v="95"/>
    <s v="Dozen"/>
    <n v="92"/>
    <s v="9,13"/>
    <n v="92"/>
    <s v="19/02/2026"/>
    <n v="90"/>
  </r>
  <r>
    <x v="1"/>
    <x v="0"/>
    <x v="0"/>
    <d v="2026-02-27T13:25:52"/>
    <n v="90.83"/>
    <n v="104"/>
    <n v="0"/>
    <m/>
    <s v="mail - info@g3-medical.nl — Verkooporder SO00454632 / 3505026682"/>
    <s v="Dutch"/>
    <x v="6"/>
    <x v="1"/>
    <n v="98"/>
    <s v="SO00454632"/>
    <n v="95"/>
    <s v="16/02/2026"/>
    <n v="95"/>
    <s v="G3 Medical B.V."/>
    <n v="95"/>
    <s v="Hospital Logistics Nederland B.V."/>
    <n v="92"/>
    <x v="0"/>
    <n v="95"/>
    <x v="6"/>
    <n v="95"/>
    <s v="700555"/>
    <n v="95"/>
    <s v="Waca drinkbeker, PP, 250ml, semi-transparent, p/st"/>
    <n v="88"/>
    <n v="2"/>
    <n v="95"/>
    <s v="Stuks"/>
    <n v="90"/>
    <s v="1,09"/>
    <n v="92"/>
    <s v="19/02/2026"/>
    <n v="90"/>
  </r>
  <r>
    <x v="1"/>
    <x v="0"/>
    <x v="0"/>
    <d v="2026-02-27T13:25:52"/>
    <n v="90.83"/>
    <n v="104"/>
    <n v="0"/>
    <m/>
    <s v="mail - info@g3-medical.nl — Verkooporder SO00454632 / 3505026682"/>
    <s v="Dutch"/>
    <x v="7"/>
    <x v="1"/>
    <n v="98"/>
    <s v="SO00454632"/>
    <n v="95"/>
    <s v="16/02/2026"/>
    <n v="95"/>
    <s v="G3 Medical B.V."/>
    <n v="95"/>
    <s v="Hospital Logistics Nederland B.V."/>
    <n v="92"/>
    <x v="0"/>
    <n v="95"/>
    <x v="7"/>
    <n v="95"/>
    <s v="704400"/>
    <n v="95"/>
    <s v="CMT Telemetrie draagtasjes, disposable, 21x16,5cm, PP/PE met lintfreeband, wit,100st/doos"/>
    <n v="90"/>
    <n v="4"/>
    <n v="95"/>
    <s v="Dozen"/>
    <n v="92"/>
    <s v="52,08"/>
    <n v="92"/>
    <s v="19/02/2026"/>
    <n v="90"/>
  </r>
  <r>
    <x v="2"/>
    <x v="0"/>
    <x v="0"/>
    <d v="2026-02-27T13:25:52"/>
    <n v="88.48"/>
    <n v="143"/>
    <n v="0"/>
    <m/>
    <s v="mail - info@g3-medical.nl — Verkooporder SO00454616 / 3505026682"/>
    <s v="Dutch"/>
    <x v="0"/>
    <x v="1"/>
    <n v="98"/>
    <s v="SO00454616"/>
    <n v="98"/>
    <s v="16/02/2026"/>
    <n v="98"/>
    <s v="G3 Medical B.V."/>
    <n v="95"/>
    <s v="Hospital Logistics Nederland B.V./Groene Hart Ziekenhuis"/>
    <n v="92"/>
    <x v="0"/>
    <n v="98"/>
    <x v="0"/>
    <n v="98"/>
    <s v="700124"/>
    <n v="92"/>
    <s v="Navelstrengklem, disposable, dubbele sluiting, blauw, steriel, 100x1st/ds"/>
    <n v="88"/>
    <n v="3"/>
    <n v="96"/>
    <s v="Dozen"/>
    <n v="92"/>
    <s v="41,28"/>
    <n v="92"/>
    <s v="19/02/2026"/>
    <n v="85"/>
  </r>
  <r>
    <x v="2"/>
    <x v="0"/>
    <x v="0"/>
    <d v="2026-02-27T13:25:52"/>
    <n v="88.48"/>
    <n v="143"/>
    <n v="0"/>
    <m/>
    <s v="mail - info@g3-medical.nl — Verkooporder SO00454616 / 3505026682"/>
    <s v="Dutch"/>
    <x v="1"/>
    <x v="1"/>
    <n v="98"/>
    <s v="SO00454616"/>
    <n v="98"/>
    <s v="16/02/2026"/>
    <n v="98"/>
    <s v="G3 Medical B.V."/>
    <n v="95"/>
    <s v="Hospital Logistics Nederland B.V./Groene Hart Ziekenhuis"/>
    <n v="92"/>
    <x v="0"/>
    <n v="98"/>
    <x v="1"/>
    <n v="98"/>
    <s v="550269"/>
    <n v="90"/>
    <s v="Noba 263106-1 gynaecologische tampon, 5mtr/6cm, steriel, 4x1st/ds"/>
    <n v="86"/>
    <n v="8"/>
    <n v="96"/>
    <s v="Dozen"/>
    <n v="92"/>
    <s v="8,42"/>
    <n v="92"/>
    <s v="19/02/2026"/>
    <n v="85"/>
  </r>
  <r>
    <x v="2"/>
    <x v="0"/>
    <x v="0"/>
    <d v="2026-02-27T13:25:52"/>
    <n v="88.48"/>
    <n v="143"/>
    <n v="0"/>
    <m/>
    <s v="mail - info@g3-medical.nl — Verkooporder SO00454616 / 3505026682"/>
    <s v="Dutch"/>
    <x v="2"/>
    <x v="1"/>
    <n v="98"/>
    <s v="SO00454616"/>
    <n v="98"/>
    <s v="16/02/2026"/>
    <n v="98"/>
    <s v="G3 Medical B.V."/>
    <n v="95"/>
    <s v="Hospital Logistics Nederland B.V./Groene Hart Ziekenhuis"/>
    <n v="92"/>
    <x v="0"/>
    <n v="98"/>
    <x v="2"/>
    <n v="98"/>
    <s v="880421"/>
    <n v="90"/>
    <s v="Swann Morton 0421, stitchcutter, 110mm, steriel, disposable, carbonstaal, per stuk, 100st/ds"/>
    <n v="86"/>
    <n v="3"/>
    <n v="96"/>
    <s v="Dozen"/>
    <n v="92"/>
    <s v="30,83"/>
    <n v="90"/>
    <s v="19/02/2026"/>
    <n v="85"/>
  </r>
  <r>
    <x v="2"/>
    <x v="0"/>
    <x v="0"/>
    <d v="2026-02-27T13:25:52"/>
    <n v="88.48"/>
    <n v="143"/>
    <n v="0"/>
    <m/>
    <s v="mail - info@g3-medical.nl — Verkooporder SO00454616 / 3505026682"/>
    <s v="Dutch"/>
    <x v="3"/>
    <x v="1"/>
    <n v="98"/>
    <s v="SO00454616"/>
    <n v="98"/>
    <s v="16/02/2026"/>
    <n v="98"/>
    <s v="G3 Medical B.V."/>
    <n v="95"/>
    <s v="Hospital Logistics Nederland B.V./Groene Hart Ziekenhuis"/>
    <n v="92"/>
    <x v="0"/>
    <n v="98"/>
    <x v="3"/>
    <n v="98"/>
    <s v="700702"/>
    <n v="92"/>
    <s v="Protective sheet, 33x45cm, blauw, 10x50st/doos"/>
    <n v="88"/>
    <n v="2"/>
    <n v="96"/>
    <s v="Dozen"/>
    <n v="92"/>
    <s v="25,52"/>
    <n v="92"/>
    <s v="19/02/2026"/>
    <n v="85"/>
  </r>
  <r>
    <x v="2"/>
    <x v="0"/>
    <x v="0"/>
    <d v="2026-02-27T13:25:52"/>
    <n v="88.48"/>
    <n v="143"/>
    <n v="0"/>
    <m/>
    <s v="mail - info@g3-medical.nl — Verkooporder SO00454616 / 3505026682"/>
    <s v="Dutch"/>
    <x v="4"/>
    <x v="1"/>
    <n v="98"/>
    <s v="SO00454616"/>
    <n v="98"/>
    <s v="16/02/2026"/>
    <n v="98"/>
    <s v="G3 Medical B.V."/>
    <n v="95"/>
    <s v="Hospital Logistics Nederland B.V./Groene Hart Ziekenhuis"/>
    <n v="92"/>
    <x v="0"/>
    <n v="98"/>
    <x v="4"/>
    <n v="98"/>
    <s v="610PST-ZAK"/>
    <n v="90"/>
    <s v="CMT pe schort, wit, geruwd, 125x80cm, 25µ, 100x1st/zakje"/>
    <n v="86"/>
    <n v="6"/>
    <n v="96"/>
    <s v="Zak"/>
    <n v="92"/>
    <s v="11,23"/>
    <n v="90"/>
    <s v="19/02/2026"/>
    <n v="85"/>
  </r>
  <r>
    <x v="2"/>
    <x v="0"/>
    <x v="0"/>
    <d v="2026-02-27T13:25:52"/>
    <n v="88.48"/>
    <n v="143"/>
    <n v="0"/>
    <m/>
    <s v="mail - info@g3-medical.nl — Verkooporder SO00454616 / 3505026682"/>
    <s v="Dutch"/>
    <x v="5"/>
    <x v="1"/>
    <n v="98"/>
    <s v="SO00454616"/>
    <n v="98"/>
    <s v="16/02/2026"/>
    <n v="98"/>
    <s v="G3 Medical B.V."/>
    <n v="95"/>
    <s v="Hospital Logistics Nederland B.V./Groene Hart Ziekenhuis"/>
    <n v="92"/>
    <x v="0"/>
    <n v="98"/>
    <x v="5"/>
    <n v="98"/>
    <s v="714042"/>
    <n v="90"/>
    <s v="CMT spalken foam, blauw, 138x30x10mm, disposable, 30st/doos"/>
    <n v="86"/>
    <n v="1"/>
    <n v="96"/>
    <s v="Dozen"/>
    <n v="92"/>
    <s v="53,20"/>
    <n v="92"/>
    <s v="19/02/2026"/>
    <n v="85"/>
  </r>
  <r>
    <x v="2"/>
    <x v="0"/>
    <x v="0"/>
    <d v="2026-02-27T13:25:52"/>
    <n v="88.48"/>
    <n v="143"/>
    <n v="0"/>
    <m/>
    <s v="mail - info@g3-medical.nl — Verkooporder SO00454616 / 3505026682"/>
    <s v="Dutch"/>
    <x v="6"/>
    <x v="1"/>
    <n v="98"/>
    <s v="SO00454616"/>
    <n v="98"/>
    <s v="16/02/2026"/>
    <n v="98"/>
    <s v="G3 Medical B.V."/>
    <n v="95"/>
    <s v="Hospital Logistics Nederland B.V./Groene Hart Ziekenhuis"/>
    <n v="92"/>
    <x v="0"/>
    <n v="98"/>
    <x v="6"/>
    <n v="98"/>
    <s v="700149"/>
    <n v="90"/>
    <s v="Tandenborstel met tandpasta, disposable, 100st/ds"/>
    <n v="86"/>
    <n v="2"/>
    <n v="96"/>
    <s v="Dozen"/>
    <n v="92"/>
    <s v="8,38"/>
    <n v="90"/>
    <s v="19/02/2026"/>
    <n v="85"/>
  </r>
  <r>
    <x v="2"/>
    <x v="0"/>
    <x v="0"/>
    <d v="2026-02-27T13:25:52"/>
    <n v="88.48"/>
    <n v="143"/>
    <n v="0"/>
    <m/>
    <s v="mail - info@g3-medical.nl — Verkooporder SO00454616 / 3505026682"/>
    <s v="Dutch"/>
    <x v="7"/>
    <x v="1"/>
    <n v="98"/>
    <s v="SO00454616"/>
    <n v="98"/>
    <s v="16/02/2026"/>
    <n v="98"/>
    <s v="G3 Medical B.V."/>
    <n v="95"/>
    <s v="Hospital Logistics Nederland B.V./Groene Hart Ziekenhuis"/>
    <n v="92"/>
    <x v="0"/>
    <n v="98"/>
    <x v="7"/>
    <n v="98"/>
    <s v="410003"/>
    <n v="92"/>
    <s v="Parker Aquasonic 100 01-08 ultrasound transmissie gel, 250ml, 12st/ds"/>
    <n v="88"/>
    <n v="6"/>
    <n v="96"/>
    <s v="Dozen"/>
    <n v="92"/>
    <s v="23,01"/>
    <n v="92"/>
    <s v="19/02/2026"/>
    <n v="85"/>
  </r>
  <r>
    <x v="2"/>
    <x v="0"/>
    <x v="0"/>
    <d v="2026-02-27T13:25:52"/>
    <n v="88.48"/>
    <n v="143"/>
    <n v="0"/>
    <m/>
    <s v="mail - info@g3-medical.nl — Verkooporder SO00454616 / 3505026682"/>
    <s v="Dutch"/>
    <x v="8"/>
    <x v="1"/>
    <n v="98"/>
    <s v="SO00454616"/>
    <n v="98"/>
    <s v="16/02/2026"/>
    <n v="98"/>
    <s v="G3 Medical B.V."/>
    <n v="95"/>
    <s v="Hospital Logistics Nederland B.V./Groene Hart Ziekenhuis"/>
    <n v="92"/>
    <x v="0"/>
    <n v="98"/>
    <x v="8"/>
    <n v="98"/>
    <s v="700130"/>
    <n v="92"/>
    <s v="Stethoscoop 710045-S model Littmann, dual head, zwarte slang, p/st"/>
    <n v="88"/>
    <n v="2"/>
    <n v="96"/>
    <s v="Stuks"/>
    <n v="92"/>
    <s v="5,49"/>
    <n v="92"/>
    <s v="19/02/2026"/>
    <n v="85"/>
  </r>
  <r>
    <x v="2"/>
    <x v="0"/>
    <x v="0"/>
    <d v="2026-02-27T13:25:52"/>
    <n v="88.48"/>
    <n v="143"/>
    <n v="0"/>
    <m/>
    <s v="mail - info@g3-medical.nl — Verkooporder SO00454616 / 3505026682"/>
    <s v="Dutch"/>
    <x v="9"/>
    <x v="1"/>
    <n v="98"/>
    <s v="SO00454616"/>
    <n v="98"/>
    <s v="16/02/2026"/>
    <n v="98"/>
    <s v="G3 Medical B.V."/>
    <n v="95"/>
    <s v="Hospital Logistics Nederland B.V./Groene Hart Ziekenhuis"/>
    <n v="92"/>
    <x v="0"/>
    <n v="98"/>
    <x v="9"/>
    <n v="98"/>
    <s v="229510-DIS"/>
    <n v="90"/>
    <s v="CMT tongspatels, hout, premium, 150x18mm, 100st/dispenser"/>
    <n v="86"/>
    <n v="4"/>
    <n v="96"/>
    <s v="Dispense"/>
    <n v="92"/>
    <s v="1,13"/>
    <n v="90"/>
    <s v="19/02/2026"/>
    <n v="85"/>
  </r>
  <r>
    <x v="2"/>
    <x v="0"/>
    <x v="0"/>
    <d v="2026-02-27T13:25:52"/>
    <n v="88.48"/>
    <n v="143"/>
    <n v="0"/>
    <m/>
    <s v="mail - info@g3-medical.nl — Verkooporder SO00454616 / 3505026682"/>
    <s v="Dutch"/>
    <x v="10"/>
    <x v="1"/>
    <n v="98"/>
    <s v="SO00454616"/>
    <n v="98"/>
    <s v="16/02/2026"/>
    <n v="98"/>
    <s v="G3 Medical B.V."/>
    <n v="95"/>
    <s v="Hospital Logistics Nederland B.V./Groene Hart Ziekenhuis"/>
    <n v="92"/>
    <x v="0"/>
    <n v="98"/>
    <x v="10"/>
    <n v="98"/>
    <s v="MKKSS"/>
    <n v="90"/>
    <s v="HP MKK-SS Polsband met enkele bevestigingsband, 30 cm, p/pr"/>
    <n v="88"/>
    <n v="7"/>
    <n v="96"/>
    <s v="Paar"/>
    <n v="92"/>
    <s v="9,90"/>
    <n v="90"/>
    <s v="26/02/2026"/>
    <n v="96"/>
  </r>
  <r>
    <x v="3"/>
    <x v="0"/>
    <x v="0"/>
    <d v="2026-02-27T13:25:40"/>
    <n v="88.54"/>
    <n v="78"/>
    <n v="5"/>
    <m/>
    <s v="mail - orders.NL@freseniusmedicalcare.com — Re: [EXTERNAL EMAIL] Order Hospital Logistics  1507018691"/>
    <s v="Dutch"/>
    <x v="0"/>
    <x v="2"/>
    <n v="98"/>
    <s v="2364062865"/>
    <n v="96"/>
    <s v="16/02/2026"/>
    <n v="92"/>
    <s v="Fresenius Medical Care Nederland BV"/>
    <n v="92"/>
    <s v="Hospital Logistics, Medisch Centrum Leeuwarden"/>
    <n v="88"/>
    <x v="0"/>
    <n v="96"/>
    <x v="9"/>
    <n v="95"/>
    <s v="5092030"/>
    <n v="95"/>
    <s v="Prijs per behandeling BTW Laag"/>
    <n v="90"/>
    <n v="240"/>
    <n v="94"/>
    <s v="ST"/>
    <n v="92"/>
    <s v="27,77"/>
    <n v="94"/>
    <m/>
    <n v="20"/>
  </r>
  <r>
    <x v="3"/>
    <x v="0"/>
    <x v="0"/>
    <d v="2026-02-27T13:25:40"/>
    <n v="88.54"/>
    <n v="78"/>
    <n v="5"/>
    <m/>
    <s v="mail - orders.NL@freseniusmedicalcare.com — Re: [EXTERNAL EMAIL] Order Hospital Logistics  1507018691"/>
    <s v="Dutch"/>
    <x v="1"/>
    <x v="2"/>
    <n v="98"/>
    <s v="2364062865"/>
    <n v="96"/>
    <s v="16/02/2026"/>
    <n v="92"/>
    <s v="Fresenius Medical Care Nederland BV"/>
    <n v="92"/>
    <s v="Hospital Logistics, Medisch Centrum Leeuwarden"/>
    <n v="88"/>
    <x v="0"/>
    <n v="96"/>
    <x v="11"/>
    <n v="95"/>
    <s v="5060781"/>
    <n v="95"/>
    <s v="BIBAG 650g 5008"/>
    <n v="92"/>
    <n v="240"/>
    <n v="94"/>
    <s v="ST"/>
    <n v="92"/>
    <s v="27,77"/>
    <n v="95"/>
    <s v="17/02/2026"/>
    <n v="95"/>
  </r>
  <r>
    <x v="3"/>
    <x v="0"/>
    <x v="0"/>
    <d v="2026-02-27T13:25:40"/>
    <n v="88.54"/>
    <n v="78"/>
    <n v="5"/>
    <m/>
    <s v="mail - orders.NL@freseniusmedicalcare.com — Re: [EXTERNAL EMAIL] Order Hospital Logistics  1507018691"/>
    <s v="Dutch"/>
    <x v="2"/>
    <x v="2"/>
    <n v="98"/>
    <s v="2364062865"/>
    <n v="96"/>
    <s v="16/02/2026"/>
    <n v="92"/>
    <s v="Fresenius Medical Care Nederland BV"/>
    <n v="92"/>
    <s v="Hospital Logistics, Medisch Centrum Leeuwarden"/>
    <n v="88"/>
    <x v="0"/>
    <n v="96"/>
    <x v="12"/>
    <n v="95"/>
    <s v="F00001591"/>
    <n v="95"/>
    <s v="FX CorDiax 80"/>
    <n v="90"/>
    <n v="240"/>
    <n v="90"/>
    <s v="ST"/>
    <n v="88"/>
    <m/>
    <n v="30"/>
    <s v="17/02/2026"/>
    <n v="95"/>
  </r>
  <r>
    <x v="3"/>
    <x v="0"/>
    <x v="0"/>
    <d v="2026-02-27T13:25:40"/>
    <n v="88.54"/>
    <n v="78"/>
    <n v="5"/>
    <m/>
    <s v="mail - orders.NL@freseniusmedicalcare.com — Re: [EXTERNAL EMAIL] Order Hospital Logistics  1507018691"/>
    <s v="Dutch"/>
    <x v="3"/>
    <x v="2"/>
    <n v="98"/>
    <s v="2364062865"/>
    <n v="96"/>
    <s v="16/02/2026"/>
    <n v="92"/>
    <s v="Fresenius Medical Care Nederland BV"/>
    <n v="92"/>
    <s v="Hospital Logistics, Medisch Centrum Leeuwarden"/>
    <n v="88"/>
    <x v="0"/>
    <n v="96"/>
    <x v="13"/>
    <n v="95"/>
    <s v="5092030ID"/>
    <n v="95"/>
    <s v="Prijs per behandeling BTW Hoog"/>
    <n v="92"/>
    <n v="240"/>
    <n v="94"/>
    <s v="ST"/>
    <n v="92"/>
    <s v="4,34"/>
    <n v="95"/>
    <m/>
    <n v="25"/>
  </r>
  <r>
    <x v="3"/>
    <x v="0"/>
    <x v="0"/>
    <d v="2026-02-27T13:25:40"/>
    <n v="88.54"/>
    <n v="78"/>
    <n v="5"/>
    <m/>
    <s v="mail - orders.NL@freseniusmedicalcare.com — Re: [EXTERNAL EMAIL] Order Hospital Logistics  1507018691"/>
    <s v="Dutch"/>
    <x v="4"/>
    <x v="2"/>
    <n v="98"/>
    <s v="2364062865"/>
    <n v="96"/>
    <s v="16/02/2026"/>
    <n v="92"/>
    <s v="Fresenius Medical Care Nederland BV"/>
    <n v="92"/>
    <s v="Hospital Logistics, Medisch Centrum Leeuwarden"/>
    <n v="88"/>
    <x v="0"/>
    <n v="96"/>
    <x v="14"/>
    <n v="95"/>
    <s v="F00006822"/>
    <n v="95"/>
    <s v="FX CorAL 80"/>
    <n v="92"/>
    <n v="72"/>
    <n v="94"/>
    <s v="ST"/>
    <n v="92"/>
    <s v="5,38"/>
    <n v="95"/>
    <m/>
    <n v="25"/>
  </r>
  <r>
    <x v="3"/>
    <x v="0"/>
    <x v="0"/>
    <d v="2026-02-27T13:25:40"/>
    <n v="88.54"/>
    <n v="78"/>
    <n v="5"/>
    <m/>
    <s v="mail - orders.NL@freseniusmedicalcare.com — Re: [EXTERNAL EMAIL] Order Hospital Logistics  1507018691"/>
    <s v="Dutch"/>
    <x v="5"/>
    <x v="2"/>
    <n v="98"/>
    <s v="2364062865"/>
    <n v="96"/>
    <s v="16/02/2026"/>
    <n v="92"/>
    <s v="Fresenius Medical Care Nederland BV"/>
    <n v="92"/>
    <s v="Hospital Logistics, Medisch Centrum Leeuwarden"/>
    <n v="88"/>
    <x v="0"/>
    <n v="96"/>
    <x v="15"/>
    <n v="95"/>
    <s v="F00001595"/>
    <n v="95"/>
    <s v="FX CorDiax 1000"/>
    <n v="92"/>
    <n v="168"/>
    <n v="94"/>
    <s v="ST"/>
    <n v="92"/>
    <s v="1,28"/>
    <n v="95"/>
    <m/>
    <n v="20"/>
  </r>
  <r>
    <x v="4"/>
    <x v="0"/>
    <x v="0"/>
    <d v="2026-02-27T13:25:40"/>
    <n v="89.42"/>
    <n v="39"/>
    <n v="3"/>
    <m/>
    <s v="mail - orders.NL@freseniusmedicalcare.com — Re: [EXTERNAL EMAIL] Order Hospital Logistics  3504015924"/>
    <s v="Dutch"/>
    <x v="0"/>
    <x v="3"/>
    <n v="95"/>
    <s v="2364063103"/>
    <n v="90"/>
    <s v="16/02/2026"/>
    <n v="95"/>
    <s v="Fresenius Medical Care Nederland BV"/>
    <n v="95"/>
    <s v="Hospital Logistics Nederland"/>
    <n v="95"/>
    <x v="0"/>
    <n v="100"/>
    <x v="9"/>
    <n v="95"/>
    <s v="5060781"/>
    <n v="95"/>
    <s v="BIBAG 650g 5008"/>
    <n v="90"/>
    <n v="128"/>
    <n v="95"/>
    <s v="ST"/>
    <n v="90"/>
    <s v="2,89"/>
    <n v="95"/>
    <m/>
    <n v="20"/>
  </r>
  <r>
    <x v="4"/>
    <x v="0"/>
    <x v="0"/>
    <d v="2026-02-27T13:25:40"/>
    <n v="89.42"/>
    <n v="39"/>
    <n v="3"/>
    <m/>
    <s v="mail - orders.NL@freseniusmedicalcare.com — Re: [EXTERNAL EMAIL] Order Hospital Logistics  3504015924"/>
    <s v="Dutch"/>
    <x v="1"/>
    <x v="3"/>
    <n v="95"/>
    <s v="2364063103"/>
    <n v="90"/>
    <s v="16/02/2026"/>
    <n v="95"/>
    <s v="Fresenius Medical Care Nederland BV"/>
    <n v="95"/>
    <s v="Hospital Logistics Nederland"/>
    <n v="95"/>
    <x v="0"/>
    <n v="100"/>
    <x v="16"/>
    <n v="95"/>
    <s v="F00002387"/>
    <n v="95"/>
    <s v="FX 80 classix"/>
    <n v="90"/>
    <n v="48"/>
    <n v="95"/>
    <s v="ST"/>
    <n v="90"/>
    <s v="8,48"/>
    <n v="95"/>
    <m/>
    <n v="20"/>
  </r>
  <r>
    <x v="4"/>
    <x v="0"/>
    <x v="0"/>
    <d v="2026-02-27T13:25:40"/>
    <n v="89.42"/>
    <n v="39"/>
    <n v="3"/>
    <m/>
    <s v="mail - orders.NL@freseniusmedicalcare.com — Re: [EXTERNAL EMAIL] Order Hospital Logistics  3504015924"/>
    <s v="Dutch"/>
    <x v="2"/>
    <x v="3"/>
    <n v="95"/>
    <s v="2364063103"/>
    <n v="90"/>
    <s v="16/02/2026"/>
    <n v="95"/>
    <s v="Fresenius Medical Care Nederland BV"/>
    <n v="95"/>
    <s v="Hospital Logistics Nederland"/>
    <n v="95"/>
    <x v="0"/>
    <n v="100"/>
    <x v="17"/>
    <n v="95"/>
    <s v="5060801"/>
    <n v="95"/>
    <s v="BIBAG 900g 5008"/>
    <n v="90"/>
    <n v="84"/>
    <n v="95"/>
    <s v="ST"/>
    <n v="90"/>
    <s v="3,95"/>
    <n v="95"/>
    <m/>
    <n v="20"/>
  </r>
  <r>
    <x v="5"/>
    <x v="0"/>
    <x v="0"/>
    <d v="2026-02-27T13:25:28"/>
    <n v="64.8"/>
    <n v="1140"/>
    <n v="0"/>
    <m/>
    <s v="mail - tena.medical.cs.nl@essity.com — 3505026639 ESSITY Orderbevestiging"/>
    <s v="Dutch"/>
    <x v="0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9"/>
    <n v="50"/>
    <s v="7238101"/>
    <n v="50"/>
    <s v="Leukomed T 8 x 10cm - P50"/>
    <n v="50"/>
    <n v="4"/>
    <n v="50"/>
    <s v="PC"/>
    <n v="50"/>
    <s v="18,77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1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16"/>
    <n v="50"/>
    <s v="7268000"/>
    <n v="50"/>
    <s v="Cuticell Contact 5 x 7,5cm - P5"/>
    <n v="50"/>
    <n v="60"/>
    <n v="50"/>
    <s v="PC"/>
    <n v="50"/>
    <s v="4,41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2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17"/>
    <n v="50"/>
    <s v="7123718"/>
    <n v="50"/>
    <s v="LP comp cot gauze ST 10x20cm 12PLY - P50x1"/>
    <n v="50"/>
    <n v="3"/>
    <n v="50"/>
    <s v="PC"/>
    <n v="50"/>
    <s v="8,71 / 1 PC"/>
    <n v="50"/>
    <m/>
    <m/>
  </r>
  <r>
    <x v="5"/>
    <x v="0"/>
    <x v="0"/>
    <d v="2026-02-27T13:25:28"/>
    <n v="64.8"/>
    <n v="1140"/>
    <n v="0"/>
    <m/>
    <s v="mail - tena.medical.cs.nl@essity.com — 3505026639 ESSITY Orderbevestiging"/>
    <s v="Dutch"/>
    <x v="3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18"/>
    <n v="50"/>
    <s v="7274007"/>
    <n v="50"/>
    <s v="LP WCS ST natural 6x75mm - P50x3 strips"/>
    <n v="50"/>
    <n v="2"/>
    <n v="50"/>
    <s v="PC"/>
    <n v="50"/>
    <s v="26,35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4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19"/>
    <n v="50"/>
    <s v="7274006"/>
    <n v="50"/>
    <s v="LP WCS ST natural 6x38mm - P50x6 strips"/>
    <n v="50"/>
    <n v="2"/>
    <n v="50"/>
    <s v="PC"/>
    <n v="50"/>
    <s v="28,19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5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20"/>
    <n v="50"/>
    <s v="7274008"/>
    <n v="50"/>
    <s v="LP WCS ST natural 12x100mm - P50x6 strips"/>
    <n v="50"/>
    <n v="2"/>
    <n v="50"/>
    <s v="PC"/>
    <n v="50"/>
    <s v="36,16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6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21"/>
    <n v="50"/>
    <s v="7128201"/>
    <n v="50"/>
    <s v="LP comp abs protect ST 20 x 40cm - P25x1"/>
    <n v="50"/>
    <n v="7"/>
    <n v="50"/>
    <s v="PC"/>
    <n v="50"/>
    <s v="14,28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7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22"/>
    <n v="50"/>
    <s v="7128203"/>
    <n v="50"/>
    <s v="LP comp abs protect ST 10 x 20cm - P50x1"/>
    <n v="50"/>
    <n v="24"/>
    <n v="50"/>
    <s v="PC"/>
    <n v="50"/>
    <s v="9,29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8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23"/>
    <n v="50"/>
    <s v="7128814"/>
    <n v="50"/>
    <s v="LP comp non-wov ST 10x10cm 4PLY - P25x10"/>
    <n v="50"/>
    <n v="15"/>
    <n v="50"/>
    <s v="PC"/>
    <n v="50"/>
    <s v="5,95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9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24"/>
    <n v="50"/>
    <s v="7228001"/>
    <n v="50"/>
    <s v="DC Conformable wit 3,6m x 5cm - P10"/>
    <n v="50"/>
    <n v="7"/>
    <n v="50"/>
    <s v="PC"/>
    <n v="50"/>
    <s v="50,25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10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25"/>
    <n v="50"/>
    <s v="7228002"/>
    <n v="50"/>
    <s v="DC Conformable wit 3,6m x 7,5cm - P10"/>
    <n v="50"/>
    <n v="16"/>
    <n v="50"/>
    <s v="PC"/>
    <n v="50"/>
    <s v="61,49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11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26"/>
    <n v="50"/>
    <s v="7228003"/>
    <n v="50"/>
    <s v="DC Conformable wit 3,6m x 10cm - P10"/>
    <n v="50"/>
    <n v="7"/>
    <n v="50"/>
    <s v="PC"/>
    <n v="50"/>
    <s v="72,23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12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27"/>
    <n v="50"/>
    <s v="7228004"/>
    <n v="50"/>
    <s v="DC Conformable wit 3,6m x 12,5cm - P10"/>
    <n v="50"/>
    <n v="3"/>
    <n v="50"/>
    <s v="PC"/>
    <n v="50"/>
    <s v="79,79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13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28"/>
    <n v="50"/>
    <s v="7228601"/>
    <n v="50"/>
    <s v="DC Conformable paars 3,6m x 7,5cm - P10"/>
    <n v="50"/>
    <n v="2"/>
    <n v="50"/>
    <s v="PC"/>
    <n v="50"/>
    <s v="67,13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14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29"/>
    <n v="50"/>
    <s v="7228801"/>
    <n v="50"/>
    <s v="DCC zwart 3,6m x 7,5cm - P10"/>
    <n v="50"/>
    <n v="4"/>
    <n v="50"/>
    <s v="PC"/>
    <n v="50"/>
    <s v="62,74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15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30"/>
    <n v="50"/>
    <s v="7230700"/>
    <n v="50"/>
    <s v="Delta-Net Stockinette 23m x 5cm"/>
    <n v="50"/>
    <n v="10"/>
    <n v="50"/>
    <s v="PC"/>
    <n v="50"/>
    <s v="9,60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16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31"/>
    <n v="50"/>
    <s v="7230702"/>
    <n v="50"/>
    <s v="Delta-Net Stockinette 23m x 10cm"/>
    <n v="50"/>
    <n v="8"/>
    <n v="50"/>
    <s v="PC"/>
    <n v="50"/>
    <s v="16,82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17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32"/>
    <n v="50"/>
    <s v="720611"/>
    <n v="50"/>
    <s v="TENA Bibs 37x66cm Large 6x150p INT"/>
    <n v="50"/>
    <n v="1"/>
    <n v="50"/>
    <s v="TRP"/>
    <n v="50"/>
    <s v="10,49 / 1 CON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18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33"/>
    <n v="50"/>
    <s v="730456"/>
    <n v="50"/>
    <s v="TENA Flex Super M 3x30p, INT/NEU, NSW"/>
    <n v="50"/>
    <n v="6"/>
    <n v="50"/>
    <s v="TRP"/>
    <n v="50"/>
    <s v="43,30 / 100 PCS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19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34"/>
    <n v="50"/>
    <s v="728695"/>
    <n v="50"/>
    <s v="TENA Flex Super L 3x30p INT/NEU, NSW"/>
    <n v="50"/>
    <n v="28"/>
    <n v="50"/>
    <s v="TRP"/>
    <n v="50"/>
    <s v="50,31 / 100 PCS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20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11"/>
    <n v="50"/>
    <s v="724970"/>
    <n v="50"/>
    <s v="TENA Flex Super Proskin XL"/>
    <n v="50"/>
    <n v="8"/>
    <n v="50"/>
    <s v="TRP"/>
    <n v="50"/>
    <s v="64,60 / 100 PCS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21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35"/>
    <n v="50"/>
    <s v="730447"/>
    <n v="50"/>
    <s v="TENA Flex Maxi S 3x22p INT/NEU NSW"/>
    <n v="50"/>
    <n v="2"/>
    <n v="50"/>
    <s v="TRP"/>
    <n v="50"/>
    <s v="44,72 / 100 PCS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22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36"/>
    <n v="50"/>
    <s v="730436"/>
    <n v="50"/>
    <s v="TENA Flex Ultima M 3x20p INT/NEU NSW"/>
    <n v="50"/>
    <n v="44"/>
    <n v="50"/>
    <s v="TRP"/>
    <n v="50"/>
    <s v="61,33 / 100 PCS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23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37"/>
    <n v="50"/>
    <s v="730433"/>
    <n v="50"/>
    <s v="TENA Flex Maxi M 3x22p, INT/NEU, NSW"/>
    <n v="50"/>
    <n v="31"/>
    <n v="50"/>
    <s v="TRP"/>
    <n v="50"/>
    <s v="50,43 / 100 PCS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24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38"/>
    <n v="50"/>
    <s v="729909"/>
    <n v="50"/>
    <s v="TENA Flex Ultima L 3x20p INT/NEU, NSW"/>
    <n v="50"/>
    <n v="24"/>
    <n v="50"/>
    <s v="TRP"/>
    <n v="50"/>
    <s v="73,27 / 100 PCS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25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39"/>
    <n v="50"/>
    <s v="728533"/>
    <n v="50"/>
    <s v="TENA Flex Maxi ProSkin XL"/>
    <n v="50"/>
    <n v="13"/>
    <n v="50"/>
    <s v="TRP"/>
    <n v="50"/>
    <s v="74,75 / 100 PCS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26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40"/>
    <n v="50"/>
    <s v="750706"/>
    <n v="50"/>
    <s v="TENA Men Level 2, 6x20p NEU"/>
    <n v="50"/>
    <n v="1"/>
    <n v="50"/>
    <s v="TRP"/>
    <n v="50"/>
    <s v="26,47 / 100 PCS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27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41"/>
    <n v="50"/>
    <s v="754031"/>
    <n v="50"/>
    <s v="TENA Fix Premium Extra Large"/>
    <n v="50"/>
    <n v="3"/>
    <n v="50"/>
    <s v="TRP"/>
    <n v="50"/>
    <s v="40,93 / 100 PCS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28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42"/>
    <n v="50"/>
    <s v="761425"/>
    <n v="50"/>
    <s v="TENA Comf Mini Plus 6x30p BTXB NEU NSW"/>
    <n v="50"/>
    <n v="2"/>
    <n v="50"/>
    <s v="TRP"/>
    <n v="50"/>
    <s v="12,70 / 100 PCS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29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43"/>
    <n v="50"/>
    <s v="761531"/>
    <n v="50"/>
    <s v="TENA Comfort Mini Extra"/>
    <n v="50"/>
    <n v="5"/>
    <n v="50"/>
    <s v="TRP"/>
    <n v="50"/>
    <s v="13,69 / 100 PCS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30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44"/>
    <n v="50"/>
    <s v="770120"/>
    <n v="50"/>
    <s v="TENA Bed Plus 60 x 90 cm"/>
    <n v="50"/>
    <n v="3"/>
    <n v="50"/>
    <s v="TRP"/>
    <n v="50"/>
    <s v="28,71 / 100 PCS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31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45"/>
    <n v="50"/>
    <s v="792591"/>
    <n v="50"/>
    <s v="TENA Pants Plus M, 4x14 pcs, Centr. Ps"/>
    <n v="50"/>
    <n v="42"/>
    <n v="50"/>
    <s v="TRP"/>
    <n v="50"/>
    <s v="49,63 / 100 PCS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32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46"/>
    <n v="50"/>
    <s v="7190100"/>
    <n v="50"/>
    <s v="BSN Tricot 4m x 10cm"/>
    <n v="50"/>
    <n v="80"/>
    <n v="50"/>
    <s v="PC"/>
    <n v="50"/>
    <s v="1,76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33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47"/>
    <n v="50"/>
    <s v="7190101"/>
    <n v="50"/>
    <s v="BSN Tricot 4m x 12cm"/>
    <n v="50"/>
    <n v="70"/>
    <n v="50"/>
    <s v="PC"/>
    <n v="50"/>
    <s v="2,18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34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48"/>
    <n v="50"/>
    <s v="7190102"/>
    <n v="50"/>
    <s v="BSN Tricot 4m x 15cm"/>
    <n v="50"/>
    <n v="100"/>
    <n v="50"/>
    <s v="PC"/>
    <n v="50"/>
    <s v="2,56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35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49"/>
    <n v="50"/>
    <s v="7190103"/>
    <n v="50"/>
    <s v="BSN Tricot 4m x 20cm"/>
    <n v="50"/>
    <n v="80"/>
    <n v="50"/>
    <s v="PC"/>
    <n v="50"/>
    <s v="3,38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36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50"/>
    <n v="50"/>
    <s v="0103000"/>
    <n v="50"/>
    <s v="Comprilan 5m x 10cm - P2"/>
    <n v="50"/>
    <n v="125"/>
    <n v="50"/>
    <s v="PC"/>
    <n v="50"/>
    <s v="4,79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37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51"/>
    <n v="50"/>
    <s v="0198400"/>
    <n v="50"/>
    <s v="Ideaal BSN 5m x 6cm, 2 verbandklemmen"/>
    <n v="50"/>
    <n v="80"/>
    <n v="50"/>
    <s v="PC"/>
    <n v="50"/>
    <s v="1,00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38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52"/>
    <n v="50"/>
    <s v="0209600"/>
    <n v="50"/>
    <s v="Elastomull 4m x 8cm cellofaan"/>
    <n v="50"/>
    <n v="600"/>
    <n v="50"/>
    <s v="PC"/>
    <n v="50"/>
    <s v="0,19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39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53"/>
    <n v="50"/>
    <s v="7163310"/>
    <n v="50"/>
    <s v="BSN Crêpe 4m x 6cm - P10"/>
    <n v="50"/>
    <n v="3"/>
    <n v="50"/>
    <s v="PC"/>
    <n v="50"/>
    <s v="7,80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40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54"/>
    <n v="50"/>
    <s v="7206700"/>
    <n v="50"/>
    <s v="Tensoplast beige 4,5m x 2,5cm - P12"/>
    <n v="50"/>
    <n v="1"/>
    <n v="50"/>
    <s v="PC"/>
    <n v="50"/>
    <s v="28,58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41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55"/>
    <n v="50"/>
    <s v="7232203"/>
    <n v="50"/>
    <s v="Delta-RoIS 2,75m x 15cm - P12"/>
    <n v="50"/>
    <n v="12"/>
    <n v="50"/>
    <s v="PC"/>
    <n v="50"/>
    <s v="15,78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42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56"/>
    <n v="50"/>
    <s v="7702600"/>
    <n v="50"/>
    <s v="Comprinet pro knie klein wit 1pr"/>
    <n v="50"/>
    <n v="10"/>
    <n v="50"/>
    <s v="PC"/>
    <n v="50"/>
    <s v="5,18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43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12"/>
    <n v="50"/>
    <s v="7702800"/>
    <n v="50"/>
    <s v="Comprinet pro knie groot wit 1pr"/>
    <n v="50"/>
    <n v="10"/>
    <n v="50"/>
    <s v="PC"/>
    <n v="50"/>
    <s v="5,17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44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57"/>
    <n v="50"/>
    <s v="0956600"/>
    <n v="50"/>
    <s v="Leukosilk 9,2m x 1,25cm"/>
    <n v="50"/>
    <n v="48"/>
    <n v="50"/>
    <s v="PC"/>
    <n v="50"/>
    <s v="0,71 / 1 PC"/>
    <n v="50"/>
    <m/>
    <m/>
  </r>
  <r>
    <x v="5"/>
    <x v="0"/>
    <x v="0"/>
    <d v="2026-02-27T13:25:28"/>
    <n v="64.8"/>
    <n v="1140"/>
    <n v="0"/>
    <m/>
    <s v="mail - tena.medical.cs.nl@essity.com — 3505026639 ESSITY Orderbevestiging"/>
    <s v="Dutch"/>
    <x v="45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58"/>
    <n v="50"/>
    <s v="0195700"/>
    <n v="50"/>
    <s v="Ideaal BSN 5m x 12cm ongecoffeleerd"/>
    <n v="50"/>
    <n v="10"/>
    <n v="50"/>
    <s v="PC"/>
    <n v="50"/>
    <s v="1,16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46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59"/>
    <n v="50"/>
    <s v="0904600"/>
    <n v="50"/>
    <s v="Artiflex 10cm x 3m - P30"/>
    <n v="50"/>
    <n v="2"/>
    <n v="50"/>
    <s v="PC"/>
    <n v="50"/>
    <s v="25,11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47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60"/>
    <n v="50"/>
    <s v="4419"/>
    <n v="50"/>
    <s v="TENA ProSkin Barrier Cream 150 ml"/>
    <n v="50"/>
    <n v="12"/>
    <n v="50"/>
    <s v="TRP"/>
    <n v="50"/>
    <s v="1,98 / 1 CON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48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61"/>
    <n v="50"/>
    <s v="774458"/>
    <n v="50"/>
    <s v="TENA Hygiene Sheet 210 x 80 cm"/>
    <n v="50"/>
    <n v="8"/>
    <n v="50"/>
    <s v="TRP"/>
    <n v="50"/>
    <s v="56,17 / 1 TRP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49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62"/>
    <n v="50"/>
    <s v="4537100"/>
    <n v="50"/>
    <s v="Elastomull haft color blauw 20m x 6cm"/>
    <n v="50"/>
    <n v="24"/>
    <n v="50"/>
    <s v="PC"/>
    <n v="50"/>
    <s v="3,03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50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63"/>
    <n v="50"/>
    <s v="4537200"/>
    <n v="50"/>
    <s v="Elastomull haft color blauw 20m x 8cm"/>
    <n v="50"/>
    <n v="24"/>
    <n v="50"/>
    <s v="PC"/>
    <n v="50"/>
    <s v="3,04 / 1 PC"/>
    <n v="50"/>
    <m/>
    <m/>
  </r>
  <r>
    <x v="5"/>
    <x v="0"/>
    <x v="0"/>
    <d v="2026-02-27T13:25:28"/>
    <n v="64.8"/>
    <n v="1140"/>
    <n v="0"/>
    <m/>
    <s v="mail - tena.medical.cs.nl@essity.com — 3505026639 ESSITY Orderbevestiging"/>
    <s v="Dutch"/>
    <x v="51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64"/>
    <n v="50"/>
    <s v="4547000"/>
    <n v="50"/>
    <s v="Elastomull haft 4m x 4cm"/>
    <n v="50"/>
    <n v="160"/>
    <n v="50"/>
    <s v="PC"/>
    <n v="50"/>
    <s v="0,54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52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65"/>
    <n v="50"/>
    <s v="4547300"/>
    <n v="50"/>
    <s v="Elastomull haft 4m x 10cm"/>
    <n v="50"/>
    <n v="30"/>
    <n v="50"/>
    <s v="PC"/>
    <n v="50"/>
    <s v="0,74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53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66"/>
    <n v="50"/>
    <s v="7151501"/>
    <n v="50"/>
    <s v="Tensogrip beige D - 10m x 7,5cm"/>
    <n v="50"/>
    <n v="5"/>
    <n v="50"/>
    <s v="PC"/>
    <n v="50"/>
    <s v="13,72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54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67"/>
    <n v="50"/>
    <s v="7199358"/>
    <n v="50"/>
    <s v="Gypsona S 3m x 15cm - P40"/>
    <n v="50"/>
    <n v="1"/>
    <n v="50"/>
    <s v="PC"/>
    <n v="50"/>
    <s v="51,45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55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68"/>
    <n v="50"/>
    <s v="7221302"/>
    <n v="50"/>
    <s v="Leukoplast pro LF 9,2m x 5,00cm"/>
    <n v="50"/>
    <n v="6"/>
    <n v="50"/>
    <s v="PC"/>
    <n v="50"/>
    <s v="2,52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56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69"/>
    <n v="50"/>
    <s v="7221600"/>
    <n v="50"/>
    <s v="Fixomull transparent 10m x 5cm"/>
    <n v="50"/>
    <n v="12"/>
    <n v="50"/>
    <s v="PC"/>
    <n v="50"/>
    <s v="8,89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57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70"/>
    <n v="50"/>
    <s v="7508000"/>
    <n v="50"/>
    <s v="Comprilan S 5m x 10cm"/>
    <n v="50"/>
    <n v="160"/>
    <n v="50"/>
    <s v="PC"/>
    <n v="50"/>
    <s v="2,41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58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71"/>
    <n v="50"/>
    <s v="7508800"/>
    <n v="50"/>
    <s v="Comprinet forte 23 dij middel wit 1pr"/>
    <n v="50"/>
    <n v="40"/>
    <n v="50"/>
    <s v="PC"/>
    <n v="50"/>
    <s v="11,04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59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72"/>
    <n v="50"/>
    <s v="7128400"/>
    <n v="50"/>
    <s v="LP comp absorbent protect 100x300mm - P20"/>
    <n v="50"/>
    <n v="72"/>
    <n v="50"/>
    <s v="PC"/>
    <n v="50"/>
    <s v="3,21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60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73"/>
    <n v="50"/>
    <s v="0209900"/>
    <n v="50"/>
    <s v="Elastomull 4m x 4cm"/>
    <n v="50"/>
    <n v="80"/>
    <n v="50"/>
    <s v="PC"/>
    <n v="50"/>
    <s v="0,08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61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74"/>
    <n v="50"/>
    <s v="7129100"/>
    <n v="50"/>
    <s v="Leukoplast wet wipe - P100"/>
    <n v="50"/>
    <n v="8"/>
    <n v="50"/>
    <s v="PC"/>
    <n v="50"/>
    <s v="1,37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62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75"/>
    <n v="50"/>
    <s v="4547700"/>
    <n v="50"/>
    <s v="Elastomull haft 20m x 8cm"/>
    <n v="50"/>
    <n v="144"/>
    <n v="50"/>
    <s v="PC"/>
    <n v="50"/>
    <s v="3,34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63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76"/>
    <n v="50"/>
    <s v="728534"/>
    <n v="50"/>
    <s v="TENA ProSkin Flex Ultima Extra Large"/>
    <n v="50"/>
    <n v="9"/>
    <n v="50"/>
    <s v="TRP"/>
    <n v="50"/>
    <s v="88,98 / 100 PCS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64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77"/>
    <n v="50"/>
    <s v="7285918"/>
    <n v="50"/>
    <s v="Activmove Sling 12m x 5,5cm - 2 rol"/>
    <n v="50"/>
    <n v="30"/>
    <n v="50"/>
    <s v="PC"/>
    <n v="50"/>
    <s v="27,36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65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13"/>
    <n v="50"/>
    <s v="793665"/>
    <n v="50"/>
    <s v="TENA Pants Super L 4x12p, NEU, NSW, Ps"/>
    <n v="50"/>
    <n v="2"/>
    <n v="50"/>
    <s v="TRP"/>
    <n v="50"/>
    <s v="66,31 / 100 PCS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66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78"/>
    <n v="50"/>
    <s v="7231502"/>
    <n v="50"/>
    <s v="Velband 2,75m x 10cm - P12"/>
    <n v="50"/>
    <n v="16"/>
    <n v="50"/>
    <s v="PC"/>
    <n v="50"/>
    <s v="10,81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67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79"/>
    <n v="50"/>
    <s v="758008"/>
    <n v="50"/>
    <s v="TENA Comfort Maxi"/>
    <n v="50"/>
    <n v="3"/>
    <n v="50"/>
    <s v="TRP"/>
    <n v="50"/>
    <s v="41,47 / 100 PCS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68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80"/>
    <n v="50"/>
    <s v="740701"/>
    <n v="50"/>
    <s v="TENA Wash Glove 12x50pcs"/>
    <n v="50"/>
    <n v="2"/>
    <n v="50"/>
    <s v="TRP"/>
    <n v="50"/>
    <s v="3,14 / 1 CON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69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81"/>
    <n v="50"/>
    <s v="9314"/>
    <n v="50"/>
    <s v="Libresse maxi normal wing 10x14"/>
    <n v="50"/>
    <n v="5"/>
    <n v="50"/>
    <s v="TRP"/>
    <n v="50"/>
    <s v="1,71 / 1 CON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70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82"/>
    <n v="50"/>
    <s v="759010"/>
    <n v="50"/>
    <s v="TENA ProSkin Comfort Super"/>
    <n v="50"/>
    <n v="10"/>
    <n v="50"/>
    <s v="TRP"/>
    <n v="50"/>
    <s v="33,12 / 100 PCS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71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83"/>
    <n v="50"/>
    <s v="759008"/>
    <n v="50"/>
    <s v="TENA ProSkin Comfort Plus"/>
    <n v="50"/>
    <n v="4"/>
    <n v="50"/>
    <s v="TRP"/>
    <n v="50"/>
    <s v="22,71 / 100 PCS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72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14"/>
    <n v="50"/>
    <s v="7276101"/>
    <n v="50"/>
    <s v="Leukoplast Engels Pluksel 1m x 45cm"/>
    <n v="50"/>
    <n v="60"/>
    <n v="50"/>
    <s v="PC"/>
    <n v="50"/>
    <s v="3,64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73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84"/>
    <n v="50"/>
    <s v="7228501"/>
    <n v="50"/>
    <s v="DC Conformable rood 3,6m x 7,5cm - P10"/>
    <n v="50"/>
    <n v="2"/>
    <n v="50"/>
    <s v="PC"/>
    <n v="50"/>
    <s v="64,28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74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85"/>
    <n v="50"/>
    <s v="7228801"/>
    <n v="50"/>
    <s v="DCC zwart 3,6m x 7,5cm - P10"/>
    <n v="50"/>
    <n v="2"/>
    <n v="50"/>
    <s v="PC"/>
    <n v="50"/>
    <s v="62,74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75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86"/>
    <n v="50"/>
    <s v="724970"/>
    <n v="50"/>
    <s v="TENA Flex Super Proskin XL"/>
    <n v="50"/>
    <n v="3"/>
    <n v="50"/>
    <s v="TRP"/>
    <n v="50"/>
    <s v="64,60 / 100 PCS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76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87"/>
    <n v="50"/>
    <s v="729620"/>
    <n v="50"/>
    <s v="TENA Flex Maxi L 3x22p, INT/NEU, NSW"/>
    <n v="50"/>
    <n v="5"/>
    <n v="50"/>
    <s v="TRP"/>
    <n v="50"/>
    <s v="58,92 / 100 PCS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77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88"/>
    <n v="50"/>
    <s v="761531"/>
    <n v="50"/>
    <s v="TENA Comfort Mini Extra"/>
    <n v="50"/>
    <n v="1"/>
    <n v="50"/>
    <s v="TRP"/>
    <n v="50"/>
    <s v="13,69 / 100 PCS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78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89"/>
    <n v="50"/>
    <s v="770119"/>
    <n v="50"/>
    <s v="TENA Bed Plus 60 x 60 cm"/>
    <n v="50"/>
    <n v="15"/>
    <n v="50"/>
    <s v="TRP"/>
    <n v="50"/>
    <s v="11,52 / 100 PCS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79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90"/>
    <n v="50"/>
    <s v="792591"/>
    <n v="50"/>
    <s v="TENA Pants Plus M, 4x14 pcs, Centr. Ps"/>
    <n v="50"/>
    <n v="4"/>
    <n v="50"/>
    <s v="TRP"/>
    <n v="50"/>
    <s v="49,63 / 100 PCS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80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15"/>
    <n v="50"/>
    <s v="1042"/>
    <n v="50"/>
    <s v="TENA ProSkin Shampoo Cap"/>
    <n v="50"/>
    <n v="1"/>
    <n v="50"/>
    <s v="TRP"/>
    <n v="50"/>
    <s v="2,38 / 1 CON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81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91"/>
    <n v="50"/>
    <s v="7270815"/>
    <n v="50"/>
    <s v="DC Soft blauw 3,6m x 7,5cm - P10"/>
    <n v="50"/>
    <n v="2"/>
    <n v="50"/>
    <s v="PC"/>
    <n v="50"/>
    <s v="66,47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82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92"/>
    <n v="50"/>
    <s v="7129100"/>
    <n v="50"/>
    <s v="Leukoplast wet wipe - P100"/>
    <n v="50"/>
    <n v="31"/>
    <n v="50"/>
    <s v="PC"/>
    <n v="50"/>
    <s v="1,37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83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93"/>
    <n v="50"/>
    <s v="7163311"/>
    <n v="50"/>
    <s v="BSN Crêpe 4m x 8cm - P10"/>
    <n v="50"/>
    <n v="4"/>
    <n v="50"/>
    <s v="PC"/>
    <n v="50"/>
    <s v="9,42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84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94"/>
    <n v="50"/>
    <s v="6500442"/>
    <n v="50"/>
    <s v="Activmove Post-OP Shoe One Toe WMM N"/>
    <n v="50"/>
    <n v="6"/>
    <n v="50"/>
    <s v="PC"/>
    <n v="50"/>
    <s v="8,21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85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95"/>
    <n v="50"/>
    <s v="711404"/>
    <n v="50"/>
    <s v="TENA Slip Super L 3x30p ELA, INT/NEU, PS"/>
    <n v="50"/>
    <n v="1"/>
    <n v="50"/>
    <s v="TRP"/>
    <n v="50"/>
    <s v="50,38 / 100 PCS"/>
    <n v="50"/>
    <s v="02/03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86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96"/>
    <n v="50"/>
    <s v="7627637"/>
    <n v="50"/>
    <s v="Activmove Closed Shell Air Walker Hoog M"/>
    <n v="50"/>
    <n v="8"/>
    <n v="50"/>
    <s v="PC"/>
    <n v="50"/>
    <s v="46,29 / 1 PC"/>
    <n v="50"/>
    <s v="18/02/2026"/>
    <n v="50"/>
  </r>
  <r>
    <x v="5"/>
    <x v="0"/>
    <x v="0"/>
    <d v="2026-02-27T13:25:28"/>
    <n v="64.8"/>
    <n v="1140"/>
    <n v="0"/>
    <m/>
    <s v="mail - tena.medical.cs.nl@essity.com — 3505026639 ESSITY Orderbevestiging"/>
    <s v="Dutch"/>
    <x v="87"/>
    <x v="4"/>
    <n v="50"/>
    <s v="3004524437"/>
    <n v="50"/>
    <s v="11/02/2026"/>
    <n v="50"/>
    <s v="Essity Netherlands B.V. Health &amp; Medical"/>
    <n v="50"/>
    <s v="Hospital Logistics Nederland B.V."/>
    <n v="50"/>
    <x v="0"/>
    <n v="50"/>
    <x v="97"/>
    <n v="50"/>
    <s v="7627638"/>
    <n v="50"/>
    <s v="Activmove Closed Shell Air Walker Hoog L"/>
    <n v="50"/>
    <n v="2"/>
    <n v="50"/>
    <s v="PC"/>
    <n v="50"/>
    <s v="46,29 / 1 PC"/>
    <n v="50"/>
    <m/>
    <m/>
  </r>
  <r>
    <x v="6"/>
    <x v="0"/>
    <x v="0"/>
    <d v="2026-02-27T13:25:28"/>
    <n v="88.03"/>
    <n v="26"/>
    <n v="2"/>
    <m/>
    <s v="mail - no.reply.customer.service@medtronic.com — Order bevestiging 26-02818"/>
    <s v="Dutch"/>
    <x v="0"/>
    <x v="5"/>
    <n v="10"/>
    <s v="26-02818"/>
    <n v="75"/>
    <s v="16/02/2026"/>
    <n v="90"/>
    <s v="Medtronic Trading NL BV"/>
    <n v="95"/>
    <s v="Canisius Wilhelmina Ziekenhuis"/>
    <n v="95"/>
    <x v="0"/>
    <n v="90"/>
    <x v="0"/>
    <n v="95"/>
    <s v="00643169021563"/>
    <n v="80"/>
    <s v="CAGE 6211604 PEEK ANATOMIC 16X14X4"/>
    <n v="90"/>
    <n v="3"/>
    <n v="95"/>
    <s v="EA"/>
    <n v="90"/>
    <s v="468,51 EUR"/>
    <n v="90"/>
    <s v="19/02/2026"/>
    <n v="95"/>
  </r>
  <r>
    <x v="6"/>
    <x v="0"/>
    <x v="0"/>
    <d v="2026-02-27T13:25:28"/>
    <n v="88.03"/>
    <n v="26"/>
    <n v="2"/>
    <m/>
    <s v="mail - no.reply.customer.service@medtronic.com — Order bevestiging 26-02818"/>
    <s v="Dutch"/>
    <x v="1"/>
    <x v="5"/>
    <n v="10"/>
    <s v="26-02818"/>
    <n v="75"/>
    <s v="16/02/2026"/>
    <n v="90"/>
    <s v="Medtronic Trading NL BV"/>
    <n v="95"/>
    <s v="Canisius Wilhelmina Ziekenhuis"/>
    <n v="95"/>
    <x v="0"/>
    <n v="90"/>
    <x v="1"/>
    <n v="95"/>
    <s v="00643169021556"/>
    <n v="80"/>
    <s v="CAGE 6211605 PEEK ANATOMIC 16X14X5"/>
    <n v="90"/>
    <n v="1"/>
    <n v="95"/>
    <s v="EA"/>
    <n v="90"/>
    <s v="468,51 EUR"/>
    <n v="90"/>
    <s v="19/02/2026"/>
    <n v="95"/>
  </r>
  <r>
    <x v="7"/>
    <x v="0"/>
    <x v="0"/>
    <d v="2026-02-27T13:25:28"/>
    <n v="93.11"/>
    <n v="13"/>
    <n v="0"/>
    <m/>
    <s v="mail - tena.medical.cs.nl@essity.com — 3505026670 ESSITY Orderbevestiging"/>
    <s v="Dutch"/>
    <x v="0"/>
    <x v="6"/>
    <n v="96"/>
    <s v="3004528520"/>
    <n v="98"/>
    <s v="12/02/2026"/>
    <n v="98"/>
    <s v="Essity Netherlands B.V."/>
    <n v="95"/>
    <s v="Hospital Logistics Nederland B.V."/>
    <n v="95"/>
    <x v="0"/>
    <n v="98"/>
    <x v="16"/>
    <n v="98"/>
    <s v="729620"/>
    <n v="98"/>
    <s v="TENA Flex Maxi L 3x22p. INT/NEU, NSW"/>
    <n v="90"/>
    <n v="56"/>
    <n v="95"/>
    <s v="TRP"/>
    <n v="85"/>
    <s v="58,92 EUR / 100 PCS"/>
    <n v="90"/>
    <s v="18/02/2026"/>
    <n v="98"/>
  </r>
  <r>
    <x v="8"/>
    <x v="0"/>
    <x v="0"/>
    <d v="2026-02-27T13:25:28"/>
    <n v="72.97"/>
    <n v="13"/>
    <n v="3"/>
    <m/>
    <s v="mail - infonl@vygon.com — Betreft: Overzicht van nog te leveren Vygon producten"/>
    <s v="Dutch"/>
    <x v="0"/>
    <x v="7"/>
    <n v="90"/>
    <s v="0004965576"/>
    <n v="80"/>
    <s v="16/02/2026"/>
    <n v="95"/>
    <s v="VYGON NEDERLAND B.V."/>
    <n v="95"/>
    <s v="Hospital Logistics Frisius MC Heeren"/>
    <n v="90"/>
    <x v="1"/>
    <n v="10"/>
    <x v="0"/>
    <n v="80"/>
    <s v="001361067"/>
    <n v="95"/>
    <s v="NutriFit voedingssde 6Fr 50cm"/>
    <n v="75"/>
    <n v="50"/>
    <n v="95"/>
    <m/>
    <n v="10"/>
    <m/>
    <n v="5"/>
    <s v="27/02/2026"/>
    <n v="95"/>
  </r>
  <r>
    <x v="9"/>
    <x v="0"/>
    <x v="0"/>
    <d v="2026-02-27T13:25:28"/>
    <n v="85.74"/>
    <n v="13"/>
    <n v="1"/>
    <m/>
    <s v="mail - tena.medical.cs.nl@essity.com — 6507004827 ESSITY Order Ontvangstbevestiging"/>
    <s v="Dutch"/>
    <x v="0"/>
    <x v="8"/>
    <n v="98"/>
    <s v="3004542917"/>
    <n v="98"/>
    <s v="16/02/2026"/>
    <n v="98"/>
    <s v="Essity Netherlands B.V."/>
    <n v="95"/>
    <s v="Hospital Logistics Nederland B.V."/>
    <n v="95"/>
    <x v="0"/>
    <n v="95"/>
    <x v="9"/>
    <n v="98"/>
    <s v="791467"/>
    <n v="98"/>
    <s v="TENA Pants Normal S 4x15p, NEU, NSW, Ps"/>
    <n v="90"/>
    <n v="2"/>
    <n v="85"/>
    <s v="TRP"/>
    <n v="70"/>
    <s v="35,46 EUR / 100 PCS"/>
    <n v="85"/>
    <m/>
    <n v="60"/>
  </r>
  <r>
    <x v="6"/>
    <x v="0"/>
    <x v="0"/>
    <d v="2026-02-27T13:25:16"/>
    <n v="83.34"/>
    <n v="26"/>
    <n v="2"/>
    <m/>
    <s v="mail - no.reply.customer.service@medtronic.com — Order bevestiging 26-02818"/>
    <s v="Dutch"/>
    <x v="0"/>
    <x v="5"/>
    <n v="20"/>
    <s v="6251707458 ZOR"/>
    <n v="95"/>
    <s v="16/02/2026"/>
    <n v="92"/>
    <s v="Medtronic Trading NL BV"/>
    <n v="94"/>
    <s v="Canisius Wilhelmina Ziekenhuis"/>
    <n v="93"/>
    <x v="0"/>
    <n v="90"/>
    <x v="0"/>
    <n v="80"/>
    <s v="10884521190665 / SYM2015F"/>
    <n v="88"/>
    <s v="SYM2015F ST EX THR 20X15CM X1"/>
    <n v="80"/>
    <n v="1"/>
    <n v="95"/>
    <s v="EA"/>
    <n v="92"/>
    <s v="527,77"/>
    <n v="92"/>
    <s v="19/02/2026"/>
    <n v="93"/>
  </r>
  <r>
    <x v="6"/>
    <x v="0"/>
    <x v="0"/>
    <d v="2026-02-27T13:25:16"/>
    <n v="83.34"/>
    <n v="26"/>
    <n v="2"/>
    <m/>
    <s v="mail - no.reply.customer.service@medtronic.com — Order bevestiging 26-02818"/>
    <s v="Dutch"/>
    <x v="1"/>
    <x v="5"/>
    <n v="20"/>
    <s v="6251707458 ZOR"/>
    <n v="95"/>
    <s v="16/02/2026"/>
    <n v="92"/>
    <s v="Medtronic Trading NL BV"/>
    <n v="94"/>
    <s v="Canisius Wilhelmina Ziekenhuis"/>
    <n v="93"/>
    <x v="0"/>
    <n v="90"/>
    <x v="1"/>
    <n v="80"/>
    <s v="00763000579234 / 1884012EM"/>
    <n v="88"/>
    <s v="BLADE 1884012EM RAD12 4MM M4 ROTATE ROHS"/>
    <n v="85"/>
    <n v="1"/>
    <n v="95"/>
    <s v="EA"/>
    <n v="92"/>
    <s v="220,32"/>
    <n v="90"/>
    <s v="19/02/2026"/>
    <n v="93"/>
  </r>
  <r>
    <x v="10"/>
    <x v="0"/>
    <x v="0"/>
    <d v="2026-02-27T13:25:16"/>
    <n v="75"/>
    <n v="0"/>
    <n v="0"/>
    <m/>
    <s v="mail - customer.nl@lyreco.com — Jouw Lyreco bestelling 1178683275 - 2505040761 is onderweg!"/>
    <s v="Dutch"/>
    <x v="88"/>
    <x v="5"/>
    <m/>
    <m/>
    <m/>
    <m/>
    <m/>
    <m/>
    <m/>
    <m/>
    <m/>
    <x v="1"/>
    <m/>
    <x v="98"/>
    <m/>
    <m/>
    <m/>
    <m/>
    <m/>
    <m/>
    <m/>
    <m/>
    <m/>
    <m/>
    <m/>
    <m/>
    <m/>
  </r>
  <r>
    <x v="11"/>
    <x v="0"/>
    <x v="0"/>
    <d v="2026-02-27T13:24:44"/>
    <n v="89.62"/>
    <n v="13"/>
    <n v="0"/>
    <m/>
    <s v="mail - mail@kingbelgium.be — Bevestiging bestelling  S09313444-1"/>
    <s v="Dutch"/>
    <x v="0"/>
    <x v="9"/>
    <n v="98"/>
    <s v="S09313444-IRIS"/>
    <n v="95"/>
    <s v="13/02/2026"/>
    <n v="95"/>
    <s v="King Belgium SA/NV"/>
    <n v="90"/>
    <s v="HOSPITAL LOGISTICS MAGAZIJN"/>
    <n v="92"/>
    <x v="0"/>
    <n v="95"/>
    <x v="0"/>
    <n v="80"/>
    <s v="7567515450"/>
    <n v="92"/>
    <s v="REFILL WRAPMASTER TOPPITS VERSHOUDOLFOLIE 45CMX300M - 6.5mu (3X1)"/>
    <n v="90"/>
    <n v="1"/>
    <n v="95"/>
    <s v="CS"/>
    <n v="85"/>
    <s v="40,17 / CS"/>
    <n v="90"/>
    <s v="17/02/2026"/>
    <n v="95"/>
  </r>
  <r>
    <x v="12"/>
    <x v="0"/>
    <x v="0"/>
    <d v="2026-02-27T13:24:44"/>
    <n v="78"/>
    <n v="0"/>
    <n v="0"/>
    <m/>
    <s v="mail - sligroout_noreply@sligro.nl — JAVA leveringsinformatie"/>
    <s v="Dutch"/>
    <x v="88"/>
    <x v="5"/>
    <m/>
    <m/>
    <m/>
    <m/>
    <m/>
    <m/>
    <m/>
    <m/>
    <m/>
    <x v="1"/>
    <m/>
    <x v="98"/>
    <m/>
    <m/>
    <m/>
    <m/>
    <m/>
    <m/>
    <m/>
    <m/>
    <m/>
    <m/>
    <m/>
    <m/>
    <m/>
  </r>
  <r>
    <x v="13"/>
    <x v="0"/>
    <x v="1"/>
    <d v="2026-02-27T13:20:46"/>
    <n v="65"/>
    <n v="0"/>
    <n v="0"/>
    <m/>
    <s v="mail - info@g3-medical.nl — Verkooporder SO00454642 / 3505026682"/>
    <m/>
    <x v="88"/>
    <x v="5"/>
    <m/>
    <m/>
    <m/>
    <m/>
    <m/>
    <m/>
    <m/>
    <m/>
    <m/>
    <x v="1"/>
    <m/>
    <x v="98"/>
    <m/>
    <m/>
    <m/>
    <m/>
    <m/>
    <m/>
    <m/>
    <m/>
    <m/>
    <m/>
    <m/>
    <m/>
    <m/>
  </r>
  <r>
    <x v="14"/>
    <x v="0"/>
    <x v="0"/>
    <d v="2026-02-27T13:20:46"/>
    <n v="81.400000000000006"/>
    <n v="65"/>
    <n v="0"/>
    <m/>
    <s v="mail - info@g3-medical.nl — Verkooporder SO00454641 / 3505026682"/>
    <s v="Dutch"/>
    <x v="0"/>
    <x v="1"/>
    <n v="98"/>
    <s v="SO00454641"/>
    <n v="95"/>
    <s v="16/02/2026"/>
    <n v="95"/>
    <s v="G3 Medical B.V."/>
    <n v="95"/>
    <s v="Hospital Logistics Nederland B.V./Maastricht UMC"/>
    <n v="88"/>
    <x v="0"/>
    <n v="95"/>
    <x v="0"/>
    <n v="90"/>
    <s v="210057"/>
    <n v="96"/>
    <s v="Grip Lok 3400L fixatiepleister, 60-13,0mm, large, steriel, 100x1st/ds"/>
    <n v="88"/>
    <n v="3"/>
    <n v="96"/>
    <s v="Dozen"/>
    <n v="90"/>
    <s v="499,40"/>
    <n v="96"/>
    <s v="19/02/2026"/>
    <n v="92"/>
  </r>
  <r>
    <x v="14"/>
    <x v="0"/>
    <x v="0"/>
    <d v="2026-02-27T13:20:46"/>
    <n v="81.400000000000006"/>
    <n v="65"/>
    <n v="0"/>
    <m/>
    <s v="mail - info@g3-medical.nl — Verkooporder SO00454641 / 3505026682"/>
    <s v="Dutch"/>
    <x v="1"/>
    <x v="1"/>
    <n v="98"/>
    <s v="SO00454641"/>
    <n v="50"/>
    <s v="16/02/2026"/>
    <n v="50"/>
    <s v="G3 Medical B.V."/>
    <n v="50"/>
    <s v="Hospital Logistics Nederland B.V./Maastricht UMC"/>
    <n v="50"/>
    <x v="0"/>
    <n v="50"/>
    <x v="1"/>
    <n v="50"/>
    <s v="512028"/>
    <n v="96"/>
    <s v="CuraSpon standaard, gelatine sponges, 80x50x10mm, steriel, 20x1st/ds"/>
    <n v="87"/>
    <n v="2"/>
    <n v="95"/>
    <s v="Dozen"/>
    <n v="90"/>
    <s v="33,75"/>
    <n v="95"/>
    <s v="19/02/2026"/>
    <n v="92"/>
  </r>
  <r>
    <x v="14"/>
    <x v="0"/>
    <x v="0"/>
    <d v="2026-02-27T13:20:46"/>
    <n v="81.400000000000006"/>
    <n v="65"/>
    <n v="0"/>
    <m/>
    <s v="mail - info@g3-medical.nl — Verkooporder SO00454641 / 3505026682"/>
    <s v="Dutch"/>
    <x v="2"/>
    <x v="1"/>
    <n v="98"/>
    <s v="SO00454641"/>
    <n v="50"/>
    <s v="16/02/2026"/>
    <n v="50"/>
    <s v="G3 Medical B.V."/>
    <n v="50"/>
    <s v="Hospital Logistics Nederland B.V./Maastricht UMC"/>
    <n v="50"/>
    <x v="0"/>
    <n v="50"/>
    <x v="2"/>
    <n v="50"/>
    <s v="512025"/>
    <n v="96"/>
    <s v="CuraSpon Cube, gelatine sponges, 10x10x10mm, steriel, 50x1st/ds"/>
    <n v="87"/>
    <n v="11"/>
    <n v="95"/>
    <s v="Dozen"/>
    <n v="90"/>
    <s v="14,57"/>
    <n v="95"/>
    <s v="19/02/2026"/>
    <n v="92"/>
  </r>
  <r>
    <x v="14"/>
    <x v="0"/>
    <x v="0"/>
    <d v="2026-02-27T13:20:46"/>
    <n v="81.400000000000006"/>
    <n v="65"/>
    <n v="0"/>
    <m/>
    <s v="mail - info@g3-medical.nl — Verkooporder SO00454641 / 3505026682"/>
    <s v="Dutch"/>
    <x v="3"/>
    <x v="1"/>
    <n v="98"/>
    <s v="SO00454641"/>
    <n v="50"/>
    <s v="16/02/2026"/>
    <n v="50"/>
    <s v="G3 Medical B.V."/>
    <n v="50"/>
    <s v="Hospital Logistics Nederland B.V./Maastricht UMC"/>
    <n v="50"/>
    <x v="0"/>
    <n v="50"/>
    <x v="3"/>
    <n v="50"/>
    <s v="700167"/>
    <n v="96"/>
    <s v="Ultrastop pro-med, 5ml, monodoses clinic, 30x5ml/ds"/>
    <n v="88"/>
    <n v="5"/>
    <n v="95"/>
    <s v="Dozen"/>
    <n v="90"/>
    <s v="131,31"/>
    <n v="95"/>
    <s v="19/02/2026"/>
    <n v="92"/>
  </r>
  <r>
    <x v="14"/>
    <x v="0"/>
    <x v="0"/>
    <d v="2026-02-27T13:20:46"/>
    <n v="81.400000000000006"/>
    <n v="65"/>
    <n v="0"/>
    <m/>
    <s v="mail - info@g3-medical.nl — Verkooporder SO00454641 / 3505026682"/>
    <s v="Dutch"/>
    <x v="4"/>
    <x v="1"/>
    <n v="98"/>
    <s v="SO00454641"/>
    <n v="50"/>
    <s v="16/02/2026"/>
    <n v="50"/>
    <s v="G3 Medical B.V."/>
    <n v="50"/>
    <s v="Hospital Logistics Nederland B.V./Maastricht UMC"/>
    <n v="50"/>
    <x v="0"/>
    <n v="50"/>
    <x v="4"/>
    <n v="50"/>
    <s v="711038"/>
    <n v="96"/>
    <s v="CMT drinkrietjes, flexibel plastic, wit, 21x0,6cm, 100x50st/zak, 5.000st/doos"/>
    <n v="86"/>
    <n v="2"/>
    <n v="95"/>
    <s v="Dozen"/>
    <n v="90"/>
    <s v="45,74"/>
    <n v="95"/>
    <s v="19/02/2026"/>
    <n v="92"/>
  </r>
  <r>
    <x v="15"/>
    <x v="0"/>
    <x v="0"/>
    <d v="2026-02-27T13:20:46"/>
    <n v="75.260000000000005"/>
    <n v="65"/>
    <n v="0"/>
    <m/>
    <s v="mail - info@g3-medical.nl — Verkooporder SO00454639 / 3505026682"/>
    <s v="Dutch"/>
    <x v="0"/>
    <x v="1"/>
    <n v="50"/>
    <s v="SO00454639"/>
    <n v="50"/>
    <s v="16/02/2026"/>
    <n v="50"/>
    <s v="G3 Medical B.V."/>
    <n v="50"/>
    <s v="Hospital Logistics Nederland B.V./Stichting"/>
    <n v="50"/>
    <x v="0"/>
    <n v="50"/>
    <x v="0"/>
    <n v="50"/>
    <s v="700681"/>
    <n v="95"/>
    <s v="Ultrastop flacon, 30ml, steriel, p/st"/>
    <n v="90"/>
    <n v="10"/>
    <n v="95"/>
    <s v="Stuks"/>
    <n v="90"/>
    <s v="11,31"/>
    <n v="90"/>
    <s v="19/02/2026"/>
    <n v="90"/>
  </r>
  <r>
    <x v="15"/>
    <x v="0"/>
    <x v="0"/>
    <d v="2026-02-27T13:20:46"/>
    <n v="75.260000000000005"/>
    <n v="65"/>
    <n v="0"/>
    <m/>
    <s v="mail - info@g3-medical.nl — Verkooporder SO00454639 / 3505026682"/>
    <s v="Dutch"/>
    <x v="1"/>
    <x v="1"/>
    <n v="50"/>
    <s v="SO00454639"/>
    <n v="50"/>
    <s v="16/02/2026"/>
    <n v="50"/>
    <s v="G3 Medical B.V."/>
    <n v="50"/>
    <s v="Hospital Logistics Nederland B.V./Stichting"/>
    <n v="50"/>
    <x v="0"/>
    <n v="50"/>
    <x v="1"/>
    <n v="50"/>
    <s v="700658"/>
    <n v="95"/>
    <s v="Wattenstok, disposable, pp, 15cm, 4mm tip, per 2 stuks, steriel, 250x2st/doos"/>
    <n v="90"/>
    <n v="2"/>
    <n v="95"/>
    <s v="Dozen"/>
    <n v="90"/>
    <s v="69,83"/>
    <n v="90"/>
    <s v="19/02/2026"/>
    <n v="90"/>
  </r>
  <r>
    <x v="15"/>
    <x v="0"/>
    <x v="0"/>
    <d v="2026-02-27T13:20:46"/>
    <n v="75.260000000000005"/>
    <n v="65"/>
    <n v="0"/>
    <m/>
    <s v="mail - info@g3-medical.nl — Verkooporder SO00454639 / 3505026682"/>
    <s v="Dutch"/>
    <x v="2"/>
    <x v="1"/>
    <n v="50"/>
    <s v="SO00454639"/>
    <n v="50"/>
    <s v="16/02/2026"/>
    <n v="50"/>
    <s v="G3 Medical B.V."/>
    <n v="50"/>
    <s v="Hospital Logistics Nederland B.V./Stichting"/>
    <n v="50"/>
    <x v="0"/>
    <n v="50"/>
    <x v="2"/>
    <n v="50"/>
    <s v="410021"/>
    <n v="95"/>
    <s v="Parker Signaspray 18-25 electrode solution &amp; skin prep, 250ml, 12st/ds"/>
    <n v="90"/>
    <n v="1"/>
    <n v="95"/>
    <s v="Dozen"/>
    <n v="90"/>
    <s v="62,49"/>
    <n v="90"/>
    <s v="19/02/2026"/>
    <n v="90"/>
  </r>
  <r>
    <x v="15"/>
    <x v="0"/>
    <x v="0"/>
    <d v="2026-02-27T13:20:46"/>
    <n v="75.260000000000005"/>
    <n v="65"/>
    <n v="0"/>
    <m/>
    <s v="mail - info@g3-medical.nl — Verkooporder SO00454639 / 3505026682"/>
    <s v="Dutch"/>
    <x v="3"/>
    <x v="1"/>
    <n v="50"/>
    <s v="SO00454639"/>
    <n v="50"/>
    <s v="16/02/2026"/>
    <n v="50"/>
    <s v="G3 Medical B.V."/>
    <n v="50"/>
    <s v="Hospital Logistics Nederland B.V./Stichting"/>
    <n v="50"/>
    <x v="0"/>
    <n v="50"/>
    <x v="3"/>
    <n v="50"/>
    <s v="700179"/>
    <n v="95"/>
    <s v="Rolcentimeter, 150cm, p/st"/>
    <n v="90"/>
    <n v="10"/>
    <n v="95"/>
    <s v="Stuks"/>
    <n v="90"/>
    <s v="2,74"/>
    <n v="90"/>
    <s v="19/02/2026"/>
    <n v="90"/>
  </r>
  <r>
    <x v="15"/>
    <x v="0"/>
    <x v="0"/>
    <d v="2026-02-27T13:20:46"/>
    <n v="75.260000000000005"/>
    <n v="65"/>
    <n v="0"/>
    <m/>
    <s v="mail - info@g3-medical.nl — Verkooporder SO00454639 / 3505026682"/>
    <s v="Dutch"/>
    <x v="4"/>
    <x v="1"/>
    <n v="50"/>
    <s v="SO00454639"/>
    <n v="50"/>
    <s v="16/02/2026"/>
    <n v="50"/>
    <s v="G3 Medical B.V."/>
    <n v="50"/>
    <s v="Hospital Logistics Nederland B.V./Stichting"/>
    <n v="50"/>
    <x v="0"/>
    <n v="50"/>
    <x v="4"/>
    <n v="50"/>
    <s v="700005"/>
    <n v="95"/>
    <s v="CMT stuwband, disposable, blauw, p/st"/>
    <n v="90"/>
    <n v="1"/>
    <n v="95"/>
    <s v="Stuks"/>
    <n v="90"/>
    <s v="3,06"/>
    <n v="90"/>
    <s v="19/02/2026"/>
    <n v="90"/>
  </r>
  <r>
    <x v="16"/>
    <x v="0"/>
    <x v="1"/>
    <d v="2026-02-27T13:20:46"/>
    <n v="62"/>
    <n v="0"/>
    <n v="0"/>
    <m/>
    <s v="mail - info@g3-medical.nl — Verkooporder SO00454644 / 3507009728"/>
    <m/>
    <x v="88"/>
    <x v="5"/>
    <m/>
    <m/>
    <m/>
    <m/>
    <m/>
    <m/>
    <m/>
    <m/>
    <m/>
    <x v="1"/>
    <m/>
    <x v="98"/>
    <m/>
    <m/>
    <m/>
    <m/>
    <m/>
    <m/>
    <m/>
    <m/>
    <m/>
    <m/>
    <m/>
    <m/>
    <m/>
  </r>
  <r>
    <x v="17"/>
    <x v="0"/>
    <x v="1"/>
    <d v="2026-02-27T13:20:46"/>
    <n v="68"/>
    <n v="0"/>
    <n v="0"/>
    <m/>
    <s v="mail - order.nl@teleflex.com — RE: RE: Teleflex Orderbevestiging 1504025864 and 13995843"/>
    <m/>
    <x v="88"/>
    <x v="5"/>
    <m/>
    <m/>
    <m/>
    <m/>
    <m/>
    <m/>
    <m/>
    <m/>
    <m/>
    <x v="1"/>
    <m/>
    <x v="98"/>
    <m/>
    <m/>
    <m/>
    <m/>
    <m/>
    <m/>
    <m/>
    <m/>
    <m/>
    <m/>
    <m/>
    <m/>
    <m/>
  </r>
  <r>
    <x v="18"/>
    <x v="0"/>
    <x v="0"/>
    <d v="2026-02-27T13:20:44"/>
    <n v="79.86"/>
    <n v="13"/>
    <n v="2"/>
    <m/>
    <s v="mail - noreply@lyreco.com — Lyreco orderbevestiging 167912161-16022026-0006"/>
    <s v="Dutch"/>
    <x v="0"/>
    <x v="10"/>
    <n v="90"/>
    <s v="167912161"/>
    <n v="85"/>
    <s v="16/02/2026"/>
    <n v="95"/>
    <s v="Lyreco Belgium SA/NV"/>
    <n v="95"/>
    <s v="Hospital Logistics Aarschot"/>
    <n v="90"/>
    <x v="0"/>
    <n v="95"/>
    <x v="0"/>
    <n v="70"/>
    <s v="1.861.945"/>
    <n v="85"/>
    <s v="Besteld door Hospital Logistics DS100 MAIL TUFF ENV 180X260 WIT"/>
    <n v="85"/>
    <n v="3"/>
    <n v="90"/>
    <m/>
    <n v="25"/>
    <s v="16,92"/>
    <n v="90"/>
    <m/>
    <n v="20"/>
  </r>
  <r>
    <x v="19"/>
    <x v="0"/>
    <x v="0"/>
    <d v="2026-02-27T12:54:27"/>
    <n v="79.78"/>
    <n v="156"/>
    <n v="0"/>
    <m/>
    <s v="mail - orders.be@duomed.com — Orderbevestiging C007-S2607585-1"/>
    <s v="Dutch"/>
    <x v="0"/>
    <x v="11"/>
    <n v="98"/>
    <s v="C007-S2607585-1"/>
    <n v="95"/>
    <s v="16/02/2026"/>
    <n v="96"/>
    <s v="Duomed Belgium NV/SA"/>
    <n v="90"/>
    <s v="Hospital Logistics"/>
    <n v="92"/>
    <x v="0"/>
    <n v="95"/>
    <x v="0"/>
    <n v="90"/>
    <s v="DCC8007"/>
    <n v="94"/>
    <s v="Fairmont medical camera cover + adaptor drape"/>
    <n v="92"/>
    <n v="2"/>
    <n v="93"/>
    <s v="B40"/>
    <n v="80"/>
    <s v="418,26"/>
    <n v="94"/>
    <s v="17/02/2026"/>
    <n v="96"/>
  </r>
  <r>
    <x v="19"/>
    <x v="0"/>
    <x v="0"/>
    <d v="2026-02-27T12:54:27"/>
    <n v="79.78"/>
    <n v="156"/>
    <n v="0"/>
    <m/>
    <s v="mail - orders.be@duomed.com — Orderbevestiging C007-S2607585-1"/>
    <s v="Dutch"/>
    <x v="1"/>
    <x v="11"/>
    <n v="50"/>
    <s v="C007-S2607585-1"/>
    <n v="50"/>
    <s v="16/02/2026"/>
    <n v="50"/>
    <s v="Duomed Belgium NV/SA"/>
    <n v="50"/>
    <s v="Hospital Logistics"/>
    <n v="50"/>
    <x v="0"/>
    <n v="50"/>
    <x v="1"/>
    <n v="50"/>
    <s v="01.3300"/>
    <n v="94"/>
    <s v="Securo-Reservoir 150ml, Sterile"/>
    <n v="92"/>
    <n v="4"/>
    <n v="92"/>
    <s v="B5"/>
    <n v="80"/>
    <s v="141,89"/>
    <n v="93"/>
    <s v="19/02/2026"/>
    <n v="95"/>
  </r>
  <r>
    <x v="19"/>
    <x v="0"/>
    <x v="0"/>
    <d v="2026-02-27T12:54:27"/>
    <n v="79.78"/>
    <n v="156"/>
    <n v="0"/>
    <m/>
    <s v="mail - orders.be@duomed.com — Orderbevestiging C007-S2607585-1"/>
    <s v="Dutch"/>
    <x v="2"/>
    <x v="11"/>
    <n v="50"/>
    <s v="C007-S2607585-1"/>
    <n v="50"/>
    <s v="16/02/2026"/>
    <n v="50"/>
    <s v="Duomed Belgium NV/SA"/>
    <n v="50"/>
    <s v="Hospital Logistics"/>
    <n v="50"/>
    <x v="0"/>
    <n v="50"/>
    <x v="2"/>
    <n v="50"/>
    <s v="0185ND"/>
    <n v="94"/>
    <s v="Inflation Device 30Ml/30Bar"/>
    <n v="92"/>
    <n v="6"/>
    <n v="92"/>
    <s v="B6"/>
    <n v="80"/>
    <s v="249,46"/>
    <n v="93"/>
    <s v="19/02/2026"/>
    <n v="95"/>
  </r>
  <r>
    <x v="19"/>
    <x v="0"/>
    <x v="0"/>
    <d v="2026-02-27T12:54:27"/>
    <n v="79.78"/>
    <n v="156"/>
    <n v="0"/>
    <m/>
    <s v="mail - orders.be@duomed.com — Orderbevestiging C007-S2607585-1"/>
    <s v="Dutch"/>
    <x v="3"/>
    <x v="11"/>
    <n v="50"/>
    <s v="C007-S2607585-1"/>
    <n v="50"/>
    <s v="16/02/2026"/>
    <n v="50"/>
    <s v="Duomed Belgium NV/SA"/>
    <n v="50"/>
    <s v="Hospital Logistics"/>
    <n v="50"/>
    <x v="0"/>
    <n v="50"/>
    <x v="3"/>
    <n v="50"/>
    <s v="330048070"/>
    <n v="94"/>
    <s v="Gammex Latex 7"/>
    <n v="92"/>
    <n v="2"/>
    <n v="92"/>
    <s v="B200"/>
    <n v="80"/>
    <s v="148,48"/>
    <n v="93"/>
    <s v="19/02/2026"/>
    <n v="95"/>
  </r>
  <r>
    <x v="19"/>
    <x v="0"/>
    <x v="0"/>
    <d v="2026-02-27T12:54:27"/>
    <n v="79.78"/>
    <n v="156"/>
    <n v="0"/>
    <m/>
    <s v="mail - orders.be@duomed.com — Orderbevestiging C007-S2607585-1"/>
    <s v="Dutch"/>
    <x v="4"/>
    <x v="11"/>
    <n v="50"/>
    <s v="C007-S2607585-1"/>
    <n v="50"/>
    <s v="16/02/2026"/>
    <n v="50"/>
    <s v="Duomed Belgium NV/SA"/>
    <n v="50"/>
    <s v="Hospital Logistics"/>
    <n v="50"/>
    <x v="0"/>
    <n v="50"/>
    <x v="4"/>
    <n v="50"/>
    <s v="330048065"/>
    <n v="94"/>
    <s v="Gammex Latex 6,5"/>
    <n v="92"/>
    <n v="2"/>
    <n v="92"/>
    <s v="B200"/>
    <n v="80"/>
    <s v="148,48"/>
    <n v="93"/>
    <s v="19/02/2026"/>
    <n v="95"/>
  </r>
  <r>
    <x v="19"/>
    <x v="0"/>
    <x v="0"/>
    <d v="2026-02-27T12:54:27"/>
    <n v="79.78"/>
    <n v="156"/>
    <n v="0"/>
    <m/>
    <s v="mail - orders.be@duomed.com — Orderbevestiging C007-S2607585-1"/>
    <s v="Dutch"/>
    <x v="5"/>
    <x v="11"/>
    <n v="50"/>
    <s v="C007-S2607585-1"/>
    <n v="50"/>
    <s v="16/02/2026"/>
    <n v="50"/>
    <s v="Duomed Belgium NV/SA"/>
    <n v="50"/>
    <s v="Hospital Logistics"/>
    <n v="50"/>
    <x v="0"/>
    <n v="50"/>
    <x v="5"/>
    <n v="50"/>
    <s v="330048060"/>
    <n v="94"/>
    <s v="Gammex Latex 6"/>
    <n v="92"/>
    <n v="1"/>
    <n v="92"/>
    <s v="B200"/>
    <n v="80"/>
    <s v="148,48"/>
    <n v="93"/>
    <s v="19/02/2026"/>
    <n v="95"/>
  </r>
  <r>
    <x v="19"/>
    <x v="0"/>
    <x v="0"/>
    <d v="2026-02-27T12:54:27"/>
    <n v="79.78"/>
    <n v="156"/>
    <n v="0"/>
    <m/>
    <s v="mail - orders.be@duomed.com — Orderbevestiging C007-S2607585-1"/>
    <s v="Dutch"/>
    <x v="6"/>
    <x v="11"/>
    <n v="50"/>
    <s v="C007-S2607585-1"/>
    <n v="50"/>
    <s v="16/02/2026"/>
    <n v="50"/>
    <s v="Duomed Belgium NV/SA"/>
    <n v="50"/>
    <s v="Hospital Logistics"/>
    <n v="50"/>
    <x v="0"/>
    <n v="50"/>
    <x v="6"/>
    <n v="50"/>
    <s v="SOL.50.02.38"/>
    <n v="94"/>
    <s v="Afsluitdop M/F Combi Rood Pvc-Vrij (Pad Verp)"/>
    <n v="91"/>
    <n v="1"/>
    <n v="92"/>
    <s v="B5000"/>
    <n v="80"/>
    <s v="267,92"/>
    <n v="94"/>
    <s v="19/02/2026"/>
    <n v="95"/>
  </r>
  <r>
    <x v="19"/>
    <x v="0"/>
    <x v="0"/>
    <d v="2026-02-27T12:54:27"/>
    <n v="79.78"/>
    <n v="156"/>
    <n v="0"/>
    <m/>
    <s v="mail - orders.be@duomed.com — Orderbevestiging C007-S2607585-1"/>
    <s v="Dutch"/>
    <x v="7"/>
    <x v="11"/>
    <n v="50"/>
    <s v="C007-S2607585-1"/>
    <n v="50"/>
    <s v="16/02/2026"/>
    <n v="50"/>
    <s v="Duomed Belgium NV/SA"/>
    <n v="50"/>
    <s v="Hospital Logistics"/>
    <n v="50"/>
    <x v="0"/>
    <n v="50"/>
    <x v="7"/>
    <n v="50"/>
    <s v="PAL-1200"/>
    <n v="94"/>
    <s v="PAL Aspiration Tubing Set, 12Ft, Disposable, Sterile"/>
    <n v="92"/>
    <n v="3"/>
    <n v="92"/>
    <s v="B5"/>
    <n v="80"/>
    <s v="172,99"/>
    <n v="93"/>
    <s v="19/02/2026"/>
    <n v="95"/>
  </r>
  <r>
    <x v="19"/>
    <x v="0"/>
    <x v="0"/>
    <d v="2026-02-27T12:54:27"/>
    <n v="79.78"/>
    <n v="156"/>
    <n v="0"/>
    <m/>
    <s v="mail - orders.be@duomed.com — Orderbevestiging C007-S2607585-1"/>
    <s v="Dutch"/>
    <x v="8"/>
    <x v="11"/>
    <n v="50"/>
    <s v="C007-S2607585-1"/>
    <n v="50"/>
    <s v="16/02/2026"/>
    <n v="50"/>
    <s v="Duomed Belgium NV/SA"/>
    <n v="50"/>
    <s v="Hospital Logistics"/>
    <n v="50"/>
    <x v="0"/>
    <n v="50"/>
    <x v="8"/>
    <n v="50"/>
    <s v="34145"/>
    <n v="94"/>
    <s v="Halyard Quick Check H400 121x121cm"/>
    <n v="92"/>
    <n v="30"/>
    <n v="92"/>
    <s v="B48"/>
    <n v="80"/>
    <s v="51,21"/>
    <n v="93"/>
    <s v="19/02/2026"/>
    <n v="95"/>
  </r>
  <r>
    <x v="19"/>
    <x v="0"/>
    <x v="0"/>
    <d v="2026-02-27T12:54:27"/>
    <n v="79.78"/>
    <n v="156"/>
    <n v="0"/>
    <m/>
    <s v="mail - orders.be@duomed.com — Orderbevestiging C007-S2607585-1"/>
    <s v="Dutch"/>
    <x v="9"/>
    <x v="11"/>
    <n v="50"/>
    <s v="C007-S2607585-1"/>
    <n v="50"/>
    <s v="16/02/2026"/>
    <n v="50"/>
    <s v="Duomed Belgium NV/SA"/>
    <n v="50"/>
    <s v="Hospital Logistics"/>
    <n v="50"/>
    <x v="0"/>
    <n v="50"/>
    <x v="9"/>
    <n v="50"/>
    <s v="553304"/>
    <n v="94"/>
    <s v="Latex Onderzoekshands Mct Coated Nt.Gep. Large"/>
    <n v="92"/>
    <n v="2"/>
    <n v="92"/>
    <s v="B1000"/>
    <n v="80"/>
    <s v="69,59"/>
    <n v="93"/>
    <s v="19/02/2026"/>
    <n v="95"/>
  </r>
  <r>
    <x v="19"/>
    <x v="0"/>
    <x v="0"/>
    <d v="2026-02-27T12:54:27"/>
    <n v="79.78"/>
    <n v="156"/>
    <n v="0"/>
    <m/>
    <s v="mail - orders.be@duomed.com — Orderbevestiging C007-S2607585-1"/>
    <s v="Dutch"/>
    <x v="10"/>
    <x v="11"/>
    <n v="50"/>
    <s v="C007-S2607585-1"/>
    <n v="50"/>
    <s v="16/02/2026"/>
    <n v="50"/>
    <s v="Duomed Belgium NV/SA"/>
    <n v="50"/>
    <s v="Hospital Logistics"/>
    <n v="50"/>
    <x v="0"/>
    <n v="50"/>
    <x v="10"/>
    <n v="50"/>
    <s v="OM-1125-8"/>
    <n v="94"/>
    <s v="&quot;Oxymask With 7&quot;&quot; Oxygen Tubing&quot;"/>
    <n v="90"/>
    <n v="3"/>
    <n v="92"/>
    <s v="B25"/>
    <n v="80"/>
    <s v="86,64"/>
    <n v="93"/>
    <s v="19/02/2026"/>
    <n v="95"/>
  </r>
  <r>
    <x v="19"/>
    <x v="0"/>
    <x v="0"/>
    <d v="2026-02-27T12:54:27"/>
    <n v="79.78"/>
    <n v="156"/>
    <n v="0"/>
    <m/>
    <s v="mail - orders.be@duomed.com — Orderbevestiging C007-S2607585-1"/>
    <s v="Dutch"/>
    <x v="11"/>
    <x v="11"/>
    <n v="50"/>
    <s v="C007-S2607585-1"/>
    <n v="50"/>
    <s v="16/02/2026"/>
    <n v="50"/>
    <s v="Duomed Belgium NV/SA"/>
    <n v="50"/>
    <s v="Hospital Logistics"/>
    <n v="50"/>
    <x v="0"/>
    <n v="50"/>
    <x v="99"/>
    <n v="50"/>
    <s v="34175"/>
    <n v="94"/>
    <s v="Halyard Quick Check H200 76x76cm"/>
    <n v="92"/>
    <n v="3"/>
    <n v="92"/>
    <s v="B144"/>
    <n v="80"/>
    <s v="55,14"/>
    <n v="93"/>
    <s v="19/02/2026"/>
    <n v="95"/>
  </r>
  <r>
    <x v="20"/>
    <x v="0"/>
    <x v="0"/>
    <d v="2026-02-27T12:54:27"/>
    <n v="91.03"/>
    <n v="13"/>
    <n v="0"/>
    <m/>
    <s v="mail - noreply@medica-europe.nl — Orderbevestiging/Orderacknowledgement: 3505026688"/>
    <s v="Dutch"/>
    <x v="0"/>
    <x v="12"/>
    <n v="98"/>
    <s v="MM581259"/>
    <n v="92"/>
    <s v="16/02/2026"/>
    <n v="95"/>
    <s v="Medica Europe B.V."/>
    <n v="90"/>
    <s v="Hospital Logistics (Zuyderland)"/>
    <n v="85"/>
    <x v="0"/>
    <n v="96"/>
    <x v="0"/>
    <n v="95"/>
    <s v="112560AJ"/>
    <n v="95"/>
    <s v="OK URO TUR"/>
    <n v="90"/>
    <n v="96"/>
    <n v="95"/>
    <s v="1"/>
    <n v="40"/>
    <s v="42,17"/>
    <n v="95"/>
    <s v="18/02/2026"/>
    <n v="95"/>
  </r>
  <r>
    <x v="21"/>
    <x v="0"/>
    <x v="0"/>
    <d v="2026-02-27T12:53:59"/>
    <n v="90.31"/>
    <n v="26"/>
    <n v="0"/>
    <m/>
    <s v="mail - mail@kingbelgium.be — Bevestiging bestelling  S09313928-1"/>
    <s v="Dutch"/>
    <x v="0"/>
    <x v="13"/>
    <n v="98"/>
    <s v="S09313928-IRIS"/>
    <n v="95"/>
    <s v="16/02/2026"/>
    <n v="95"/>
    <s v="King Belgium SA/NV"/>
    <n v="90"/>
    <s v="HOSPITAL LOGISTICS MAGAZIJN"/>
    <n v="92"/>
    <x v="0"/>
    <n v="95"/>
    <x v="0"/>
    <n v="90"/>
    <s v="K0101405"/>
    <n v="92"/>
    <s v="VAATWASPOEDER DIPP 14 ACTIEF 5KG"/>
    <n v="88"/>
    <n v="10"/>
    <n v="95"/>
    <s v="CS"/>
    <n v="90"/>
    <s v="22,85 / CS"/>
    <n v="92"/>
    <s v="18/02/2026"/>
    <n v="96"/>
  </r>
  <r>
    <x v="21"/>
    <x v="0"/>
    <x v="0"/>
    <d v="2026-02-27T12:53:59"/>
    <n v="90.31"/>
    <n v="26"/>
    <n v="0"/>
    <m/>
    <s v="mail - mail@kingbelgium.be — Bevestiging bestelling  S09313928-1"/>
    <s v="Dutch"/>
    <x v="1"/>
    <x v="13"/>
    <n v="98"/>
    <s v="S09313928-IRIS"/>
    <n v="95"/>
    <s v="16/02/2026"/>
    <n v="95"/>
    <s v="King Belgium SA/NV"/>
    <n v="90"/>
    <s v="HOSPITAL LOGISTICS MAGAZIJN"/>
    <n v="92"/>
    <x v="0"/>
    <n v="95"/>
    <x v="1"/>
    <n v="90"/>
    <s v="688162220"/>
    <n v="90"/>
    <s v="SLABBETJE PRIMECARE+ 2LGS MET ZAK BINNEN BLAUW 38X70CM (6X100)"/>
    <n v="86"/>
    <n v="2"/>
    <n v="95"/>
    <s v="CS"/>
    <n v="90"/>
    <s v="56,40 / CS"/>
    <n v="92"/>
    <s v="18/02/2026"/>
    <n v="96"/>
  </r>
  <r>
    <x v="22"/>
    <x v="1"/>
    <x v="1"/>
    <d v="2026-02-27T12:44:21"/>
    <n v="24"/>
    <n v="0"/>
    <n v="0"/>
    <m/>
    <s v="mail - vygonbe@vygon.com — RE: order 1501037263"/>
    <m/>
    <x v="88"/>
    <x v="5"/>
    <m/>
    <m/>
    <m/>
    <m/>
    <m/>
    <m/>
    <m/>
    <m/>
    <m/>
    <x v="1"/>
    <m/>
    <x v="98"/>
    <m/>
    <m/>
    <m/>
    <m/>
    <m/>
    <m/>
    <m/>
    <m/>
    <m/>
    <m/>
    <m/>
    <m/>
    <m/>
  </r>
  <r>
    <x v="23"/>
    <x v="0"/>
    <x v="0"/>
    <d v="2026-02-27T12:44:21"/>
    <n v="91.51"/>
    <n v="13"/>
    <n v="0"/>
    <m/>
    <s v="mail - CSZiekenhuizen@mediq.com — Mediq orderbevestiging: 1507018696"/>
    <s v="Dutch"/>
    <x v="0"/>
    <x v="14"/>
    <n v="98"/>
    <s v="4381838"/>
    <n v="95"/>
    <s v="16/02/2026"/>
    <n v="95"/>
    <s v="Mediq Nederland B.V."/>
    <n v="90"/>
    <s v="Hospital Logistics Nederland B.V."/>
    <n v="90"/>
    <x v="0"/>
    <n v="95"/>
    <x v="0"/>
    <n v="90"/>
    <s v="3016535"/>
    <n v="98"/>
    <s v="KLINIDERM FOAM SILICONE BORDER 7,5X7,5CM STERIEL 40514828"/>
    <n v="95"/>
    <n v="22"/>
    <n v="90"/>
    <s v="BD"/>
    <n v="70"/>
    <s v="18,01 EUR"/>
    <n v="95"/>
    <s v="19/02/2026"/>
    <n v="95"/>
  </r>
  <r>
    <x v="24"/>
    <x v="0"/>
    <x v="0"/>
    <d v="2026-02-27T12:44:21"/>
    <n v="78.12"/>
    <n v="130"/>
    <n v="0"/>
    <m/>
    <s v="mail - info@g3-medical.nl — Verkooporder SO00454663 / 3504015927"/>
    <s v="Dutch"/>
    <x v="0"/>
    <x v="15"/>
    <n v="98"/>
    <s v="SO00454663"/>
    <n v="50"/>
    <s v="16/02/2026"/>
    <n v="50"/>
    <s v="G3 Medical B.V."/>
    <n v="50"/>
    <s v="Hospital Logistics Nederland B.V./Isala Klin"/>
    <n v="50"/>
    <x v="0"/>
    <n v="50"/>
    <x v="0"/>
    <n v="50"/>
    <s v="880501"/>
    <n v="95"/>
    <s v="Swann Morton 0501, scalpel nr.10, steriel, disposable, RVS mesje/kunststof heft, per stuk, 10st/ds"/>
    <n v="92"/>
    <n v="14"/>
    <n v="96"/>
    <s v="Dozen"/>
    <n v="92"/>
    <s v="3,92"/>
    <n v="93"/>
    <s v="19/02/2026"/>
    <n v="90"/>
  </r>
  <r>
    <x v="24"/>
    <x v="0"/>
    <x v="0"/>
    <d v="2026-02-27T12:44:21"/>
    <n v="78.12"/>
    <n v="130"/>
    <n v="0"/>
    <m/>
    <s v="mail - info@g3-medical.nl — Verkooporder SO00454663 / 3504015927"/>
    <s v="Dutch"/>
    <x v="1"/>
    <x v="15"/>
    <n v="98"/>
    <s v="SO00454663"/>
    <n v="50"/>
    <s v="16/02/2026"/>
    <n v="50"/>
    <s v="G3 Medical B.V."/>
    <n v="50"/>
    <s v="Hospital Logistics Nederland B.V./Isala Klin"/>
    <n v="50"/>
    <x v="0"/>
    <n v="50"/>
    <x v="1"/>
    <n v="50"/>
    <s v="17000306"/>
    <n v="95"/>
    <s v="Rüsch 170003 Brillant Paediatric 2-weg, ballon, stilet,siliconen, Ch06, 1.5ml, 31cm, steriel, 5st/ds"/>
    <n v="90"/>
    <n v="1"/>
    <n v="96"/>
    <s v="Dozen"/>
    <n v="92"/>
    <s v="94,66"/>
    <n v="93"/>
    <s v="19/02/2026"/>
    <n v="90"/>
  </r>
  <r>
    <x v="24"/>
    <x v="0"/>
    <x v="0"/>
    <d v="2026-02-27T12:44:21"/>
    <n v="78.12"/>
    <n v="130"/>
    <n v="0"/>
    <m/>
    <s v="mail - info@g3-medical.nl — Verkooporder SO00454663 / 3504015927"/>
    <s v="Dutch"/>
    <x v="2"/>
    <x v="15"/>
    <n v="98"/>
    <s v="SO00454663"/>
    <n v="50"/>
    <s v="16/02/2026"/>
    <n v="50"/>
    <s v="G3 Medical B.V."/>
    <n v="50"/>
    <s v="Hospital Logistics Nederland B.V./Isala Klin"/>
    <n v="50"/>
    <x v="0"/>
    <n v="50"/>
    <x v="2"/>
    <n v="50"/>
    <s v="BP40F"/>
    <n v="93"/>
    <s v="Kai biopsie punch, disposable, steriel, 4,0mm, 20x1st/ds"/>
    <n v="90"/>
    <n v="7"/>
    <n v="92"/>
    <s v="Dozen"/>
    <n v="90"/>
    <s v="27,83"/>
    <n v="92"/>
    <s v="19/02/2026"/>
    <n v="88"/>
  </r>
  <r>
    <x v="24"/>
    <x v="0"/>
    <x v="0"/>
    <d v="2026-02-27T12:44:21"/>
    <n v="78.12"/>
    <n v="130"/>
    <n v="0"/>
    <m/>
    <s v="mail - info@g3-medical.nl — Verkooporder SO00454663 / 3504015927"/>
    <s v="Dutch"/>
    <x v="3"/>
    <x v="15"/>
    <n v="98"/>
    <s v="SO00454663"/>
    <n v="50"/>
    <s v="16/02/2026"/>
    <n v="50"/>
    <s v="G3 Medical B.V."/>
    <n v="50"/>
    <s v="Hospital Logistics Nederland B.V./Isala Klin"/>
    <n v="50"/>
    <x v="0"/>
    <n v="50"/>
    <x v="3"/>
    <n v="50"/>
    <s v="700001"/>
    <n v="95"/>
    <s v="Prämata stuwband nr.902, groen, p/st"/>
    <n v="92"/>
    <n v="40"/>
    <n v="96"/>
    <s v="Stuks"/>
    <n v="94"/>
    <s v="34,04"/>
    <n v="93"/>
    <s v="26/02/2026"/>
    <n v="88"/>
  </r>
  <r>
    <x v="24"/>
    <x v="0"/>
    <x v="0"/>
    <d v="2026-02-27T12:44:21"/>
    <n v="78.12"/>
    <n v="130"/>
    <n v="0"/>
    <m/>
    <s v="mail - info@g3-medical.nl — Verkooporder SO00454663 / 3504015927"/>
    <s v="Dutch"/>
    <x v="4"/>
    <x v="15"/>
    <n v="98"/>
    <s v="SO00454663"/>
    <n v="50"/>
    <s v="16/02/2026"/>
    <n v="50"/>
    <s v="G3 Medical B.V."/>
    <n v="50"/>
    <s v="Hospital Logistics Nederland B.V./Isala Klin"/>
    <n v="50"/>
    <x v="0"/>
    <n v="50"/>
    <x v="4"/>
    <n v="50"/>
    <s v="410021"/>
    <n v="95"/>
    <s v="Parker Signaspray 18-25 electrode solution &amp; skin prep, 250ml, 12st/ds"/>
    <n v="91"/>
    <n v="24"/>
    <n v="96"/>
    <s v="Dozen"/>
    <n v="92"/>
    <s v="40,67"/>
    <n v="93"/>
    <s v="19/02/2026"/>
    <n v="90"/>
  </r>
  <r>
    <x v="24"/>
    <x v="0"/>
    <x v="0"/>
    <d v="2026-02-27T12:44:21"/>
    <n v="78.12"/>
    <n v="130"/>
    <n v="0"/>
    <m/>
    <s v="mail - info@g3-medical.nl — Verkooporder SO00454663 / 3504015927"/>
    <s v="Dutch"/>
    <x v="5"/>
    <x v="15"/>
    <n v="98"/>
    <s v="SO00454663"/>
    <n v="50"/>
    <s v="16/02/2026"/>
    <n v="50"/>
    <s v="G3 Medical B.V."/>
    <n v="50"/>
    <s v="Hospital Logistics Nederland B.V./Isala Klin"/>
    <n v="50"/>
    <x v="0"/>
    <n v="50"/>
    <x v="5"/>
    <n v="50"/>
    <s v="8809190-DI:700726-DIS"/>
    <n v="90"/>
    <s v="CMT wegwerpscheermesjes, single-edged, disposable, blauw, 100st/dis"/>
    <n v="90"/>
    <n v="4"/>
    <n v="95"/>
    <s v="Dispense"/>
    <n v="88"/>
    <s v="9,62"/>
    <n v="92"/>
    <s v="19/02/2026"/>
    <n v="88"/>
  </r>
  <r>
    <x v="24"/>
    <x v="0"/>
    <x v="0"/>
    <d v="2026-02-27T12:44:21"/>
    <n v="78.12"/>
    <n v="130"/>
    <n v="0"/>
    <m/>
    <s v="mail - info@g3-medical.nl — Verkooporder SO00454663 / 3504015927"/>
    <s v="Dutch"/>
    <x v="6"/>
    <x v="15"/>
    <n v="98"/>
    <s v="SO00454663"/>
    <n v="50"/>
    <s v="16/02/2026"/>
    <n v="50"/>
    <s v="G3 Medical B.V."/>
    <n v="50"/>
    <s v="Hospital Logistics Nederland B.V./Isala Klin"/>
    <n v="50"/>
    <x v="0"/>
    <n v="50"/>
    <x v="6"/>
    <n v="50"/>
    <s v="212"/>
    <n v="92"/>
    <s v="Seca 212 hoofdmeetband, baby/peuter, 5-59cm/1mm, 15st/ds"/>
    <n v="90"/>
    <n v="5"/>
    <n v="95"/>
    <s v="Dozen"/>
    <n v="90"/>
    <s v="48,00"/>
    <n v="92"/>
    <s v="19/02/2026"/>
    <n v="89"/>
  </r>
  <r>
    <x v="24"/>
    <x v="0"/>
    <x v="0"/>
    <d v="2026-02-27T12:44:21"/>
    <n v="78.12"/>
    <n v="130"/>
    <n v="0"/>
    <m/>
    <s v="mail - info@g3-medical.nl — Verkooporder SO00454663 / 3504015927"/>
    <s v="Dutch"/>
    <x v="7"/>
    <x v="15"/>
    <n v="98"/>
    <s v="SO00454663"/>
    <n v="50"/>
    <s v="16/02/2026"/>
    <n v="50"/>
    <s v="G3 Medical B.V."/>
    <n v="50"/>
    <s v="Hospital Logistics Nederland B.V./Isala Klin"/>
    <n v="50"/>
    <x v="0"/>
    <n v="50"/>
    <x v="7"/>
    <n v="50"/>
    <s v="700015"/>
    <n v="95"/>
    <s v="CMT penlight, disposable, wit, 6st/pak"/>
    <n v="90"/>
    <n v="10"/>
    <n v="95"/>
    <s v="Dozen"/>
    <n v="92"/>
    <s v="7,74"/>
    <n v="92"/>
    <s v="19/02/2026"/>
    <n v="90"/>
  </r>
  <r>
    <x v="24"/>
    <x v="0"/>
    <x v="0"/>
    <d v="2026-02-27T12:44:21"/>
    <n v="78.12"/>
    <n v="130"/>
    <n v="0"/>
    <m/>
    <s v="mail - info@g3-medical.nl — Verkooporder SO00454663 / 3504015927"/>
    <s v="Dutch"/>
    <x v="8"/>
    <x v="15"/>
    <n v="98"/>
    <s v="SO00454663"/>
    <n v="50"/>
    <s v="16/02/2026"/>
    <n v="50"/>
    <s v="G3 Medical B.V."/>
    <n v="50"/>
    <s v="Hospital Logistics Nederland B.V./Isala Klin"/>
    <n v="50"/>
    <x v="0"/>
    <n v="50"/>
    <x v="8"/>
    <n v="50"/>
    <s v="700781"/>
    <n v="94"/>
    <s v="Noba 974117 wattenstok, disposable, hout, 15cm, 7mm tip, middenbol, 10x100st/ds"/>
    <n v="90"/>
    <n v="1"/>
    <n v="95"/>
    <s v="Dozen"/>
    <n v="90"/>
    <s v="12,46"/>
    <n v="92"/>
    <s v="19/02/2026"/>
    <n v="89"/>
  </r>
  <r>
    <x v="24"/>
    <x v="0"/>
    <x v="0"/>
    <d v="2026-02-27T12:44:21"/>
    <n v="78.12"/>
    <n v="130"/>
    <n v="0"/>
    <m/>
    <s v="mail - info@g3-medical.nl — Verkooporder SO00454663 / 3504015927"/>
    <s v="Dutch"/>
    <x v="9"/>
    <x v="15"/>
    <n v="98"/>
    <s v="SO00454663"/>
    <n v="50"/>
    <s v="16/02/2026"/>
    <n v="50"/>
    <s v="G3 Medical B.V."/>
    <n v="50"/>
    <s v="Hospital Logistics Nederland B.V./Isala Klin"/>
    <n v="50"/>
    <x v="0"/>
    <n v="50"/>
    <x v="9"/>
    <n v="50"/>
    <s v="211096"/>
    <n v="95"/>
    <s v="Belcare abdominal CTG transducer banden, 120cm, 50x2-pack (1 roze, 1 blauw) 50pr/doos"/>
    <n v="92"/>
    <n v="6"/>
    <n v="96"/>
    <s v="Dozen"/>
    <n v="92"/>
    <s v="56,45"/>
    <n v="93"/>
    <s v="19/02/2026"/>
    <n v="90"/>
  </r>
  <r>
    <x v="25"/>
    <x v="0"/>
    <x v="1"/>
    <d v="2026-02-27T12:44:21"/>
    <n v="65"/>
    <n v="0"/>
    <n v="0"/>
    <m/>
    <s v="mail - rs.beneluxcs@medtronic.com — Medtronic - backorder report - Hospital Logistics "/>
    <m/>
    <x v="88"/>
    <x v="5"/>
    <m/>
    <m/>
    <m/>
    <m/>
    <m/>
    <m/>
    <m/>
    <m/>
    <m/>
    <x v="1"/>
    <m/>
    <x v="98"/>
    <m/>
    <m/>
    <m/>
    <m/>
    <m/>
    <m/>
    <m/>
    <m/>
    <m/>
    <m/>
    <m/>
    <m/>
    <m/>
  </r>
  <r>
    <x v="26"/>
    <x v="0"/>
    <x v="0"/>
    <d v="2026-02-27T12:44:21"/>
    <n v="80.73"/>
    <n v="134"/>
    <n v="2"/>
    <m/>
    <s v="mail - BD_Order_Confirmation@EUROPE.BD.COM — BD Order Acknowledgement for your purchase order with reference 3507009726"/>
    <s v="English"/>
    <x v="0"/>
    <x v="16"/>
    <n v="98"/>
    <s v="HWW/I01/B14211125"/>
    <n v="90"/>
    <s v="16/02/2026"/>
    <n v="92"/>
    <s v="Becton Dickinson BV"/>
    <n v="92"/>
    <s v="Hospital Logistics Nederland B.V."/>
    <n v="88"/>
    <x v="0"/>
    <n v="95"/>
    <x v="0"/>
    <n v="98"/>
    <s v="305892"/>
    <n v="95"/>
    <s v="ECLIPSE NDL 23G1 LS"/>
    <n v="90"/>
    <n v="12"/>
    <n v="95"/>
    <m/>
    <n v="20"/>
    <s v="9.95 EUR"/>
    <n v="95"/>
    <s v="19/02/2026"/>
    <n v="98"/>
  </r>
  <r>
    <x v="26"/>
    <x v="0"/>
    <x v="0"/>
    <d v="2026-02-27T12:44:21"/>
    <n v="80.73"/>
    <n v="134"/>
    <n v="2"/>
    <m/>
    <s v="mail - BD_Order_Confirmation@EUROPE.BD.COM — BD Order Acknowledgement for your purchase order with reference 3507009726"/>
    <s v="English"/>
    <x v="1"/>
    <x v="16"/>
    <n v="98"/>
    <s v="HWW/I01/B14211125"/>
    <n v="90"/>
    <s v="16/02/2026"/>
    <n v="50"/>
    <s v="Becton Dickinson BV"/>
    <n v="50"/>
    <s v="Hospital Logistics Nederland B.V."/>
    <n v="50"/>
    <x v="0"/>
    <n v="50"/>
    <x v="1"/>
    <n v="95"/>
    <s v="307736"/>
    <n v="94"/>
    <s v="10ML SYRINGE ONLY"/>
    <n v="88"/>
    <n v="2"/>
    <n v="94"/>
    <m/>
    <n v="20"/>
    <s v="70.75 EUR"/>
    <n v="94"/>
    <s v="19/02/2026"/>
    <n v="98"/>
  </r>
  <r>
    <x v="26"/>
    <x v="0"/>
    <x v="0"/>
    <d v="2026-02-27T12:44:21"/>
    <n v="80.73"/>
    <n v="134"/>
    <n v="2"/>
    <m/>
    <s v="mail - BD_Order_Confirmation@EUROPE.BD.COM — BD Order Acknowledgement for your purchase order with reference 3507009726"/>
    <s v="English"/>
    <x v="2"/>
    <x v="16"/>
    <n v="98"/>
    <s v="HWW/I01/B14211125"/>
    <n v="50"/>
    <s v="16/02/2026"/>
    <n v="50"/>
    <s v="Becton Dickinson BV"/>
    <n v="50"/>
    <s v="Hospital Logistics Nederland B.V."/>
    <n v="50"/>
    <x v="0"/>
    <n v="50"/>
    <x v="2"/>
    <n v="50"/>
    <s v="367300"/>
    <n v="94"/>
    <s v="VMS Luer Adapter"/>
    <n v="88"/>
    <n v="1"/>
    <n v="95"/>
    <m/>
    <m/>
    <s v="104.52 EUR"/>
    <n v="95"/>
    <s v="19/02/2026"/>
    <n v="98"/>
  </r>
  <r>
    <x v="26"/>
    <x v="0"/>
    <x v="0"/>
    <d v="2026-02-27T12:44:21"/>
    <n v="80.73"/>
    <n v="134"/>
    <n v="2"/>
    <m/>
    <s v="mail - BD_Order_Confirmation@EUROPE.BD.COM — BD Order Acknowledgement for your purchase order with reference 3507009726"/>
    <s v="English"/>
    <x v="3"/>
    <x v="16"/>
    <n v="98"/>
    <s v="HWW/I01/B14211125"/>
    <n v="50"/>
    <s v="16/02/2026"/>
    <n v="50"/>
    <s v="Becton Dickinson BV"/>
    <n v="50"/>
    <s v="Hospital Logistics Nederland B.V."/>
    <n v="50"/>
    <x v="0"/>
    <n v="50"/>
    <x v="3"/>
    <n v="50"/>
    <s v="393224"/>
    <n v="94"/>
    <s v="VENFLON PRO SAFETY 20 GA"/>
    <n v="90"/>
    <n v="9"/>
    <n v="94"/>
    <m/>
    <m/>
    <s v="400.13 EUR"/>
    <n v="94"/>
    <s v="19/02/2026"/>
    <n v="98"/>
  </r>
  <r>
    <x v="26"/>
    <x v="0"/>
    <x v="0"/>
    <d v="2026-02-27T12:44:21"/>
    <n v="80.73"/>
    <n v="134"/>
    <n v="2"/>
    <m/>
    <s v="mail - BD_Order_Confirmation@EUROPE.BD.COM — BD Order Acknowledgement for your purchase order with reference 3507009726"/>
    <s v="English"/>
    <x v="4"/>
    <x v="16"/>
    <n v="98"/>
    <s v="HWW/I01/B14211125"/>
    <n v="50"/>
    <s v="16/02/2026"/>
    <n v="50"/>
    <s v="Becton Dickinson BV"/>
    <n v="50"/>
    <s v="Hospital Logistics Nederland B.V."/>
    <n v="50"/>
    <x v="0"/>
    <n v="50"/>
    <x v="4"/>
    <n v="50"/>
    <s v="393226"/>
    <n v="94"/>
    <s v="VENFLON PRO SAFETY 18 GA"/>
    <n v="90"/>
    <n v="20"/>
    <n v="94"/>
    <m/>
    <m/>
    <s v="45.33 EUR"/>
    <n v="94"/>
    <s v="19/02/2026"/>
    <n v="98"/>
  </r>
  <r>
    <x v="26"/>
    <x v="0"/>
    <x v="0"/>
    <d v="2026-02-27T12:44:21"/>
    <n v="80.73"/>
    <n v="134"/>
    <n v="2"/>
    <m/>
    <s v="mail - BD_Order_Confirmation@EUROPE.BD.COM — BD Order Acknowledgement for your purchase order with reference 3507009726"/>
    <s v="English"/>
    <x v="5"/>
    <x v="16"/>
    <n v="98"/>
    <s v="HWW/I01/B14211125"/>
    <n v="50"/>
    <s v="16/02/2026"/>
    <n v="50"/>
    <s v="Becton Dickinson BV"/>
    <n v="50"/>
    <s v="Hospital Logistics Nederland B.V."/>
    <n v="50"/>
    <x v="0"/>
    <n v="50"/>
    <x v="5"/>
    <n v="50"/>
    <s v="383532"/>
    <n v="93"/>
    <s v="NEXIVA 22GA 1.00IN Y"/>
    <n v="88"/>
    <n v="4"/>
    <n v="93"/>
    <m/>
    <m/>
    <s v="228.87 EUR"/>
    <n v="93"/>
    <s v="19/02/2026"/>
    <n v="98"/>
  </r>
  <r>
    <x v="26"/>
    <x v="0"/>
    <x v="0"/>
    <d v="2026-02-27T12:44:21"/>
    <n v="80.73"/>
    <n v="134"/>
    <n v="2"/>
    <m/>
    <s v="mail - BD_Order_Confirmation@EUROPE.BD.COM — BD Order Acknowledgement for your purchase order with reference 3507009726"/>
    <s v="English"/>
    <x v="6"/>
    <x v="16"/>
    <n v="98"/>
    <s v="HWW/I01/B14211125"/>
    <n v="50"/>
    <s v="16/02/2026"/>
    <n v="50"/>
    <s v="Becton Dickinson BV"/>
    <n v="50"/>
    <s v="Hospital Logistics Nederland B.V."/>
    <n v="50"/>
    <x v="0"/>
    <n v="50"/>
    <x v="6"/>
    <n v="50"/>
    <s v="305891"/>
    <n v="94"/>
    <s v="ECLIPSE NDL 25G1"/>
    <n v="88"/>
    <n v="4"/>
    <n v="94"/>
    <m/>
    <m/>
    <s v="10.52 EUR"/>
    <n v="94"/>
    <s v="19/02/2026"/>
    <n v="98"/>
  </r>
  <r>
    <x v="26"/>
    <x v="0"/>
    <x v="0"/>
    <d v="2026-02-27T12:44:21"/>
    <n v="80.73"/>
    <n v="134"/>
    <n v="2"/>
    <m/>
    <s v="mail - BD_Order_Confirmation@EUROPE.BD.COM — BD Order Acknowledgement for your purchase order with reference 3507009726"/>
    <s v="English"/>
    <x v="7"/>
    <x v="16"/>
    <n v="98"/>
    <s v="HWW/I01/B14211125"/>
    <n v="50"/>
    <s v="16/02/2026"/>
    <n v="50"/>
    <s v="Becton Dickinson BV"/>
    <n v="50"/>
    <s v="Hospital Logistics Nederland B.V."/>
    <n v="50"/>
    <x v="0"/>
    <n v="50"/>
    <x v="7"/>
    <n v="50"/>
    <s v="306575"/>
    <n v="92"/>
    <s v="BD POSIFLUSH 10ml SP"/>
    <n v="86"/>
    <n v="4"/>
    <n v="92"/>
    <m/>
    <m/>
    <s v="117.17 EUR"/>
    <n v="92"/>
    <s v="19/02/2026"/>
    <n v="98"/>
  </r>
  <r>
    <x v="26"/>
    <x v="0"/>
    <x v="0"/>
    <d v="2026-02-27T12:44:21"/>
    <n v="80.73"/>
    <n v="134"/>
    <n v="2"/>
    <m/>
    <s v="mail - BD_Order_Confirmation@EUROPE.BD.COM — BD Order Acknowledgement for your purchase order with reference 3507009726"/>
    <s v="English"/>
    <x v="8"/>
    <x v="16"/>
    <n v="98"/>
    <s v="HWW/I01/B14211125"/>
    <n v="50"/>
    <s v="16/02/2026"/>
    <n v="50"/>
    <s v="Becton Dickinson BV"/>
    <n v="50"/>
    <s v="Hospital Logistics Nederland B.V."/>
    <n v="50"/>
    <x v="0"/>
    <n v="50"/>
    <x v="8"/>
    <n v="50"/>
    <s v="383641"/>
    <n v="93"/>
    <s v="NEXIVA 24GA 0.75IN Y W/"/>
    <n v="86"/>
    <n v="4"/>
    <n v="93"/>
    <m/>
    <m/>
    <s v="49.31 EUR"/>
    <n v="93"/>
    <s v="19/02/2026"/>
    <n v="98"/>
  </r>
  <r>
    <x v="26"/>
    <x v="0"/>
    <x v="0"/>
    <d v="2026-02-27T12:44:21"/>
    <n v="80.73"/>
    <n v="134"/>
    <n v="2"/>
    <m/>
    <s v="mail - BD_Order_Confirmation@EUROPE.BD.COM — BD Order Acknowledgement for your purchase order with reference 3507009726"/>
    <s v="English"/>
    <x v="9"/>
    <x v="16"/>
    <n v="98"/>
    <s v="HWW/I01/B14211125"/>
    <n v="50"/>
    <s v="16/02/2026"/>
    <n v="50"/>
    <s v="Becton Dickinson BV"/>
    <n v="50"/>
    <s v="Hospital Logistics Nederland B.V."/>
    <n v="50"/>
    <x v="0"/>
    <n v="50"/>
    <x v="9"/>
    <n v="50"/>
    <s v="393227"/>
    <n v="94"/>
    <s v="VENFLON PRO SAFETY 18 GA"/>
    <n v="89"/>
    <n v="2"/>
    <n v="94"/>
    <m/>
    <m/>
    <s v="41.38 EUR"/>
    <n v="94"/>
    <s v="19/02/2026"/>
    <n v="98"/>
  </r>
  <r>
    <x v="26"/>
    <x v="0"/>
    <x v="0"/>
    <d v="2026-02-27T12:44:21"/>
    <n v="80.73"/>
    <n v="134"/>
    <n v="2"/>
    <m/>
    <s v="mail - BD_Order_Confirmation@EUROPE.BD.COM — BD Order Acknowledgement for your purchase order with reference 3507009726"/>
    <s v="English"/>
    <x v="10"/>
    <x v="16"/>
    <n v="98"/>
    <s v="HWW/I01/B14211125"/>
    <n v="50"/>
    <s v="16/02/2026"/>
    <n v="50"/>
    <s v="Becton Dickinson BV"/>
    <n v="50"/>
    <s v="Hospital Logistics Nederland B.V."/>
    <n v="50"/>
    <x v="0"/>
    <n v="50"/>
    <x v="10"/>
    <n v="50"/>
    <s v="364941"/>
    <n v="94"/>
    <s v="Urinecontainer 120ml"/>
    <n v="90"/>
    <n v="2"/>
    <n v="94"/>
    <m/>
    <m/>
    <s v="47.46 EUR"/>
    <n v="94"/>
    <s v="19/02/2026"/>
    <n v="98"/>
  </r>
  <r>
    <x v="27"/>
    <x v="0"/>
    <x v="0"/>
    <d v="2026-02-27T12:44:21"/>
    <n v="91.4"/>
    <n v="26"/>
    <n v="0"/>
    <m/>
    <s v="mail - CustomerCareNL@fresenius-kabi.com — ORDERBEVESTIGING 2364067490"/>
    <s v="Dutch"/>
    <x v="0"/>
    <x v="17"/>
    <n v="95"/>
    <s v="2364067490"/>
    <n v="95"/>
    <s v="16/02/2026"/>
    <n v="90"/>
    <s v="Fresenius Kabi Nederland B.V."/>
    <n v="95"/>
    <s v="Hospital Logistics Nederland"/>
    <n v="90"/>
    <x v="0"/>
    <n v="95"/>
    <x v="9"/>
    <n v="95"/>
    <s v="8189601"/>
    <n v="95"/>
    <s v="F THICK LEV 3 W Straw D(CH/B)-F(CH/B)-NL 1 X 200 ML EASYBOTTLE"/>
    <n v="90"/>
    <n v="24"/>
    <n v="95"/>
    <s v="ST"/>
    <n v="90"/>
    <s v="2,17 EUR"/>
    <n v="90"/>
    <s v="20/02/2026"/>
    <n v="90"/>
  </r>
  <r>
    <x v="27"/>
    <x v="0"/>
    <x v="0"/>
    <d v="2026-02-27T12:44:21"/>
    <n v="91.4"/>
    <n v="26"/>
    <n v="0"/>
    <m/>
    <s v="mail - CustomerCareNL@fresenius-kabi.com — ORDERBEVESTIGING 2364067490"/>
    <s v="Dutch"/>
    <x v="1"/>
    <x v="17"/>
    <n v="95"/>
    <s v="2364067490"/>
    <n v="95"/>
    <s v="16/02/2026"/>
    <n v="90"/>
    <s v="Fresenius Kabi Nederland B.V."/>
    <n v="95"/>
    <s v="Hospital Logistics Nederland"/>
    <n v="90"/>
    <x v="0"/>
    <n v="95"/>
    <x v="16"/>
    <n v="95"/>
    <s v="7162701"/>
    <n v="95"/>
    <s v="F. 2 KCAL CRÈME Capp. D-F-S-DK/N-NL-HR 1 X 125 GRAMM BECHER"/>
    <n v="90"/>
    <n v="24"/>
    <n v="95"/>
    <s v="ST"/>
    <n v="90"/>
    <s v="1,61 EUR"/>
    <n v="90"/>
    <s v="20/02/2026"/>
    <n v="90"/>
  </r>
  <r>
    <x v="28"/>
    <x v="0"/>
    <x v="0"/>
    <d v="2026-02-27T12:44:21"/>
    <n v="81.459999999999994"/>
    <n v="143"/>
    <n v="0"/>
    <m/>
    <s v="mail - orders.be@duomed.com — Confirmation C007-S2607613-1"/>
    <s v="French"/>
    <x v="0"/>
    <x v="18"/>
    <n v="98"/>
    <s v="C007-S2607613-1"/>
    <n v="95"/>
    <s v="16/02/2026"/>
    <n v="95"/>
    <s v="Duomed Belgium NV/SA"/>
    <n v="90"/>
    <s v="MDC Alleur"/>
    <n v="85"/>
    <x v="0"/>
    <n v="95"/>
    <x v="0"/>
    <n v="95"/>
    <s v="340007075"/>
    <n v="96"/>
    <s v="Gammex Non-Latex Sensitive 75"/>
    <n v="92"/>
    <n v="1"/>
    <n v="92"/>
    <s v="B200"/>
    <n v="80"/>
    <s v="198,29"/>
    <n v="93"/>
    <s v="19/02/2026"/>
    <n v="96"/>
  </r>
  <r>
    <x v="28"/>
    <x v="0"/>
    <x v="0"/>
    <d v="2026-02-27T12:44:21"/>
    <n v="81.459999999999994"/>
    <n v="143"/>
    <n v="0"/>
    <m/>
    <s v="mail - orders.be@duomed.com — Confirmation C007-S2607613-1"/>
    <s v="French"/>
    <x v="1"/>
    <x v="18"/>
    <n v="98"/>
    <s v="C007-S2607613-1"/>
    <n v="50"/>
    <s v="16/02/2026"/>
    <n v="50"/>
    <s v="Duomed Belgium NV/SA"/>
    <n v="50"/>
    <s v="MDC Alleur"/>
    <n v="50"/>
    <x v="0"/>
    <n v="50"/>
    <x v="1"/>
    <n v="50"/>
    <s v="05.000.22.803"/>
    <n v="95"/>
    <s v="High Vac Redon Syst.Round 400ml Large Lock Tube"/>
    <n v="90"/>
    <n v="1"/>
    <n v="90"/>
    <s v="B50"/>
    <n v="80"/>
    <s v="232,03"/>
    <n v="92"/>
    <s v="19/02/2026"/>
    <n v="96"/>
  </r>
  <r>
    <x v="28"/>
    <x v="0"/>
    <x v="0"/>
    <d v="2026-02-27T12:44:21"/>
    <n v="81.459999999999994"/>
    <n v="143"/>
    <n v="0"/>
    <m/>
    <s v="mail - orders.be@duomed.com — Confirmation C007-S2607613-1"/>
    <s v="French"/>
    <x v="2"/>
    <x v="18"/>
    <n v="98"/>
    <s v="C007-S2607613-1"/>
    <n v="50"/>
    <s v="16/02/2026"/>
    <n v="50"/>
    <s v="Duomed Belgium NV/SA"/>
    <n v="50"/>
    <s v="MDC Alleur"/>
    <n v="50"/>
    <x v="0"/>
    <n v="50"/>
    <x v="2"/>
    <n v="50"/>
    <s v="8003138"/>
    <n v="95"/>
    <s v="Multi Absorber-disp-whi/violet"/>
    <n v="90"/>
    <n v="3"/>
    <n v="90"/>
    <s v="B6"/>
    <n v="80"/>
    <s v="91,19"/>
    <n v="92"/>
    <s v="19/02/2026"/>
    <n v="96"/>
  </r>
  <r>
    <x v="28"/>
    <x v="0"/>
    <x v="0"/>
    <d v="2026-02-27T12:44:21"/>
    <n v="81.459999999999994"/>
    <n v="143"/>
    <n v="0"/>
    <m/>
    <s v="mail - orders.be@duomed.com — Confirmation C007-S2607613-1"/>
    <s v="French"/>
    <x v="3"/>
    <x v="18"/>
    <n v="98"/>
    <s v="C007-S2607613-1"/>
    <n v="50"/>
    <s v="16/02/2026"/>
    <n v="50"/>
    <s v="Duomed Belgium NV/SA"/>
    <n v="50"/>
    <s v="MDC Alleur"/>
    <n v="50"/>
    <x v="0"/>
    <n v="50"/>
    <x v="3"/>
    <n v="50"/>
    <s v="48100"/>
    <n v="95"/>
    <s v="Masque Chirurgical 'The Lite One' Bleu"/>
    <n v="90"/>
    <n v="7"/>
    <n v="90"/>
    <s v="B300"/>
    <n v="80"/>
    <s v="34,35"/>
    <n v="92"/>
    <s v="19/02/2026"/>
    <n v="96"/>
  </r>
  <r>
    <x v="28"/>
    <x v="0"/>
    <x v="0"/>
    <d v="2026-02-27T12:44:21"/>
    <n v="81.459999999999994"/>
    <n v="143"/>
    <n v="0"/>
    <m/>
    <s v="mail - orders.be@duomed.com — Confirmation C007-S2607613-1"/>
    <s v="French"/>
    <x v="4"/>
    <x v="18"/>
    <n v="98"/>
    <s v="C007-S2607613-1"/>
    <n v="50"/>
    <s v="16/02/2026"/>
    <n v="50"/>
    <s v="Duomed Belgium NV/SA"/>
    <n v="50"/>
    <s v="MDC Alleur"/>
    <n v="50"/>
    <x v="0"/>
    <n v="50"/>
    <x v="4"/>
    <n v="50"/>
    <s v="57167-23188"/>
    <n v="95"/>
    <s v="Suction Bag + 2000ml Tubing 1,8M Ch25"/>
    <n v="92"/>
    <n v="1"/>
    <n v="92"/>
    <s v="B60"/>
    <n v="85"/>
    <s v="113,32"/>
    <n v="93"/>
    <s v="19/02/2026"/>
    <n v="96"/>
  </r>
  <r>
    <x v="28"/>
    <x v="0"/>
    <x v="0"/>
    <d v="2026-02-27T12:44:21"/>
    <n v="81.459999999999994"/>
    <n v="143"/>
    <n v="0"/>
    <m/>
    <s v="mail - orders.be@duomed.com — Confirmation C007-S2607613-1"/>
    <s v="French"/>
    <x v="5"/>
    <x v="18"/>
    <n v="98"/>
    <s v="C007-S2607613-1"/>
    <n v="50"/>
    <s v="16/02/2026"/>
    <n v="50"/>
    <s v="Duomed Belgium NV/SA"/>
    <n v="50"/>
    <s v="MDC Alleur"/>
    <n v="50"/>
    <x v="0"/>
    <n v="50"/>
    <x v="5"/>
    <n v="50"/>
    <s v="57187-23188"/>
    <n v="95"/>
    <s v="Suction Bag + 3000ml Tubing 1,8M Ch25"/>
    <n v="92"/>
    <n v="4"/>
    <n v="92"/>
    <s v="B60"/>
    <n v="85"/>
    <s v="113,32"/>
    <n v="93"/>
    <s v="19/02/2026"/>
    <n v="96"/>
  </r>
  <r>
    <x v="28"/>
    <x v="0"/>
    <x v="0"/>
    <d v="2026-02-27T12:44:21"/>
    <n v="81.459999999999994"/>
    <n v="143"/>
    <n v="0"/>
    <m/>
    <s v="mail - orders.be@duomed.com — Confirmation C007-S2607613-1"/>
    <s v="French"/>
    <x v="6"/>
    <x v="18"/>
    <n v="98"/>
    <s v="C007-S2607613-1"/>
    <n v="50"/>
    <s v="16/02/2026"/>
    <n v="50"/>
    <s v="Duomed Belgium NV/SA"/>
    <n v="50"/>
    <s v="MDC Alleur"/>
    <n v="50"/>
    <x v="0"/>
    <n v="50"/>
    <x v="6"/>
    <n v="50"/>
    <s v="733170"/>
    <n v="95"/>
    <s v="GAZ ligne de prélèvement 3 m, adulte GE: 2097307-002"/>
    <n v="90"/>
    <n v="6"/>
    <n v="90"/>
    <s v="B10"/>
    <n v="80"/>
    <s v="51,14"/>
    <n v="92"/>
    <s v="19/02/2026"/>
    <n v="96"/>
  </r>
  <r>
    <x v="28"/>
    <x v="0"/>
    <x v="0"/>
    <d v="2026-02-27T12:44:21"/>
    <n v="81.459999999999994"/>
    <n v="143"/>
    <n v="0"/>
    <m/>
    <s v="mail - orders.be@duomed.com — Confirmation C007-S2607613-1"/>
    <s v="French"/>
    <x v="7"/>
    <x v="18"/>
    <n v="98"/>
    <s v="C007-S2607613-1"/>
    <n v="50"/>
    <s v="16/02/2026"/>
    <n v="50"/>
    <s v="Duomed Belgium NV/SA"/>
    <n v="50"/>
    <s v="MDC Alleur"/>
    <n v="50"/>
    <x v="0"/>
    <n v="50"/>
    <x v="7"/>
    <n v="50"/>
    <s v="57710"/>
    <n v="95"/>
    <s v="Filtre Fumee Serres"/>
    <n v="88"/>
    <n v="2"/>
    <n v="88"/>
    <s v="B10"/>
    <n v="80"/>
    <s v="62,83"/>
    <n v="90"/>
    <s v="19/02/2026"/>
    <n v="96"/>
  </r>
  <r>
    <x v="28"/>
    <x v="0"/>
    <x v="0"/>
    <d v="2026-02-27T12:44:21"/>
    <n v="81.459999999999994"/>
    <n v="143"/>
    <n v="0"/>
    <m/>
    <s v="mail - orders.be@duomed.com — Confirmation C007-S2607613-1"/>
    <s v="French"/>
    <x v="8"/>
    <x v="18"/>
    <n v="98"/>
    <s v="C007-S2607613-1"/>
    <n v="50"/>
    <s v="16/02/2026"/>
    <n v="50"/>
    <s v="Duomed Belgium NV/SA"/>
    <n v="50"/>
    <s v="MDC Alleur"/>
    <n v="50"/>
    <x v="0"/>
    <n v="50"/>
    <x v="8"/>
    <n v="50"/>
    <s v="423289"/>
    <n v="95"/>
    <s v="Esenta Adhesive Remover Spray (1x50ml)"/>
    <n v="90"/>
    <n v="4"/>
    <n v="90"/>
    <s v="B12"/>
    <n v="80"/>
    <s v="271,19"/>
    <n v="93"/>
    <s v="19/02/2026"/>
    <n v="96"/>
  </r>
  <r>
    <x v="28"/>
    <x v="0"/>
    <x v="0"/>
    <d v="2026-02-27T12:44:21"/>
    <n v="81.459999999999994"/>
    <n v="143"/>
    <n v="0"/>
    <m/>
    <s v="mail - orders.be@duomed.com — Confirmation C007-S2607613-1"/>
    <s v="French"/>
    <x v="9"/>
    <x v="18"/>
    <n v="98"/>
    <s v="C007-S2607613-1"/>
    <n v="50"/>
    <s v="16/02/2026"/>
    <n v="50"/>
    <s v="Duomed Belgium NV/SA"/>
    <n v="50"/>
    <s v="MDC Alleur"/>
    <n v="50"/>
    <x v="0"/>
    <n v="50"/>
    <x v="9"/>
    <n v="50"/>
    <s v="1918687FA"/>
    <n v="95"/>
    <s v="Aniosafe Savon Doux Hf 30ml"/>
    <n v="92"/>
    <n v="1"/>
    <n v="92"/>
    <s v="B200"/>
    <n v="85"/>
    <s v="171,04"/>
    <n v="93"/>
    <s v="19/02/2026"/>
    <n v="96"/>
  </r>
  <r>
    <x v="28"/>
    <x v="0"/>
    <x v="0"/>
    <d v="2026-02-27T12:44:21"/>
    <n v="81.459999999999994"/>
    <n v="143"/>
    <n v="0"/>
    <m/>
    <s v="mail - orders.be@duomed.com — Confirmation C007-S2607613-1"/>
    <s v="French"/>
    <x v="10"/>
    <x v="18"/>
    <n v="98"/>
    <s v="C007-S2607613-1"/>
    <n v="50"/>
    <s v="16/02/2026"/>
    <n v="50"/>
    <s v="Duomed Belgium NV/SA"/>
    <n v="50"/>
    <s v="MDC Alleur"/>
    <n v="50"/>
    <x v="0"/>
    <n v="50"/>
    <x v="10"/>
    <n v="50"/>
    <s v="69490"/>
    <n v="95"/>
    <s v="**Film Gown Thumbs Up"/>
    <n v="88"/>
    <n v="2"/>
    <n v="88"/>
    <s v="B75"/>
    <n v="80"/>
    <s v="59,53"/>
    <n v="90"/>
    <s v="19/02/2026"/>
    <n v="96"/>
  </r>
  <r>
    <x v="29"/>
    <x v="0"/>
    <x v="1"/>
    <d v="2026-02-27T12:44:21"/>
    <n v="62"/>
    <n v="0"/>
    <n v="0"/>
    <m/>
    <s v="mail - sligroout_noreply@sligro.nl — Embal.bon_100726_Sligro_5061_klant_000142470"/>
    <m/>
    <x v="88"/>
    <x v="5"/>
    <m/>
    <m/>
    <m/>
    <m/>
    <m/>
    <m/>
    <m/>
    <m/>
    <m/>
    <x v="1"/>
    <m/>
    <x v="98"/>
    <m/>
    <m/>
    <m/>
    <m/>
    <m/>
    <m/>
    <m/>
    <m/>
    <m/>
    <m/>
    <m/>
    <m/>
    <m/>
  </r>
  <r>
    <x v="30"/>
    <x v="0"/>
    <x v="0"/>
    <d v="2026-02-27T12:44:21"/>
    <n v="89.99"/>
    <n v="26"/>
    <n v="0"/>
    <m/>
    <s v="mail - BD_Order_Confirmation@EUROPE.BD.COM — BD Order Acknowledgement for your purchase order with reference 1505040027"/>
    <s v="English"/>
    <x v="0"/>
    <x v="19"/>
    <n v="98"/>
    <s v="HWW/I01/B14211119"/>
    <n v="92"/>
    <s v="16/02/2026"/>
    <n v="92"/>
    <s v="Becton Dickinson BV"/>
    <n v="90"/>
    <s v="HOSPITAL LOGISTICS NEDERLAND B.V"/>
    <n v="88"/>
    <x v="0"/>
    <n v="95"/>
    <x v="0"/>
    <n v="96"/>
    <s v="367957"/>
    <n v="96"/>
    <s v="PL SSTII 1375 3,5ML PE"/>
    <n v="90"/>
    <n v="20"/>
    <n v="95"/>
    <s v="100 (unit pack)"/>
    <n v="60"/>
    <s v="12.22"/>
    <n v="90"/>
    <s v="24/02/2026"/>
    <n v="92"/>
  </r>
  <r>
    <x v="30"/>
    <x v="0"/>
    <x v="0"/>
    <d v="2026-02-27T12:44:21"/>
    <n v="89.99"/>
    <n v="26"/>
    <n v="0"/>
    <m/>
    <s v="mail - BD_Order_Confirmation@EUROPE.BD.COM — BD Order Acknowledgement for your purchase order with reference 1505040027"/>
    <s v="English"/>
    <x v="1"/>
    <x v="19"/>
    <n v="98"/>
    <s v="HWW/I01/B14211119"/>
    <n v="92"/>
    <s v="16/02/2026"/>
    <n v="92"/>
    <s v="Becton Dickinson BV"/>
    <n v="90"/>
    <s v="HOSPITAL LOGISTICS NEDERLAND B.V"/>
    <n v="88"/>
    <x v="0"/>
    <n v="95"/>
    <x v="1"/>
    <n v="96"/>
    <s v="CTS051D"/>
    <n v="85"/>
    <s v="HANDLING CHARGE VACUTAIN"/>
    <n v="86"/>
    <n v="1"/>
    <n v="92"/>
    <s v="1 (unit pack)"/>
    <n v="60"/>
    <s v="250.00"/>
    <n v="86"/>
    <s v="24/02/2026"/>
    <n v="90"/>
  </r>
  <r>
    <x v="31"/>
    <x v="0"/>
    <x v="0"/>
    <d v="2026-02-27T12:44:20"/>
    <n v="74.650000000000006"/>
    <n v="20"/>
    <n v="2"/>
    <m/>
    <s v="mail - sligroout_noreply@sligro.nl — Van Hoeckel leveringsinformatie"/>
    <s v="Dutch"/>
    <x v="0"/>
    <x v="5"/>
    <m/>
    <m/>
    <m/>
    <s v="17/02/2026"/>
    <n v="50"/>
    <s v="Van Hoeckel"/>
    <n v="50"/>
    <s v="Hospital Logistics Mdc"/>
    <n v="50"/>
    <x v="1"/>
    <m/>
    <x v="0"/>
    <n v="90"/>
    <s v="285668"/>
    <n v="95"/>
    <s v="150 Gr Pickwick Professional Green Tea Lemon Ft"/>
    <n v="90"/>
    <n v="40"/>
    <n v="95"/>
    <s v="Ds"/>
    <n v="90"/>
    <m/>
    <n v="10"/>
    <s v="17/02/2026"/>
    <n v="85"/>
  </r>
  <r>
    <x v="31"/>
    <x v="0"/>
    <x v="0"/>
    <d v="2026-02-27T12:44:20"/>
    <n v="74.650000000000006"/>
    <n v="20"/>
    <n v="2"/>
    <m/>
    <s v="mail - sligroout_noreply@sligro.nl — Van Hoeckel leveringsinformatie"/>
    <s v="Dutch"/>
    <x v="1"/>
    <x v="5"/>
    <m/>
    <m/>
    <m/>
    <s v="17/02/2026"/>
    <n v="50"/>
    <s v="Van Hoeckel"/>
    <n v="50"/>
    <s v="Hospital Logistics Mdc"/>
    <n v="50"/>
    <x v="1"/>
    <m/>
    <x v="1"/>
    <n v="85"/>
    <s v="285668"/>
    <n v="95"/>
    <s v="150 Gr Pickwick Professional Green Tea Lemon Ft"/>
    <n v="90"/>
    <n v="40"/>
    <n v="95"/>
    <s v="Ds"/>
    <n v="90"/>
    <m/>
    <n v="10"/>
    <s v="17/02/2026"/>
    <n v="85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0"/>
    <x v="20"/>
    <n v="50"/>
    <s v="HWW/I01/B14211315"/>
    <n v="50"/>
    <s v="16/02/2026"/>
    <n v="50"/>
    <s v="Becton Dickinson BV"/>
    <n v="50"/>
    <s v="Hospital Logistics"/>
    <n v="50"/>
    <x v="0"/>
    <n v="50"/>
    <x v="0"/>
    <n v="95"/>
    <s v="303172"/>
    <n v="92"/>
    <s v="TB ST 1 L Concentric EU"/>
    <n v="90"/>
    <n v="2"/>
    <n v="93"/>
    <m/>
    <m/>
    <s v="66.60"/>
    <n v="92"/>
    <s v="20/02/2026"/>
    <n v="94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1"/>
    <x v="20"/>
    <n v="50"/>
    <s v="HWW/I01/B14211315"/>
    <n v="50"/>
    <s v="16/02/2026"/>
    <n v="50"/>
    <s v="Becton Dickinson BV"/>
    <n v="50"/>
    <s v="Hospital Logistics"/>
    <n v="50"/>
    <x v="0"/>
    <n v="50"/>
    <x v="1"/>
    <n v="94"/>
    <s v="305959"/>
    <n v="90"/>
    <s v="L3 ST 10ML LL"/>
    <n v="88"/>
    <n v="2"/>
    <n v="92"/>
    <m/>
    <m/>
    <s v="50.01"/>
    <n v="90"/>
    <s v="20/02/2026"/>
    <n v="93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2"/>
    <x v="20"/>
    <n v="50"/>
    <s v="HWW/I01/B14211315"/>
    <n v="50"/>
    <s v="16/02/2026"/>
    <n v="50"/>
    <s v="Becton Dickinson BV"/>
    <n v="50"/>
    <s v="Hospital Logistics"/>
    <n v="50"/>
    <x v="0"/>
    <n v="50"/>
    <x v="2"/>
    <n v="93"/>
    <s v="301155"/>
    <n v="91"/>
    <s v="MICROLANCENAALD 21G2 0,80X50"/>
    <n v="89"/>
    <n v="40"/>
    <n v="92"/>
    <m/>
    <m/>
    <s v="2.36"/>
    <n v="90"/>
    <s v="20/02/2026"/>
    <n v="93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3"/>
    <x v="20"/>
    <n v="50"/>
    <s v="HWW/I01/B14211315"/>
    <n v="50"/>
    <s v="16/02/2026"/>
    <n v="50"/>
    <s v="Becton Dickinson BV"/>
    <n v="50"/>
    <s v="Hospital Logistics"/>
    <n v="50"/>
    <x v="0"/>
    <n v="50"/>
    <x v="3"/>
    <n v="93"/>
    <s v="303129"/>
    <n v="92"/>
    <s v="BLUNT NDL 18 G 1 1/2"/>
    <n v="90"/>
    <n v="2"/>
    <n v="92"/>
    <m/>
    <m/>
    <s v="205.50"/>
    <n v="92"/>
    <s v="20/02/2026"/>
    <n v="93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4"/>
    <x v="20"/>
    <n v="50"/>
    <s v="HWW/I01/B14211315"/>
    <n v="50"/>
    <s v="16/02/2026"/>
    <n v="50"/>
    <s v="Becton Dickinson BV"/>
    <n v="50"/>
    <s v="Hospital Logistics"/>
    <n v="50"/>
    <x v="0"/>
    <n v="50"/>
    <x v="4"/>
    <n v="92"/>
    <s v="309649"/>
    <n v="90"/>
    <s v="L3 ST 5 L C CE MARK US"/>
    <n v="88"/>
    <n v="1"/>
    <n v="92"/>
    <m/>
    <m/>
    <s v="49.29"/>
    <n v="90"/>
    <s v="20/02/2026"/>
    <n v="92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5"/>
    <x v="20"/>
    <n v="50"/>
    <s v="HWW/I01/B14211315"/>
    <n v="50"/>
    <s v="16/02/2026"/>
    <n v="50"/>
    <s v="Becton Dickinson BV"/>
    <n v="50"/>
    <s v="Hospital Logistics"/>
    <n v="50"/>
    <x v="0"/>
    <n v="50"/>
    <x v="5"/>
    <n v="92"/>
    <s v="300912"/>
    <n v="90"/>
    <s v="SPUIT 3-DELIG 10ML LUER LOK"/>
    <n v="88"/>
    <n v="1"/>
    <n v="92"/>
    <m/>
    <m/>
    <s v="51.64"/>
    <n v="90"/>
    <s v="20/02/2026"/>
    <n v="92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6"/>
    <x v="20"/>
    <n v="50"/>
    <s v="HWW/I01/B14211315"/>
    <n v="50"/>
    <s v="16/02/2026"/>
    <n v="50"/>
    <s v="Becton Dickinson BV"/>
    <n v="50"/>
    <s v="Hospital Logistics"/>
    <n v="50"/>
    <x v="0"/>
    <n v="50"/>
    <x v="6"/>
    <n v="92"/>
    <s v="301229"/>
    <n v="91"/>
    <s v="SPUIT 3-DELIG 30ML LUER LOK"/>
    <n v="89"/>
    <n v="2"/>
    <n v="92"/>
    <m/>
    <m/>
    <s v="139.71"/>
    <n v="91"/>
    <s v="20/02/2026"/>
    <n v="93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7"/>
    <x v="20"/>
    <n v="50"/>
    <s v="HWW/I01/B14211315"/>
    <n v="50"/>
    <s v="16/02/2026"/>
    <n v="50"/>
    <s v="Becton Dickinson BV"/>
    <n v="50"/>
    <s v="Hospital Logistics"/>
    <n v="50"/>
    <x v="0"/>
    <n v="50"/>
    <x v="7"/>
    <n v="90"/>
    <s v="385100"/>
    <n v="88"/>
    <s v="Q-SYTE device only"/>
    <n v="87"/>
    <n v="27"/>
    <n v="91"/>
    <m/>
    <m/>
    <s v="203.61"/>
    <n v="90"/>
    <s v="20/02/2026"/>
    <n v="92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8"/>
    <x v="20"/>
    <n v="50"/>
    <s v="HWW/I01/B14211315"/>
    <n v="50"/>
    <s v="16/02/2026"/>
    <n v="50"/>
    <s v="Becton Dickinson BV"/>
    <n v="50"/>
    <s v="Hospital Logistics"/>
    <n v="50"/>
    <x v="0"/>
    <n v="50"/>
    <x v="8"/>
    <n v="92"/>
    <s v="305211"/>
    <n v="90"/>
    <s v="Transfernaald 18G1 1/2 + filter 0,5"/>
    <n v="89"/>
    <n v="10"/>
    <n v="92"/>
    <m/>
    <m/>
    <s v="13.67"/>
    <n v="90"/>
    <s v="20/02/2026"/>
    <n v="93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9"/>
    <x v="20"/>
    <n v="50"/>
    <s v="HWW/I01/B14211315"/>
    <n v="50"/>
    <s v="16/02/2026"/>
    <n v="50"/>
    <s v="Becton Dickinson BV"/>
    <n v="50"/>
    <s v="Hospital Logistics"/>
    <n v="50"/>
    <x v="0"/>
    <n v="50"/>
    <x v="9"/>
    <n v="92"/>
    <s v="442023"/>
    <n v="90"/>
    <s v="BCTC PLSTC AER/F"/>
    <n v="89"/>
    <n v="13"/>
    <n v="92"/>
    <m/>
    <m/>
    <s v="144.03"/>
    <n v="90"/>
    <s v="20/02/2026"/>
    <n v="93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10"/>
    <x v="20"/>
    <n v="50"/>
    <s v="HWW/I01/B14211315"/>
    <n v="50"/>
    <s v="16/02/2026"/>
    <n v="50"/>
    <s v="Becton Dickinson BV"/>
    <n v="50"/>
    <s v="Hospital Logistics"/>
    <n v="50"/>
    <x v="0"/>
    <n v="50"/>
    <x v="10"/>
    <n v="92"/>
    <s v="383532"/>
    <n v="91"/>
    <s v="NEXIVA 22GA 1.00IN Y"/>
    <n v="89"/>
    <n v="10"/>
    <n v="92"/>
    <m/>
    <m/>
    <s v="228.87"/>
    <n v="91"/>
    <s v="20/02/2026"/>
    <n v="93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11"/>
    <x v="20"/>
    <n v="50"/>
    <s v="HWW/I01/B14211315"/>
    <n v="50"/>
    <s v="16/02/2026"/>
    <n v="50"/>
    <s v="Becton Dickinson BV"/>
    <n v="50"/>
    <s v="Hospital Logistics"/>
    <n v="50"/>
    <x v="0"/>
    <n v="50"/>
    <x v="99"/>
    <n v="92"/>
    <s v="442021"/>
    <n v="91"/>
    <s v="1CTC PLSTC LTC/10 ANAE/F"/>
    <n v="89"/>
    <n v="13"/>
    <n v="92"/>
    <m/>
    <m/>
    <s v="136.61"/>
    <n v="91"/>
    <s v="20/02/2026"/>
    <n v="93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12"/>
    <x v="20"/>
    <n v="50"/>
    <s v="HWW/I01/B14211315"/>
    <n v="50"/>
    <s v="16/02/2026"/>
    <n v="50"/>
    <s v="Becton Dickinson BV"/>
    <n v="50"/>
    <s v="Hospital Logistics"/>
    <n v="50"/>
    <x v="0"/>
    <n v="50"/>
    <x v="100"/>
    <n v="92"/>
    <s v="367864"/>
    <n v="92"/>
    <s v="Buis K2E 6ml - paars"/>
    <n v="90"/>
    <n v="1"/>
    <n v="92"/>
    <m/>
    <m/>
    <s v="82.61"/>
    <n v="91"/>
    <s v="20/02/2026"/>
    <n v="93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13"/>
    <x v="20"/>
    <n v="50"/>
    <s v="HWW/I01/B14211315"/>
    <n v="50"/>
    <s v="16/02/2026"/>
    <n v="50"/>
    <s v="Becton Dickinson BV"/>
    <n v="50"/>
    <s v="Hospital Logistics"/>
    <n v="50"/>
    <x v="0"/>
    <n v="50"/>
    <x v="101"/>
    <n v="92"/>
    <s v="383537"/>
    <n v="92"/>
    <s v="NEXIVA 20GA 1.25IN HF Y"/>
    <n v="90"/>
    <n v="28"/>
    <n v="92"/>
    <m/>
    <m/>
    <s v="58.00"/>
    <n v="91"/>
    <s v="20/02/2026"/>
    <n v="93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14"/>
    <x v="20"/>
    <n v="50"/>
    <s v="HWW/I01/B14211315"/>
    <n v="50"/>
    <s v="16/02/2026"/>
    <n v="50"/>
    <s v="Becton Dickinson BV"/>
    <n v="50"/>
    <s v="Hospital Logistics"/>
    <n v="50"/>
    <x v="0"/>
    <n v="50"/>
    <x v="102"/>
    <n v="92"/>
    <s v="300865"/>
    <n v="91"/>
    <s v="SPUIT 3-DELIG 50/60 ML LUER-LOK"/>
    <n v="89"/>
    <n v="96"/>
    <n v="92"/>
    <m/>
    <m/>
    <s v="20.45"/>
    <n v="91"/>
    <s v="20/02/2026"/>
    <n v="93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15"/>
    <x v="20"/>
    <n v="50"/>
    <s v="HWW/I01/B14211315"/>
    <n v="50"/>
    <s v="16/02/2026"/>
    <n v="50"/>
    <s v="Becton Dickinson BV"/>
    <n v="50"/>
    <s v="Hospital Logistics"/>
    <n v="50"/>
    <x v="0"/>
    <n v="50"/>
    <x v="103"/>
    <n v="92"/>
    <s v="393229"/>
    <n v="91"/>
    <s v="VENFLON PRO SAFETY 16 GA"/>
    <n v="89"/>
    <n v="10"/>
    <n v="92"/>
    <m/>
    <m/>
    <s v="40.28"/>
    <n v="91"/>
    <s v="20/02/2026"/>
    <n v="93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16"/>
    <x v="20"/>
    <n v="50"/>
    <s v="HWW/I01/B14211315"/>
    <n v="50"/>
    <s v="16/02/2026"/>
    <n v="50"/>
    <s v="Becton Dickinson BV"/>
    <n v="50"/>
    <s v="Hospital Logistics"/>
    <n v="50"/>
    <x v="0"/>
    <n v="50"/>
    <x v="104"/>
    <n v="91"/>
    <s v="393226"/>
    <n v="91"/>
    <s v="VENFLON PRO SAFETY 18 GA"/>
    <n v="89"/>
    <n v="1"/>
    <n v="91"/>
    <m/>
    <m/>
    <s v="453.33"/>
    <n v="90"/>
    <s v="20/02/2026"/>
    <n v="92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17"/>
    <x v="20"/>
    <n v="50"/>
    <s v="HWW/I01/B14211315"/>
    <n v="50"/>
    <s v="16/02/2026"/>
    <n v="50"/>
    <s v="Becton Dickinson BV"/>
    <n v="50"/>
    <s v="Hospital Logistics"/>
    <n v="50"/>
    <x v="0"/>
    <n v="50"/>
    <x v="105"/>
    <n v="91"/>
    <s v="393224"/>
    <n v="90"/>
    <s v="VENFLON PRO SAFETY 20 GA"/>
    <n v="89"/>
    <n v="3"/>
    <n v="91"/>
    <m/>
    <m/>
    <s v="400.13"/>
    <n v="90"/>
    <s v="20/02/2026"/>
    <n v="92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18"/>
    <x v="20"/>
    <n v="50"/>
    <s v="HWW/I01/B14211315"/>
    <n v="50"/>
    <s v="16/02/2026"/>
    <n v="50"/>
    <s v="Becton Dickinson BV"/>
    <n v="50"/>
    <s v="Hospital Logistics"/>
    <n v="50"/>
    <x v="0"/>
    <n v="50"/>
    <x v="106"/>
    <n v="91"/>
    <s v="682245"/>
    <n v="91"/>
    <s v="ARTERIE CANULE 20 G 1.0*45 MM"/>
    <n v="89"/>
    <n v="9"/>
    <n v="91"/>
    <m/>
    <m/>
    <s v="59.77"/>
    <n v="90"/>
    <s v="20/02/2026"/>
    <n v="92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19"/>
    <x v="20"/>
    <n v="50"/>
    <s v="HWW/I01/B14211315"/>
    <n v="50"/>
    <s v="16/02/2026"/>
    <n v="50"/>
    <s v="Becton Dickinson BV"/>
    <n v="50"/>
    <s v="Hospital Logistics"/>
    <n v="50"/>
    <x v="0"/>
    <n v="50"/>
    <x v="16"/>
    <n v="91"/>
    <s v="364915"/>
    <n v="91"/>
    <s v="Buis urine UA 11ml - beige"/>
    <n v="89"/>
    <n v="5"/>
    <n v="91"/>
    <m/>
    <m/>
    <s v="101.48"/>
    <n v="90"/>
    <s v="20/02/2026"/>
    <n v="92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20"/>
    <x v="20"/>
    <n v="50"/>
    <s v="HWW/I01/B14211315"/>
    <n v="50"/>
    <s v="16/02/2026"/>
    <n v="50"/>
    <s v="Becton Dickinson BV"/>
    <n v="50"/>
    <s v="Hospital Logistics"/>
    <n v="50"/>
    <x v="0"/>
    <n v="50"/>
    <x v="107"/>
    <n v="91"/>
    <s v="360075"/>
    <n v="91"/>
    <s v="EDTA PLH 16X100 10.0 USI"/>
    <n v="89"/>
    <n v="1"/>
    <n v="91"/>
    <m/>
    <m/>
    <s v="133.32"/>
    <n v="90"/>
    <s v="20/02/2026"/>
    <n v="92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21"/>
    <x v="20"/>
    <n v="50"/>
    <s v="HWW/I01/B14211315"/>
    <n v="50"/>
    <s v="16/02/2026"/>
    <n v="50"/>
    <s v="Becton Dickinson BV"/>
    <n v="50"/>
    <s v="Hospital Logistics"/>
    <n v="50"/>
    <x v="0"/>
    <n v="50"/>
    <x v="108"/>
    <n v="91"/>
    <s v="368609"/>
    <n v="90"/>
    <s v="ECLIPSE naald 21G 1,25&quot; groen"/>
    <n v="89"/>
    <n v="26"/>
    <n v="91"/>
    <m/>
    <m/>
    <s v="70.77"/>
    <n v="90"/>
    <s v="20/02/2026"/>
    <n v="92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22"/>
    <x v="20"/>
    <n v="50"/>
    <s v="HWW/I01/B14211315"/>
    <n v="50"/>
    <s v="16/02/2026"/>
    <n v="50"/>
    <s v="Becton Dickinson BV"/>
    <n v="50"/>
    <s v="Hospital Logistics"/>
    <n v="50"/>
    <x v="0"/>
    <n v="50"/>
    <x v="109"/>
    <n v="91"/>
    <s v="360074"/>
    <n v="90"/>
    <s v="EDTA PLH 13X75 4.0 USI L"/>
    <n v="89"/>
    <n v="30"/>
    <n v="91"/>
    <m/>
    <m/>
    <s v="7.58"/>
    <n v="90"/>
    <s v="20/02/2026"/>
    <n v="92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23"/>
    <x v="20"/>
    <n v="50"/>
    <s v="HWW/I01/B14211315"/>
    <n v="50"/>
    <s v="16/02/2026"/>
    <n v="50"/>
    <s v="Becton Dickinson BV"/>
    <n v="50"/>
    <s v="Hospital Logistics"/>
    <n v="50"/>
    <x v="0"/>
    <n v="50"/>
    <x v="110"/>
    <n v="91"/>
    <s v="368503"/>
    <n v="90"/>
    <s v="TUBE-U PLN 13X75 USI"/>
    <n v="89"/>
    <n v="2"/>
    <n v="91"/>
    <m/>
    <m/>
    <s v="97.72"/>
    <n v="90"/>
    <s v="20/02/2026"/>
    <n v="92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24"/>
    <x v="20"/>
    <n v="50"/>
    <s v="HWW/I01/B14211315"/>
    <n v="50"/>
    <s v="16/02/2026"/>
    <n v="50"/>
    <s v="Becton Dickinson BV"/>
    <n v="50"/>
    <s v="Hospital Logistics"/>
    <n v="50"/>
    <x v="0"/>
    <n v="50"/>
    <x v="111"/>
    <n v="91"/>
    <s v="364941"/>
    <n v="90"/>
    <s v="Urinecontainer 120ml"/>
    <n v="89"/>
    <n v="3"/>
    <n v="91"/>
    <m/>
    <m/>
    <s v="47.46"/>
    <n v="90"/>
    <s v="20/02/2026"/>
    <n v="92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25"/>
    <x v="20"/>
    <n v="50"/>
    <s v="HWW/I01/B14211315"/>
    <n v="50"/>
    <s v="16/02/2026"/>
    <n v="50"/>
    <s v="Becton Dickinson BV"/>
    <n v="50"/>
    <s v="Hospital Logistics"/>
    <n v="50"/>
    <x v="0"/>
    <n v="50"/>
    <x v="112"/>
    <n v="91"/>
    <s v="364815"/>
    <n v="90"/>
    <s v="Naaldhouder wit (Single use)"/>
    <n v="89"/>
    <n v="3"/>
    <n v="91"/>
    <m/>
    <m/>
    <s v="25.41"/>
    <n v="90"/>
    <s v="20/02/2026"/>
    <n v="92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26"/>
    <x v="20"/>
    <n v="50"/>
    <s v="HWW/I01/B14211315"/>
    <n v="50"/>
    <s v="16/02/2026"/>
    <n v="50"/>
    <s v="Becton Dickinson BV"/>
    <n v="50"/>
    <s v="Hospital Logistics"/>
    <n v="50"/>
    <x v="0"/>
    <n v="50"/>
    <x v="113"/>
    <n v="91"/>
    <s v="442020"/>
    <n v="90"/>
    <s v="BCTC PLSTC PEDS PLUS/F"/>
    <n v="89"/>
    <n v="1"/>
    <n v="91"/>
    <m/>
    <m/>
    <s v="146.34"/>
    <n v="90"/>
    <s v="20/02/2026"/>
    <n v="92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27"/>
    <x v="20"/>
    <n v="50"/>
    <s v="HWW/I01/B14211315"/>
    <n v="50"/>
    <s v="16/02/2026"/>
    <n v="50"/>
    <s v="Becton Dickinson BV"/>
    <n v="50"/>
    <s v="Hospital Logistics"/>
    <n v="50"/>
    <x v="0"/>
    <n v="50"/>
    <x v="114"/>
    <n v="91"/>
    <s v="364984"/>
    <n v="90"/>
    <s v="24HR URINE CONTAINER"/>
    <n v="89"/>
    <n v="2"/>
    <n v="91"/>
    <m/>
    <m/>
    <s v="32.01"/>
    <n v="90"/>
    <s v="20/02/2026"/>
    <n v="92"/>
  </r>
  <r>
    <x v="32"/>
    <x v="0"/>
    <x v="0"/>
    <d v="2026-02-27T12:44:20"/>
    <n v="78.03"/>
    <n v="348"/>
    <n v="0"/>
    <m/>
    <s v="mail - BD_Order_Confirmation@EUROPE.BD.COM — BD Order Acknowledgement for your purchase order with reference 3504015923"/>
    <s v="English"/>
    <x v="28"/>
    <x v="20"/>
    <n v="50"/>
    <s v="HWW/I01/B14211315"/>
    <n v="50"/>
    <s v="16/02/2026"/>
    <n v="50"/>
    <s v="Becton Dickinson BV"/>
    <n v="50"/>
    <s v="Hospital Logistics"/>
    <n v="50"/>
    <x v="0"/>
    <n v="50"/>
    <x v="115"/>
    <n v="91"/>
    <s v="391380"/>
    <n v="90"/>
    <s v="NEOFLON PRO 24GA"/>
    <n v="89"/>
    <n v="1"/>
    <n v="91"/>
    <m/>
    <m/>
    <s v="122.44"/>
    <n v="90"/>
    <s v="20/02/2026"/>
    <n v="92"/>
  </r>
  <r>
    <x v="33"/>
    <x v="0"/>
    <x v="0"/>
    <d v="2026-02-27T12:44:20"/>
    <n v="93.11"/>
    <n v="13"/>
    <n v="0"/>
    <m/>
    <s v="mail - mail@kingbelgium.be — Bevestiging bestelling  S09313437-1"/>
    <s v="Dutch"/>
    <x v="0"/>
    <x v="21"/>
    <n v="90"/>
    <s v="S09313437-IRIS"/>
    <n v="95"/>
    <s v="13/02/2026"/>
    <n v="95"/>
    <s v="King Belgium SA/NV"/>
    <n v="95"/>
    <s v="IMELDA ZIEKENHUIS (Hospital Logistics Magazijn)"/>
    <n v="90"/>
    <x v="0"/>
    <n v="95"/>
    <x v="0"/>
    <n v="95"/>
    <s v="603402000"/>
    <n v="95"/>
    <s v="INNER LAYER BLUE 2.0 25X30CM (1000) (.) Kilometerheffing/Redev"/>
    <n v="90"/>
    <n v="1"/>
    <n v="95"/>
    <s v="CS"/>
    <n v="80"/>
    <s v="68,30 EUR / CS"/>
    <n v="90"/>
    <s v="17/02/2026"/>
    <n v="95"/>
  </r>
  <r>
    <x v="34"/>
    <x v="0"/>
    <x v="0"/>
    <d v="2026-02-27T12:44:20"/>
    <n v="90.31"/>
    <n v="13"/>
    <n v="0"/>
    <m/>
    <s v="mail - mail@kingbelgium.be — Bevestiging bestelling  S09313425-1"/>
    <s v="Dutch"/>
    <x v="0"/>
    <x v="22"/>
    <n v="95"/>
    <s v="S09313425-IRIS"/>
    <n v="95"/>
    <s v="13/02/2026"/>
    <n v="90"/>
    <s v="King Belgium SA/NV"/>
    <n v="90"/>
    <s v="IMELDA ZIEKENHUIS (Hospital Logistics Magazijn)"/>
    <n v="90"/>
    <x v="0"/>
    <n v="98"/>
    <x v="0"/>
    <n v="90"/>
    <s v="733300/GEN"/>
    <n v="90"/>
    <s v="BEKER KARTON GEN LICHTBLAUW D.89.8 H.113MM - 300/360ML (20X50)"/>
    <n v="90"/>
    <n v="1"/>
    <n v="95"/>
    <s v="CS"/>
    <n v="85"/>
    <s v="42,35 / CS"/>
    <n v="92"/>
    <s v="17/02/2026"/>
    <n v="95"/>
  </r>
  <r>
    <x v="35"/>
    <x v="0"/>
    <x v="0"/>
    <d v="2026-02-27T12:44:20"/>
    <n v="93.8"/>
    <n v="13"/>
    <n v="0"/>
    <m/>
    <s v="mail - orders.be@essity.com — 2501209992 ESSITY Orderbevestiging"/>
    <s v="Dutch"/>
    <x v="0"/>
    <x v="23"/>
    <n v="98"/>
    <s v="3004528695"/>
    <n v="97"/>
    <s v="12/02/2026"/>
    <n v="97"/>
    <s v="Essity Belgium NV"/>
    <n v="92"/>
    <s v="Hospital Logistics N.V."/>
    <n v="92"/>
    <x v="0"/>
    <n v="96"/>
    <x v="9"/>
    <n v="95"/>
    <s v="7151700"/>
    <n v="95"/>
    <s v="TEG TUBA 17.5CM X 10M SZJ W 1 INT."/>
    <n v="93"/>
    <n v="11"/>
    <n v="96"/>
    <s v="PC"/>
    <n v="94"/>
    <s v="23,19 EUR / 1 PC"/>
    <n v="95"/>
    <s v="16/02/2026"/>
    <n v="96"/>
  </r>
  <r>
    <x v="36"/>
    <x v="1"/>
    <x v="1"/>
    <d v="2026-02-27T12:44:20"/>
    <n v="15"/>
    <n v="0"/>
    <n v="0"/>
    <m/>
    <s v="mail - RS.BENELUXCS@MEDTRONIC.COM — RE: FW: Opvolging openstaande orders"/>
    <m/>
    <x v="88"/>
    <x v="5"/>
    <m/>
    <m/>
    <m/>
    <m/>
    <m/>
    <m/>
    <m/>
    <m/>
    <m/>
    <x v="1"/>
    <m/>
    <x v="98"/>
    <m/>
    <m/>
    <m/>
    <m/>
    <m/>
    <m/>
    <m/>
    <m/>
    <m/>
    <m/>
    <m/>
    <m/>
    <m/>
  </r>
  <r>
    <x v="37"/>
    <x v="0"/>
    <x v="0"/>
    <d v="2026-02-27T12:44:20"/>
    <n v="84.74"/>
    <n v="13"/>
    <n v="0"/>
    <m/>
    <s v="mail - mail@kingbelgium.be — Bevestiging bestelling  S09313481-1"/>
    <s v="Dutch"/>
    <x v="0"/>
    <x v="24"/>
    <n v="95"/>
    <s v="S09313481-IRIS"/>
    <n v="92"/>
    <s v="13/02/2026"/>
    <n v="95"/>
    <s v="King Belgium SA/NV"/>
    <n v="85"/>
    <s v="HOSPITAL LOGISTICS MAGAZIJN"/>
    <n v="88"/>
    <x v="0"/>
    <n v="95"/>
    <x v="0"/>
    <n v="80"/>
    <s v="617002000T"/>
    <n v="95"/>
    <s v="SEALCHECK ISP®180MM (250) (.) Kilometerheffing/Redev"/>
    <n v="88"/>
    <n v="1"/>
    <n v="95"/>
    <s v="CS"/>
    <n v="86"/>
    <s v="122,46 / CS"/>
    <n v="90"/>
    <s v="17/02/2026"/>
    <n v="95"/>
  </r>
  <r>
    <x v="38"/>
    <x v="0"/>
    <x v="0"/>
    <d v="2026-02-27T12:44:20"/>
    <n v="90.92"/>
    <n v="13"/>
    <n v="0"/>
    <m/>
    <s v="mail - orders.be@hartmann.info — Hartmann : Order bevestiging"/>
    <s v="Dutch"/>
    <x v="0"/>
    <x v="25"/>
    <n v="95"/>
    <s v="42252343"/>
    <n v="98"/>
    <s v="04/02/2026"/>
    <n v="98"/>
    <s v="N.V. PAUL HARTMANN S.A."/>
    <n v="98"/>
    <s v="Hospital Logistics NV"/>
    <n v="95"/>
    <x v="0"/>
    <n v="95"/>
    <x v="9"/>
    <n v="90"/>
    <s v="9008736"/>
    <n v="90"/>
    <s v="COSMOPOR E latexfree 10x8cm"/>
    <n v="90"/>
    <n v="25"/>
    <n v="88"/>
    <s v="p/s"/>
    <n v="85"/>
    <s v="37,17 EUR"/>
    <n v="90"/>
    <s v="06/02/2026"/>
    <n v="85"/>
  </r>
  <r>
    <x v="20"/>
    <x v="0"/>
    <x v="0"/>
    <d v="2026-02-27T12:44:20"/>
    <n v="91.03"/>
    <n v="13"/>
    <n v="0"/>
    <m/>
    <s v="mail - noreply@medica-europe.nl — Orderbevestiging/Orderacknowledgement: 3505026688"/>
    <s v="Dutch"/>
    <x v="0"/>
    <x v="12"/>
    <n v="99"/>
    <s v="MM581258"/>
    <n v="95"/>
    <s v="16/02/2026"/>
    <n v="95"/>
    <s v="Medica Europe B.V."/>
    <n v="95"/>
    <s v="Hospital Logistics"/>
    <n v="80"/>
    <x v="0"/>
    <n v="95"/>
    <x v="0"/>
    <n v="98"/>
    <s v="77022"/>
    <n v="98"/>
    <s v="MASK,PROC,IIR,EARLOOPS KZDC120012"/>
    <n v="95"/>
    <n v="15"/>
    <n v="95"/>
    <s v="2000"/>
    <n v="50"/>
    <s v="60,15"/>
    <n v="90"/>
    <s v="18/02/2026"/>
    <n v="95"/>
  </r>
  <r>
    <x v="39"/>
    <x v="0"/>
    <x v="0"/>
    <d v="2026-02-27T12:44:20"/>
    <n v="93.11"/>
    <n v="26"/>
    <n v="0"/>
    <m/>
    <s v="mail - mail@kingbelgium.be — Confirmation Commande S09313483-1"/>
    <s v="French"/>
    <x v="0"/>
    <x v="26"/>
    <n v="98"/>
    <s v="S09313483-IRIS"/>
    <n v="95"/>
    <s v="13/02/2026"/>
    <n v="95"/>
    <s v="King Belgium SA/NV"/>
    <n v="90"/>
    <s v="MDC ALLEUR (HOSPITAL LOGISTICS)"/>
    <n v="92"/>
    <x v="0"/>
    <n v="95"/>
    <x v="0"/>
    <n v="90"/>
    <s v="650100100"/>
    <n v="95"/>
    <s v="EXEOL GEL 82 1L AIRLESS -BE-REG-01751 (12X1L)"/>
    <n v="90"/>
    <n v="1"/>
    <n v="95"/>
    <s v="CS"/>
    <n v="85"/>
    <s v="59,86 EUR / CS"/>
    <n v="92"/>
    <s v="17/02/2026"/>
    <n v="95"/>
  </r>
  <r>
    <x v="39"/>
    <x v="0"/>
    <x v="0"/>
    <d v="2026-02-27T12:44:20"/>
    <n v="93.11"/>
    <n v="26"/>
    <n v="0"/>
    <m/>
    <s v="mail - mail@kingbelgium.be — Confirmation Commande S09313483-1"/>
    <s v="French"/>
    <x v="1"/>
    <x v="26"/>
    <n v="98"/>
    <s v="S09313483-IRIS"/>
    <n v="95"/>
    <s v="13/02/2026"/>
    <n v="95"/>
    <s v="King Belgium SA/NV"/>
    <n v="90"/>
    <s v="MDC ALLEUR (HOSPITAL LOGISTICS)"/>
    <n v="92"/>
    <x v="0"/>
    <n v="95"/>
    <x v="1"/>
    <n v="90"/>
    <s v="705773100"/>
    <n v="95"/>
    <s v="CREME MAINS EXEOL CARE TUBE (70X100ML)"/>
    <n v="90"/>
    <n v="4"/>
    <n v="95"/>
    <s v="CS"/>
    <n v="85"/>
    <s v="280,00 EUR / CS"/>
    <n v="92"/>
    <s v="17/02/2026"/>
    <n v="95"/>
  </r>
  <r>
    <x v="35"/>
    <x v="0"/>
    <x v="0"/>
    <d v="2026-02-27T12:44:20"/>
    <n v="66.8"/>
    <n v="12"/>
    <n v="0"/>
    <m/>
    <s v="mail - orders.be@essity.com — 2501209992 ESSITY Orderbevestiging"/>
    <s v="Dutch"/>
    <x v="0"/>
    <x v="23"/>
    <n v="50"/>
    <s v="3004528695"/>
    <n v="50"/>
    <s v="12/02/2026"/>
    <n v="50"/>
    <s v="Essity Belgium NV"/>
    <n v="50"/>
    <s v="Hospital Logistics N.V."/>
    <n v="50"/>
    <x v="0"/>
    <n v="50"/>
    <x v="9"/>
    <n v="50"/>
    <s v="7151700"/>
    <n v="50"/>
    <s v="TEG TUBA 17.5CM X 10M SZ | W 1 INT."/>
    <n v="50"/>
    <n v="11"/>
    <n v="50"/>
    <s v="PC"/>
    <n v="50"/>
    <m/>
    <m/>
    <s v="16/02/2026"/>
    <n v="50"/>
  </r>
  <r>
    <x v="40"/>
    <x v="0"/>
    <x v="1"/>
    <d v="2026-02-27T12:44:20"/>
    <n v="62"/>
    <n v="0"/>
    <n v="0"/>
    <m/>
    <s v="mail - sligroout_noreply@sligro.nl — Informatie betreffende een JAVA levering"/>
    <m/>
    <x v="88"/>
    <x v="5"/>
    <m/>
    <m/>
    <m/>
    <m/>
    <m/>
    <m/>
    <m/>
    <m/>
    <m/>
    <x v="1"/>
    <m/>
    <x v="98"/>
    <m/>
    <m/>
    <m/>
    <m/>
    <m/>
    <m/>
    <m/>
    <m/>
    <m/>
    <m/>
    <m/>
    <m/>
    <m/>
  </r>
  <r>
    <x v="41"/>
    <x v="0"/>
    <x v="0"/>
    <d v="2026-02-27T12:44:20"/>
    <n v="92.42"/>
    <n v="26"/>
    <n v="0"/>
    <m/>
    <s v="mail - CSC.NL@MOLNLYCKE.COM — * Orderbevestiging 3505026677"/>
    <s v="Dutch"/>
    <x v="0"/>
    <x v="27"/>
    <n v="98"/>
    <s v="904370121"/>
    <n v="95"/>
    <s v="13/02/2026"/>
    <n v="95"/>
    <s v="Mölnlycke Health Care B.V."/>
    <n v="96"/>
    <s v="Hospital Logistics"/>
    <n v="92"/>
    <x v="0"/>
    <n v="90"/>
    <x v="0"/>
    <n v="90"/>
    <s v="580204-00"/>
    <n v="94"/>
    <s v="Operatiejas Primary Plus SP XXL-L"/>
    <n v="92"/>
    <n v="640"/>
    <n v="92"/>
    <s v="PC"/>
    <n v="90"/>
    <s v="206,48 EUR"/>
    <n v="85"/>
    <s v="17/02/2026"/>
    <n v="88"/>
  </r>
  <r>
    <x v="41"/>
    <x v="0"/>
    <x v="0"/>
    <d v="2026-02-27T12:44:20"/>
    <n v="92.42"/>
    <n v="26"/>
    <n v="0"/>
    <m/>
    <s v="mail - CSC.NL@MOLNLYCKE.COM — * Orderbevestiging 3505026677"/>
    <s v="Dutch"/>
    <x v="1"/>
    <x v="27"/>
    <n v="98"/>
    <s v="904370121"/>
    <n v="95"/>
    <s v="13/02/2026"/>
    <n v="95"/>
    <s v="Mölnlycke Health Care B.V."/>
    <n v="96"/>
    <s v="Hospital Logistics"/>
    <n v="92"/>
    <x v="0"/>
    <n v="90"/>
    <x v="1"/>
    <n v="90"/>
    <s v="1932-20"/>
    <n v="94"/>
    <s v="Beschermjas Blauw Ondoordringbaar L"/>
    <n v="90"/>
    <n v="50"/>
    <n v="92"/>
    <s v="PC"/>
    <n v="90"/>
    <s v="107,69 EUR"/>
    <n v="85"/>
    <s v="17/02/2026"/>
    <n v="88"/>
  </r>
  <r>
    <x v="42"/>
    <x v="0"/>
    <x v="0"/>
    <d v="2026-02-27T12:44:20"/>
    <n v="89.11"/>
    <n v="13"/>
    <n v="0"/>
    <m/>
    <s v="mail - CSC.NL@MOLNLYCKE.COM — * Orderbevestiging 1504026582"/>
    <s v="Dutch"/>
    <x v="0"/>
    <x v="28"/>
    <n v="95"/>
    <s v="904370151"/>
    <n v="92"/>
    <s v="13/02/2026"/>
    <n v="95"/>
    <s v="Mölnlycke Health Care B.V."/>
    <n v="90"/>
    <s v="Hospital Logistics"/>
    <n v="90"/>
    <x v="0"/>
    <n v="95"/>
    <x v="0"/>
    <n v="80"/>
    <s v="73275-02"/>
    <n v="95"/>
    <s v="Biogel Eclipse Ind Uglove 7,5 - 4x50x2"/>
    <n v="90"/>
    <n v="600"/>
    <n v="95"/>
    <s v="PC"/>
    <n v="95"/>
    <s v="78,08 EUR"/>
    <n v="90"/>
    <s v="19/02/2026"/>
    <n v="95"/>
  </r>
  <r>
    <x v="40"/>
    <x v="1"/>
    <x v="1"/>
    <d v="2026-02-27T12:44:20"/>
    <n v="25"/>
    <n v="0"/>
    <n v="0"/>
    <m/>
    <s v="mail - sligroout_noreply@sligro.nl — Informatie betreffende een JAVA levering"/>
    <m/>
    <x v="88"/>
    <x v="5"/>
    <m/>
    <m/>
    <m/>
    <m/>
    <m/>
    <m/>
    <m/>
    <m/>
    <m/>
    <x v="1"/>
    <m/>
    <x v="98"/>
    <m/>
    <m/>
    <m/>
    <m/>
    <m/>
    <m/>
    <m/>
    <m/>
    <m/>
    <m/>
    <m/>
    <m/>
    <m/>
  </r>
  <r>
    <x v="12"/>
    <x v="0"/>
    <x v="1"/>
    <d v="2026-02-27T12:44:20"/>
    <n v="65"/>
    <n v="0"/>
    <n v="0"/>
    <m/>
    <s v="mail - sligroout_noreply@sligro.nl — JAVA leveringsinformatie"/>
    <m/>
    <x v="88"/>
    <x v="5"/>
    <m/>
    <m/>
    <m/>
    <m/>
    <m/>
    <m/>
    <m/>
    <m/>
    <m/>
    <x v="1"/>
    <m/>
    <x v="98"/>
    <m/>
    <m/>
    <m/>
    <m/>
    <m/>
    <m/>
    <m/>
    <m/>
    <m/>
    <m/>
    <m/>
    <m/>
    <m/>
  </r>
  <r>
    <x v="43"/>
    <x v="0"/>
    <x v="0"/>
    <d v="2026-02-27T12:44:20"/>
    <n v="65.55"/>
    <n v="273"/>
    <n v="0"/>
    <m/>
    <s v="mail - CSC.NL@MOLNLYCKE.COM — * Orderbevestiging 3504015911"/>
    <s v="Dutch"/>
    <x v="0"/>
    <x v="29"/>
    <n v="98"/>
    <s v="904369777"/>
    <n v="95"/>
    <s v="13/02/2026"/>
    <n v="95"/>
    <s v="Mölnlycke Health Care B.V."/>
    <n v="92"/>
    <s v="Hospital Logistics"/>
    <n v="90"/>
    <x v="0"/>
    <n v="95"/>
    <x v="0"/>
    <n v="50"/>
    <s v="82280-01"/>
    <n v="92"/>
    <s v="Biogel Surgeons 8,0 - 4x50x2"/>
    <n v="90"/>
    <n v="200"/>
    <n v="90"/>
    <s v="PC"/>
    <n v="88"/>
    <s v="59,67 EUR"/>
    <n v="90"/>
    <s v="19/02/2026"/>
    <n v="92"/>
  </r>
  <r>
    <x v="43"/>
    <x v="0"/>
    <x v="0"/>
    <d v="2026-02-27T12:44:20"/>
    <n v="65.55"/>
    <n v="273"/>
    <n v="0"/>
    <m/>
    <s v="mail - CSC.NL@MOLNLYCKE.COM — * Orderbevestiging 3504015911"/>
    <s v="Dutch"/>
    <x v="1"/>
    <x v="29"/>
    <n v="50"/>
    <s v="904369777"/>
    <n v="50"/>
    <s v="13/02/2026"/>
    <n v="50"/>
    <s v="Mölnlycke Health Care B.V."/>
    <n v="50"/>
    <s v="Hospital Logistics"/>
    <n v="50"/>
    <x v="0"/>
    <n v="50"/>
    <x v="1"/>
    <n v="50"/>
    <s v="50975-00"/>
    <n v="50"/>
    <s v="Biogel Skinsense 7,5 - 4x50x2"/>
    <n v="50"/>
    <n v="200"/>
    <n v="50"/>
    <s v="PC"/>
    <n v="50"/>
    <s v="95,47 EUR"/>
    <n v="50"/>
    <s v="19/02/2026"/>
    <n v="50"/>
  </r>
  <r>
    <x v="43"/>
    <x v="0"/>
    <x v="0"/>
    <d v="2026-02-27T12:44:20"/>
    <n v="65.55"/>
    <n v="273"/>
    <n v="0"/>
    <m/>
    <s v="mail - CSC.NL@MOLNLYCKE.COM — * Orderbevestiging 3504015911"/>
    <s v="Dutch"/>
    <x v="2"/>
    <x v="29"/>
    <n v="50"/>
    <s v="904369777"/>
    <n v="50"/>
    <s v="13/02/2026"/>
    <n v="50"/>
    <s v="Mölnlycke Health Care B.V."/>
    <n v="50"/>
    <s v="Hospital Logistics"/>
    <n v="50"/>
    <x v="0"/>
    <n v="50"/>
    <x v="2"/>
    <n v="50"/>
    <s v="73260-02"/>
    <n v="50"/>
    <s v="Biogel Eclipse Ind U glove 6,0 - 4x50x2"/>
    <n v="50"/>
    <n v="200"/>
    <n v="50"/>
    <s v="PC"/>
    <n v="50"/>
    <s v="78,08 EUR"/>
    <n v="50"/>
    <s v="19/02/2026"/>
    <n v="50"/>
  </r>
  <r>
    <x v="43"/>
    <x v="0"/>
    <x v="0"/>
    <d v="2026-02-27T12:44:20"/>
    <n v="65.55"/>
    <n v="273"/>
    <n v="0"/>
    <m/>
    <s v="mail - CSC.NL@MOLNLYCKE.COM — * Orderbevestiging 3504015911"/>
    <s v="Dutch"/>
    <x v="3"/>
    <x v="29"/>
    <n v="50"/>
    <s v="904369777"/>
    <n v="50"/>
    <s v="13/02/2026"/>
    <n v="50"/>
    <s v="Mölnlycke Health Care B.V."/>
    <n v="50"/>
    <s v="Hospital Logistics"/>
    <n v="50"/>
    <x v="0"/>
    <n v="50"/>
    <x v="3"/>
    <n v="50"/>
    <s v="73265-02"/>
    <n v="50"/>
    <s v="Biogel Eclipse Ind U glove 6,5 - 4x50x2"/>
    <n v="50"/>
    <n v="200"/>
    <n v="50"/>
    <s v="PC"/>
    <n v="50"/>
    <s v="78,08 EUR"/>
    <n v="50"/>
    <s v="19/02/2026"/>
    <n v="50"/>
  </r>
  <r>
    <x v="43"/>
    <x v="0"/>
    <x v="0"/>
    <d v="2026-02-27T12:44:20"/>
    <n v="65.55"/>
    <n v="273"/>
    <n v="0"/>
    <m/>
    <s v="mail - CSC.NL@MOLNLYCKE.COM — * Orderbevestiging 3504015911"/>
    <s v="Dutch"/>
    <x v="4"/>
    <x v="29"/>
    <n v="50"/>
    <s v="904369777"/>
    <n v="50"/>
    <s v="13/02/2026"/>
    <n v="50"/>
    <s v="Mölnlycke Health Care B.V."/>
    <n v="50"/>
    <s v="Hospital Logistics"/>
    <n v="50"/>
    <x v="0"/>
    <n v="50"/>
    <x v="4"/>
    <n v="50"/>
    <s v="73270-02"/>
    <n v="50"/>
    <s v="Biogel Eclipse Ind U glove 7,0 - 4x50x2"/>
    <n v="50"/>
    <n v="400"/>
    <n v="50"/>
    <s v="PC"/>
    <n v="50"/>
    <s v="78,08 EUR"/>
    <n v="50"/>
    <s v="19/02/2026"/>
    <n v="50"/>
  </r>
  <r>
    <x v="43"/>
    <x v="0"/>
    <x v="0"/>
    <d v="2026-02-27T12:44:20"/>
    <n v="65.55"/>
    <n v="273"/>
    <n v="0"/>
    <m/>
    <s v="mail - CSC.NL@MOLNLYCKE.COM — * Orderbevestiging 3504015911"/>
    <s v="Dutch"/>
    <x v="5"/>
    <x v="29"/>
    <n v="50"/>
    <s v="904369777"/>
    <n v="50"/>
    <s v="13/02/2026"/>
    <n v="50"/>
    <s v="Mölnlycke Health Care B.V."/>
    <n v="50"/>
    <s v="Hospital Logistics"/>
    <n v="50"/>
    <x v="0"/>
    <n v="50"/>
    <x v="5"/>
    <n v="50"/>
    <s v="73280-02"/>
    <n v="50"/>
    <s v="Biogel Eclipse Ind U glove 8,0 - 4x50x2"/>
    <n v="50"/>
    <n v="400"/>
    <n v="50"/>
    <s v="PC"/>
    <n v="50"/>
    <s v="78,08 EUR"/>
    <n v="50"/>
    <s v="19/02/2026"/>
    <n v="50"/>
  </r>
  <r>
    <x v="43"/>
    <x v="0"/>
    <x v="0"/>
    <d v="2026-02-27T12:44:20"/>
    <n v="65.55"/>
    <n v="273"/>
    <n v="0"/>
    <m/>
    <s v="mail - CSC.NL@MOLNLYCKE.COM — * Orderbevestiging 3504015911"/>
    <s v="Dutch"/>
    <x v="6"/>
    <x v="29"/>
    <n v="50"/>
    <s v="904369777"/>
    <n v="50"/>
    <s v="13/02/2026"/>
    <n v="50"/>
    <s v="Mölnlycke Health Care B.V."/>
    <n v="50"/>
    <s v="Hospital Logistics"/>
    <n v="50"/>
    <x v="0"/>
    <n v="50"/>
    <x v="6"/>
    <n v="50"/>
    <s v="82265-01"/>
    <n v="50"/>
    <s v="Biogel Surgeons 6,5 - 4x50x2"/>
    <n v="50"/>
    <n v="400"/>
    <n v="50"/>
    <s v="PC"/>
    <n v="50"/>
    <s v="59,67 EUR"/>
    <n v="50"/>
    <s v="19/02/2026"/>
    <n v="50"/>
  </r>
  <r>
    <x v="43"/>
    <x v="0"/>
    <x v="0"/>
    <d v="2026-02-27T12:44:20"/>
    <n v="65.55"/>
    <n v="273"/>
    <n v="0"/>
    <m/>
    <s v="mail - CSC.NL@MOLNLYCKE.COM — * Orderbevestiging 3504015911"/>
    <s v="Dutch"/>
    <x v="7"/>
    <x v="29"/>
    <n v="50"/>
    <s v="904369777"/>
    <n v="50"/>
    <s v="13/02/2026"/>
    <n v="50"/>
    <s v="Mölnlycke Health Care B.V."/>
    <n v="50"/>
    <s v="Hospital Logistics"/>
    <n v="50"/>
    <x v="0"/>
    <n v="50"/>
    <x v="7"/>
    <n v="50"/>
    <s v="82270-01"/>
    <n v="50"/>
    <s v="Biogel Surgeons 7,0 - 4x50x2"/>
    <n v="50"/>
    <n v="400"/>
    <n v="50"/>
    <s v="PC"/>
    <n v="50"/>
    <s v="59,67 EUR"/>
    <n v="50"/>
    <s v="19/02/2026"/>
    <n v="50"/>
  </r>
  <r>
    <x v="43"/>
    <x v="0"/>
    <x v="0"/>
    <d v="2026-02-27T12:44:20"/>
    <n v="65.55"/>
    <n v="273"/>
    <n v="0"/>
    <m/>
    <s v="mail - CSC.NL@MOLNLYCKE.COM — * Orderbevestiging 3504015911"/>
    <s v="Dutch"/>
    <x v="8"/>
    <x v="29"/>
    <n v="50"/>
    <s v="904369777"/>
    <n v="50"/>
    <s v="13/02/2026"/>
    <n v="50"/>
    <s v="Mölnlycke Health Care B.V."/>
    <n v="50"/>
    <s v="Hospital Logistics"/>
    <n v="50"/>
    <x v="0"/>
    <n v="50"/>
    <x v="8"/>
    <n v="50"/>
    <s v="82560-01"/>
    <n v="50"/>
    <s v="Biogel Super-Sensitive 6,0 - 4x50x2"/>
    <n v="50"/>
    <n v="200"/>
    <n v="50"/>
    <s v="PC"/>
    <n v="50"/>
    <s v="59,67 EUR"/>
    <n v="50"/>
    <s v="19/02/2026"/>
    <n v="50"/>
  </r>
  <r>
    <x v="43"/>
    <x v="0"/>
    <x v="0"/>
    <d v="2026-02-27T12:44:20"/>
    <n v="65.55"/>
    <n v="273"/>
    <n v="0"/>
    <m/>
    <s v="mail - CSC.NL@MOLNLYCKE.COM — * Orderbevestiging 3504015911"/>
    <s v="Dutch"/>
    <x v="9"/>
    <x v="29"/>
    <n v="50"/>
    <s v="904369777"/>
    <n v="50"/>
    <s v="13/02/2026"/>
    <n v="50"/>
    <s v="Mölnlycke Health Care B.V."/>
    <n v="50"/>
    <s v="Hospital Logistics"/>
    <n v="50"/>
    <x v="0"/>
    <n v="50"/>
    <x v="9"/>
    <n v="50"/>
    <s v="82575-01"/>
    <n v="50"/>
    <s v="Biogel Super-Sensitive 7,5 - 4x50x2"/>
    <n v="50"/>
    <n v="400"/>
    <n v="50"/>
    <s v="PC"/>
    <n v="50"/>
    <s v="59,67 EUR"/>
    <n v="50"/>
    <s v="19/02/2026"/>
    <n v="50"/>
  </r>
  <r>
    <x v="43"/>
    <x v="0"/>
    <x v="0"/>
    <d v="2026-02-27T12:44:20"/>
    <n v="65.55"/>
    <n v="273"/>
    <n v="0"/>
    <m/>
    <s v="mail - CSC.NL@MOLNLYCKE.COM — * Orderbevestiging 3504015911"/>
    <s v="Dutch"/>
    <x v="10"/>
    <x v="29"/>
    <n v="50"/>
    <s v="904369777"/>
    <n v="50"/>
    <s v="13/02/2026"/>
    <n v="50"/>
    <s v="Mölnlycke Health Care B.V."/>
    <n v="50"/>
    <s v="Hospital Logistics"/>
    <n v="50"/>
    <x v="0"/>
    <n v="50"/>
    <x v="10"/>
    <n v="50"/>
    <s v="82580-01"/>
    <n v="50"/>
    <s v="Biogel Super-Sensitive 8,0 - 4x50x2"/>
    <n v="50"/>
    <n v="400"/>
    <n v="50"/>
    <s v="PC"/>
    <n v="50"/>
    <s v="59,67 EUR"/>
    <n v="50"/>
    <s v="19/02/2026"/>
    <n v="50"/>
  </r>
  <r>
    <x v="43"/>
    <x v="0"/>
    <x v="0"/>
    <d v="2026-02-27T12:44:20"/>
    <n v="65.55"/>
    <n v="273"/>
    <n v="0"/>
    <m/>
    <s v="mail - CSC.NL@MOLNLYCKE.COM — * Orderbevestiging 3504015911"/>
    <s v="Dutch"/>
    <x v="11"/>
    <x v="29"/>
    <n v="50"/>
    <s v="904369777"/>
    <n v="50"/>
    <s v="13/02/2026"/>
    <n v="50"/>
    <s v="Mölnlycke Health Care B.V."/>
    <n v="50"/>
    <s v="Hospital Logistics"/>
    <n v="50"/>
    <x v="0"/>
    <n v="50"/>
    <x v="99"/>
    <n v="50"/>
    <s v="289200-01"/>
    <n v="80"/>
    <s v="Mepitel One 8x10 cm"/>
    <n v="78"/>
    <n v="150"/>
    <n v="80"/>
    <s v="PC"/>
    <n v="50"/>
    <s v="132,19 EUR"/>
    <n v="50"/>
    <s v="19/02/2026"/>
    <n v="50"/>
  </r>
  <r>
    <x v="43"/>
    <x v="0"/>
    <x v="0"/>
    <d v="2026-02-27T12:44:20"/>
    <n v="65.55"/>
    <n v="273"/>
    <n v="0"/>
    <m/>
    <s v="mail - CSC.NL@MOLNLYCKE.COM — * Orderbevestiging 3504015911"/>
    <s v="Dutch"/>
    <x v="12"/>
    <x v="29"/>
    <n v="50"/>
    <s v="904369777"/>
    <n v="50"/>
    <s v="13/02/2026"/>
    <n v="50"/>
    <s v="Mölnlycke Health Care B.V."/>
    <n v="50"/>
    <s v="Hospital Logistics"/>
    <n v="50"/>
    <x v="0"/>
    <n v="50"/>
    <x v="100"/>
    <n v="50"/>
    <s v="82555-01"/>
    <n v="50"/>
    <s v="Biogel Super-Sensitive 5,5 - 4x50x2"/>
    <n v="50"/>
    <n v="200"/>
    <n v="50"/>
    <s v="PC"/>
    <n v="50"/>
    <s v="59,67 EUR"/>
    <n v="50"/>
    <s v="19/02/2026"/>
    <n v="50"/>
  </r>
  <r>
    <x v="43"/>
    <x v="0"/>
    <x v="0"/>
    <d v="2026-02-27T12:44:20"/>
    <n v="65.55"/>
    <n v="273"/>
    <n v="0"/>
    <m/>
    <s v="mail - CSC.NL@MOLNLYCKE.COM — * Orderbevestiging 3504015911"/>
    <s v="Dutch"/>
    <x v="13"/>
    <x v="29"/>
    <n v="50"/>
    <s v="904369777"/>
    <n v="50"/>
    <s v="13/02/2026"/>
    <n v="50"/>
    <s v="Mölnlycke Health Care B.V."/>
    <n v="50"/>
    <s v="Hospital Logistics"/>
    <n v="50"/>
    <x v="0"/>
    <n v="50"/>
    <x v="101"/>
    <n v="50"/>
    <s v="580103-00"/>
    <n v="50"/>
    <s v="Primary Plus OJ SP XL-L, 144 cm"/>
    <n v="50"/>
    <n v="1280"/>
    <n v="50"/>
    <s v="PC"/>
    <n v="50"/>
    <s v="169,27 EUR"/>
    <n v="50"/>
    <s v="19/02/2026"/>
    <n v="50"/>
  </r>
  <r>
    <x v="43"/>
    <x v="0"/>
    <x v="0"/>
    <d v="2026-02-27T12:44:20"/>
    <n v="65.55"/>
    <n v="273"/>
    <n v="0"/>
    <m/>
    <s v="mail - CSC.NL@MOLNLYCKE.COM — * Orderbevestiging 3504015911"/>
    <s v="Dutch"/>
    <x v="14"/>
    <x v="29"/>
    <n v="50"/>
    <s v="904369777"/>
    <n v="50"/>
    <s v="13/02/2026"/>
    <n v="50"/>
    <s v="Mölnlycke Health Care B.V."/>
    <n v="50"/>
    <s v="Hospital Logistics"/>
    <n v="50"/>
    <x v="0"/>
    <n v="50"/>
    <x v="102"/>
    <n v="50"/>
    <s v="590105-00"/>
    <n v="50"/>
    <s v="Primary Plus OJ HP XXL-XL, 157 cm"/>
    <n v="50"/>
    <n v="140"/>
    <n v="50"/>
    <s v="PC"/>
    <n v="50"/>
    <s v="218,02 EUR"/>
    <n v="85"/>
    <s v="19/02/2026"/>
    <n v="50"/>
  </r>
  <r>
    <x v="43"/>
    <x v="0"/>
    <x v="0"/>
    <d v="2026-02-27T12:44:20"/>
    <n v="65.55"/>
    <n v="273"/>
    <n v="0"/>
    <m/>
    <s v="mail - CSC.NL@MOLNLYCKE.COM — * Orderbevestiging 3504015911"/>
    <s v="Dutch"/>
    <x v="15"/>
    <x v="29"/>
    <n v="50"/>
    <s v="904369777"/>
    <n v="50"/>
    <s v="13/02/2026"/>
    <n v="50"/>
    <s v="Mölnlycke Health Care B.V."/>
    <n v="50"/>
    <s v="Hospital Logistics"/>
    <n v="50"/>
    <x v="0"/>
    <n v="50"/>
    <x v="103"/>
    <n v="50"/>
    <s v="580101-00"/>
    <n v="50"/>
    <s v="Primary Plus OJ SP L-L, 134 cm"/>
    <n v="50"/>
    <n v="72"/>
    <n v="50"/>
    <s v="PC"/>
    <n v="50"/>
    <s v="192,86 EUR"/>
    <n v="50"/>
    <s v="19/02/2026"/>
    <n v="50"/>
  </r>
  <r>
    <x v="43"/>
    <x v="0"/>
    <x v="0"/>
    <d v="2026-02-27T12:44:20"/>
    <n v="65.55"/>
    <n v="273"/>
    <n v="0"/>
    <m/>
    <s v="mail - CSC.NL@MOLNLYCKE.COM — * Orderbevestiging 3504015911"/>
    <s v="Dutch"/>
    <x v="16"/>
    <x v="29"/>
    <n v="50"/>
    <s v="904369777"/>
    <n v="50"/>
    <s v="13/02/2026"/>
    <n v="50"/>
    <s v="Mölnlycke Health Care B.V."/>
    <n v="50"/>
    <s v="Hospital Logistics"/>
    <n v="50"/>
    <x v="0"/>
    <n v="50"/>
    <x v="104"/>
    <n v="50"/>
    <s v="621500-16"/>
    <n v="50"/>
    <s v="Operatietmuts Annie, L, Mixed"/>
    <n v="50"/>
    <n v="2400"/>
    <n v="50"/>
    <s v="PC"/>
    <n v="50"/>
    <s v="9,49 EUR"/>
    <n v="50"/>
    <s v="19/02/2026"/>
    <n v="50"/>
  </r>
  <r>
    <x v="43"/>
    <x v="0"/>
    <x v="0"/>
    <d v="2026-02-27T12:44:20"/>
    <n v="65.55"/>
    <n v="273"/>
    <n v="0"/>
    <m/>
    <s v="mail - CSC.NL@MOLNLYCKE.COM — * Orderbevestiging 3504015911"/>
    <s v="Dutch"/>
    <x v="17"/>
    <x v="29"/>
    <n v="50"/>
    <s v="904369777"/>
    <n v="50"/>
    <s v="13/02/2026"/>
    <n v="50"/>
    <s v="Mölnlycke Health Care B.V."/>
    <n v="50"/>
    <s v="Hospital Logistics"/>
    <n v="50"/>
    <x v="0"/>
    <n v="50"/>
    <x v="105"/>
    <n v="50"/>
    <s v="4315-00"/>
    <n v="50"/>
    <s v="Ext Prot, spatb, oorlus, blauw, IIR"/>
    <n v="50"/>
    <n v="32400"/>
    <n v="50"/>
    <s v="PC"/>
    <n v="50"/>
    <s v="11,81 EUR"/>
    <n v="50"/>
    <s v="19/02/2026"/>
    <n v="50"/>
  </r>
  <r>
    <x v="43"/>
    <x v="0"/>
    <x v="0"/>
    <d v="2026-02-27T12:44:20"/>
    <n v="65.55"/>
    <n v="273"/>
    <n v="0"/>
    <m/>
    <s v="mail - CSC.NL@MOLNLYCKE.COM — * Orderbevestiging 3504015911"/>
    <s v="Dutch"/>
    <x v="18"/>
    <x v="29"/>
    <n v="50"/>
    <s v="904369777"/>
    <n v="50"/>
    <s v="13/02/2026"/>
    <n v="50"/>
    <s v="Mölnlycke Health Care B.V."/>
    <n v="50"/>
    <s v="Hospital Logistics"/>
    <n v="50"/>
    <x v="0"/>
    <n v="50"/>
    <x v="106"/>
    <n v="50"/>
    <s v="658391-01"/>
    <n v="50"/>
    <s v="masker ext conf/prot,vis,vormh,IRR, wit"/>
    <n v="50"/>
    <n v="2000"/>
    <n v="88"/>
    <s v="PC"/>
    <n v="50"/>
    <s v="12,64 EUR"/>
    <n v="50"/>
    <s v="19/02/2026"/>
    <n v="50"/>
  </r>
  <r>
    <x v="43"/>
    <x v="0"/>
    <x v="0"/>
    <d v="2026-02-27T12:44:20"/>
    <n v="65.55"/>
    <n v="273"/>
    <n v="0"/>
    <m/>
    <s v="mail - CSC.NL@MOLNLYCKE.COM — * Orderbevestiging 3504015911"/>
    <s v="Dutch"/>
    <x v="19"/>
    <x v="29"/>
    <n v="50"/>
    <s v="904369777"/>
    <n v="50"/>
    <s v="13/02/2026"/>
    <n v="50"/>
    <s v="Mölnlycke Health Care B.V."/>
    <n v="50"/>
    <s v="Hospital Logistics"/>
    <n v="50"/>
    <x v="0"/>
    <n v="50"/>
    <x v="16"/>
    <n v="50"/>
    <s v="621001-24"/>
    <n v="50"/>
    <s v="Operatiemuts Kosack, Violet"/>
    <n v="50"/>
    <n v="2880"/>
    <n v="85"/>
    <s v="PC"/>
    <n v="50"/>
    <s v="14,42 EUR"/>
    <n v="50"/>
    <s v="19/02/2026"/>
    <n v="50"/>
  </r>
  <r>
    <x v="43"/>
    <x v="0"/>
    <x v="0"/>
    <d v="2026-02-27T12:44:20"/>
    <n v="65.55"/>
    <n v="273"/>
    <n v="0"/>
    <m/>
    <s v="mail - CSC.NL@MOLNLYCKE.COM — * Orderbevestiging 3504015911"/>
    <s v="Dutch"/>
    <x v="20"/>
    <x v="29"/>
    <n v="50"/>
    <s v="904369777"/>
    <n v="50"/>
    <s v="13/02/2026"/>
    <n v="50"/>
    <s v="Mölnlycke Health Care B.V."/>
    <n v="50"/>
    <s v="Hospital Logistics"/>
    <n v="50"/>
    <x v="0"/>
    <n v="50"/>
    <x v="107"/>
    <n v="50"/>
    <s v="621005-24"/>
    <n v="50"/>
    <s v="Operatiemuts Kosack, Blauw"/>
    <n v="50"/>
    <n v="960"/>
    <n v="50"/>
    <s v="PC"/>
    <n v="50"/>
    <s v="11,10 EUR"/>
    <n v="50"/>
    <s v="19/02/2026"/>
    <n v="50"/>
  </r>
  <r>
    <x v="40"/>
    <x v="1"/>
    <x v="1"/>
    <d v="2026-02-27T12:44:20"/>
    <n v="28"/>
    <n v="0"/>
    <n v="0"/>
    <m/>
    <s v="mail - sligroout_noreply@sligro.nl — Informatie betreffende een JAVA levering"/>
    <m/>
    <x v="88"/>
    <x v="5"/>
    <m/>
    <m/>
    <m/>
    <m/>
    <m/>
    <m/>
    <m/>
    <m/>
    <m/>
    <x v="1"/>
    <m/>
    <x v="98"/>
    <m/>
    <m/>
    <m/>
    <m/>
    <m/>
    <m/>
    <m/>
    <m/>
    <m/>
    <m/>
    <m/>
    <m/>
    <m/>
  </r>
  <r>
    <x v="44"/>
    <x v="0"/>
    <x v="0"/>
    <d v="2026-02-27T12:44:20"/>
    <n v="65.2"/>
    <n v="13"/>
    <n v="0"/>
    <m/>
    <s v="mail - CSC.BE@MOLNLYCKE.COM — * Orderbevestiging 1501037327"/>
    <s v="Dutch"/>
    <x v="0"/>
    <x v="30"/>
    <n v="50"/>
    <s v="904370127"/>
    <n v="50"/>
    <s v="13/02/2026"/>
    <n v="50"/>
    <s v="Mölnlycke Health Care NV"/>
    <n v="50"/>
    <s v="Hospital Logistics NV"/>
    <n v="50"/>
    <x v="0"/>
    <n v="50"/>
    <x v="0"/>
    <n v="50"/>
    <s v="97075106-04"/>
    <n v="50"/>
    <s v="Plastische Heelkunde AZ Diest"/>
    <n v="50"/>
    <n v="12"/>
    <n v="50"/>
    <s v="PC"/>
    <n v="50"/>
    <s v="1,00 EUR"/>
    <n v="50"/>
    <s v="17/02/2026"/>
    <n v="50"/>
  </r>
  <r>
    <x v="45"/>
    <x v="1"/>
    <x v="1"/>
    <d v="2026-02-27T12:44:20"/>
    <n v="25"/>
    <n v="0"/>
    <n v="0"/>
    <m/>
    <s v="mail - MOLNLYCKECSC.NETHERLANDS@molnlycke.com — RE: Verwachte leverdatum"/>
    <m/>
    <x v="88"/>
    <x v="5"/>
    <m/>
    <m/>
    <m/>
    <m/>
    <m/>
    <m/>
    <m/>
    <m/>
    <m/>
    <x v="1"/>
    <m/>
    <x v="98"/>
    <m/>
    <m/>
    <m/>
    <m/>
    <m/>
    <m/>
    <m/>
    <m/>
    <m/>
    <m/>
    <m/>
    <m/>
    <m/>
  </r>
  <r>
    <x v="8"/>
    <x v="0"/>
    <x v="1"/>
    <d v="2026-02-27T12:44:18"/>
    <n v="60"/>
    <n v="0"/>
    <n v="0"/>
    <m/>
    <s v="mail - infonl@vygon.com — Betreft: Overzicht van nog te leveren Vygon producten"/>
    <m/>
    <x v="88"/>
    <x v="5"/>
    <m/>
    <m/>
    <m/>
    <m/>
    <m/>
    <m/>
    <m/>
    <m/>
    <m/>
    <x v="1"/>
    <m/>
    <x v="98"/>
    <m/>
    <m/>
    <m/>
    <m/>
    <m/>
    <m/>
    <m/>
    <m/>
    <m/>
    <m/>
    <m/>
    <m/>
    <m/>
  </r>
  <r>
    <x v="8"/>
    <x v="1"/>
    <x v="1"/>
    <d v="2026-02-27T12:44:18"/>
    <n v="22"/>
    <n v="0"/>
    <n v="0"/>
    <m/>
    <s v="mail - infonl@vygon.com — Betreft: Overzicht van nog te leveren Vygon producten"/>
    <m/>
    <x v="88"/>
    <x v="5"/>
    <m/>
    <m/>
    <m/>
    <m/>
    <m/>
    <m/>
    <m/>
    <m/>
    <m/>
    <x v="1"/>
    <m/>
    <x v="98"/>
    <m/>
    <m/>
    <m/>
    <m/>
    <m/>
    <m/>
    <m/>
    <m/>
    <m/>
    <m/>
    <m/>
    <m/>
    <m/>
  </r>
  <r>
    <x v="46"/>
    <x v="0"/>
    <x v="0"/>
    <d v="2026-02-27T12:44:18"/>
    <n v="76.81"/>
    <n v="78"/>
    <n v="0"/>
    <m/>
    <s v="mail - info@g3-medical.nl — Verkooporder SO00454662 / 3504015927"/>
    <s v="Dutch"/>
    <x v="0"/>
    <x v="15"/>
    <n v="98"/>
    <s v="SO00454662"/>
    <n v="98"/>
    <s v="16/02/2026"/>
    <n v="95"/>
    <s v="G3 Medical B.V."/>
    <n v="95"/>
    <s v="Hospital Logistics Nederland B.V."/>
    <n v="90"/>
    <x v="0"/>
    <n v="95"/>
    <x v="0"/>
    <n v="95"/>
    <s v="880205"/>
    <n v="95"/>
    <s v="Swann Morton 0205, chirurgisch mesje nr.15, steriel, disposable, carbonstaal, per stuk, 100st/ds"/>
    <n v="90"/>
    <n v="10"/>
    <n v="95"/>
    <s v="Dozen"/>
    <n v="90"/>
    <s v="14,43"/>
    <n v="95"/>
    <s v="18/02/2026"/>
    <n v="96"/>
  </r>
  <r>
    <x v="46"/>
    <x v="0"/>
    <x v="0"/>
    <d v="2026-02-27T12:44:18"/>
    <n v="76.81"/>
    <n v="78"/>
    <n v="0"/>
    <m/>
    <s v="mail - info@g3-medical.nl — Verkooporder SO00454662 / 3504015927"/>
    <s v="Dutch"/>
    <x v="1"/>
    <x v="15"/>
    <n v="50"/>
    <s v="SO00454662"/>
    <n v="50"/>
    <s v="16/02/2026"/>
    <n v="50"/>
    <s v="G3 Medical B.V."/>
    <n v="50"/>
    <s v="Hospital Logistics Nederland B.V."/>
    <n v="50"/>
    <x v="0"/>
    <n v="50"/>
    <x v="1"/>
    <n v="50"/>
    <s v="512026"/>
    <n v="95"/>
    <s v="CuraSpon anale tampon, gelatine sponges, 30x80mm, steriel 15x1st/ds"/>
    <n v="90"/>
    <n v="2"/>
    <n v="95"/>
    <s v="Dozen"/>
    <n v="90"/>
    <s v="62,55"/>
    <n v="95"/>
    <s v="18/02/2026"/>
    <n v="50"/>
  </r>
  <r>
    <x v="46"/>
    <x v="0"/>
    <x v="0"/>
    <d v="2026-02-27T12:44:18"/>
    <n v="76.81"/>
    <n v="78"/>
    <n v="0"/>
    <m/>
    <s v="mail - info@g3-medical.nl — Verkooporder SO00454662 / 3504015927"/>
    <s v="Dutch"/>
    <x v="2"/>
    <x v="15"/>
    <n v="50"/>
    <s v="SO00454662"/>
    <n v="50"/>
    <s v="16/02/2026"/>
    <n v="50"/>
    <s v="G3 Medical B.V."/>
    <n v="50"/>
    <s v="Hospital Logistics Nederland B.V."/>
    <n v="50"/>
    <x v="0"/>
    <n v="50"/>
    <x v="2"/>
    <n v="50"/>
    <s v="512028"/>
    <n v="95"/>
    <s v="CuraSpon standaard, gelatine sponges, 80x50x10mm, steriel, 20x1st/ds"/>
    <n v="90"/>
    <n v="2"/>
    <n v="95"/>
    <s v="Dozen"/>
    <n v="90"/>
    <s v="33,75"/>
    <n v="95"/>
    <s v="18/02/2026"/>
    <n v="50"/>
  </r>
  <r>
    <x v="46"/>
    <x v="0"/>
    <x v="0"/>
    <d v="2026-02-27T12:44:18"/>
    <n v="76.81"/>
    <n v="78"/>
    <n v="0"/>
    <m/>
    <s v="mail - info@g3-medical.nl — Verkooporder SO00454662 / 3504015927"/>
    <s v="Dutch"/>
    <x v="3"/>
    <x v="15"/>
    <n v="50"/>
    <s v="SO00454662"/>
    <n v="50"/>
    <s v="16/02/2026"/>
    <n v="50"/>
    <s v="G3 Medical B.V."/>
    <n v="50"/>
    <s v="Hospital Logistics Nederland B.V."/>
    <n v="50"/>
    <x v="0"/>
    <n v="50"/>
    <x v="3"/>
    <n v="50"/>
    <s v="512025"/>
    <n v="95"/>
    <s v="CuraSpon Cube, gelatine sponges, 10x10x10mm steriel, 50x1st/ds"/>
    <n v="90"/>
    <n v="9"/>
    <n v="95"/>
    <s v="Dozen"/>
    <n v="90"/>
    <s v="16,42"/>
    <n v="95"/>
    <s v="18/02/2026"/>
    <n v="50"/>
  </r>
  <r>
    <x v="46"/>
    <x v="0"/>
    <x v="0"/>
    <d v="2026-02-27T12:44:18"/>
    <n v="76.81"/>
    <n v="78"/>
    <n v="0"/>
    <m/>
    <s v="mail - info@g3-medical.nl — Verkooporder SO00454662 / 3504015927"/>
    <s v="Dutch"/>
    <x v="4"/>
    <x v="15"/>
    <n v="50"/>
    <s v="SO00454662"/>
    <n v="50"/>
    <s v="16/02/2026"/>
    <n v="50"/>
    <s v="G3 Medical B.V."/>
    <n v="50"/>
    <s v="Hospital Logistics Nederland B.V."/>
    <n v="50"/>
    <x v="0"/>
    <n v="50"/>
    <x v="4"/>
    <n v="50"/>
    <s v="700719"/>
    <n v="95"/>
    <s v="Carebowl L, disposable pulp nierbekken schaal, grijs, (4x75st) 300st/ds"/>
    <n v="90"/>
    <n v="28"/>
    <n v="95"/>
    <s v="Dozen"/>
    <n v="90"/>
    <s v="25,61"/>
    <n v="95"/>
    <s v="18/02/2026"/>
    <n v="50"/>
  </r>
  <r>
    <x v="46"/>
    <x v="0"/>
    <x v="0"/>
    <d v="2026-02-27T12:44:18"/>
    <n v="76.81"/>
    <n v="78"/>
    <n v="0"/>
    <m/>
    <s v="mail - info@g3-medical.nl — Verkooporder SO00454662 / 3504015927"/>
    <s v="Dutch"/>
    <x v="5"/>
    <x v="15"/>
    <n v="50"/>
    <s v="SO00454662"/>
    <n v="50"/>
    <s v="16/02/2026"/>
    <n v="50"/>
    <s v="G3 Medical B.V."/>
    <n v="50"/>
    <s v="Hospital Logistics Nederland B.V."/>
    <n v="50"/>
    <x v="0"/>
    <n v="50"/>
    <x v="5"/>
    <n v="50"/>
    <s v="229510-DIS"/>
    <n v="88"/>
    <s v="CMT tongspatels, hout, premium, 150x18mm, 100st/dispenser"/>
    <n v="88"/>
    <n v="10"/>
    <n v="92"/>
    <s v="Dispens"/>
    <n v="70"/>
    <s v="1,22"/>
    <n v="92"/>
    <s v="18/02/2026"/>
    <n v="50"/>
  </r>
  <r>
    <x v="47"/>
    <x v="1"/>
    <x v="1"/>
    <d v="2026-02-27T12:44:18"/>
    <n v="25"/>
    <n v="0"/>
    <n v="0"/>
    <m/>
    <s v="mail - info@g3-medical.nl — Verkooporder SO00454638 / 3505026682"/>
    <m/>
    <x v="88"/>
    <x v="5"/>
    <m/>
    <m/>
    <m/>
    <m/>
    <m/>
    <m/>
    <m/>
    <m/>
    <m/>
    <x v="1"/>
    <m/>
    <x v="98"/>
    <m/>
    <m/>
    <m/>
    <m/>
    <m/>
    <m/>
    <m/>
    <m/>
    <m/>
    <m/>
    <m/>
    <m/>
    <m/>
  </r>
  <r>
    <x v="48"/>
    <x v="0"/>
    <x v="0"/>
    <d v="2026-02-27T12:44:18"/>
    <n v="71.010000000000005"/>
    <n v="156"/>
    <n v="0"/>
    <m/>
    <s v="mail - info@g3-medical.nl — Verkooporder SO00454649 / 3507009728"/>
    <s v="Dutch"/>
    <x v="0"/>
    <x v="31"/>
    <n v="50"/>
    <s v="SO00454649"/>
    <n v="50"/>
    <s v="16/02/2026"/>
    <n v="50"/>
    <s v="G3 Medical B.V."/>
    <n v="50"/>
    <s v="Hospital Logistics Nederland B.V."/>
    <n v="50"/>
    <x v="0"/>
    <n v="50"/>
    <x v="0"/>
    <n v="50"/>
    <s v="101195"/>
    <n v="95"/>
    <s v="Catheterstop, disposable, groen, steriel, 100x1st/ds"/>
    <n v="88"/>
    <n v="1"/>
    <n v="96"/>
    <s v="Dozen"/>
    <n v="95"/>
    <s v="16,45"/>
    <n v="94"/>
    <s v="19/02/2026"/>
    <n v="50"/>
  </r>
  <r>
    <x v="48"/>
    <x v="0"/>
    <x v="0"/>
    <d v="2026-02-27T12:44:18"/>
    <n v="71.010000000000005"/>
    <n v="156"/>
    <n v="0"/>
    <m/>
    <s v="mail - info@g3-medical.nl — Verkooporder SO00454649 / 3507009728"/>
    <s v="Dutch"/>
    <x v="1"/>
    <x v="31"/>
    <n v="50"/>
    <s v="SO00454649"/>
    <n v="50"/>
    <s v="16/02/2026"/>
    <n v="50"/>
    <s v="G3 Medical B.V."/>
    <n v="50"/>
    <s v="Hospital Logistics Nederland B.V."/>
    <n v="50"/>
    <x v="0"/>
    <n v="50"/>
    <x v="1"/>
    <n v="50"/>
    <s v="117020"/>
    <n v="95"/>
    <s v="Afzuigcatheter Ch14, 60cm, met vacuumcontrol, steriel, 50x1st/ds"/>
    <n v="88"/>
    <n v="3"/>
    <n v="96"/>
    <s v="Dozen"/>
    <n v="95"/>
    <s v="11,53"/>
    <n v="94"/>
    <s v="19/02/2026"/>
    <n v="50"/>
  </r>
  <r>
    <x v="48"/>
    <x v="0"/>
    <x v="0"/>
    <d v="2026-02-27T12:44:18"/>
    <n v="71.010000000000005"/>
    <n v="156"/>
    <n v="0"/>
    <m/>
    <s v="mail - info@g3-medical.nl — Verkooporder SO00454649 / 3507009728"/>
    <s v="Dutch"/>
    <x v="2"/>
    <x v="31"/>
    <n v="50"/>
    <s v="SO00454649"/>
    <n v="50"/>
    <s v="16/02/2026"/>
    <n v="50"/>
    <s v="G3 Medical B.V."/>
    <n v="50"/>
    <s v="Hospital Logistics Nederland B.V."/>
    <n v="50"/>
    <x v="0"/>
    <n v="50"/>
    <x v="2"/>
    <n v="50"/>
    <s v="700111"/>
    <n v="95"/>
    <s v="Stiefel biopsy punches, 3,0mm, steriel, 10x1st/ds"/>
    <n v="90"/>
    <n v="22"/>
    <n v="96"/>
    <s v="Dozen"/>
    <n v="95"/>
    <s v="32,00"/>
    <n v="94"/>
    <s v="19/02/2026"/>
    <n v="50"/>
  </r>
  <r>
    <x v="48"/>
    <x v="0"/>
    <x v="0"/>
    <d v="2026-02-27T12:44:18"/>
    <n v="71.010000000000005"/>
    <n v="156"/>
    <n v="0"/>
    <m/>
    <s v="mail - info@g3-medical.nl — Verkooporder SO00454649 / 3507009728"/>
    <s v="Dutch"/>
    <x v="3"/>
    <x v="31"/>
    <n v="50"/>
    <s v="SO00454649"/>
    <n v="50"/>
    <s v="16/02/2026"/>
    <n v="50"/>
    <s v="G3 Medical B.V."/>
    <n v="50"/>
    <s v="Hospital Logistics Nederland B.V."/>
    <n v="50"/>
    <x v="0"/>
    <n v="50"/>
    <x v="3"/>
    <n v="50"/>
    <s v="700118"/>
    <n v="95"/>
    <s v="Stiefel ring curette, 7mm, steriel, 10x1st/ds"/>
    <n v="90"/>
    <n v="6"/>
    <n v="95"/>
    <s v="Dozen"/>
    <n v="95"/>
    <s v="37,92"/>
    <n v="94"/>
    <s v="19/02/2026"/>
    <n v="50"/>
  </r>
  <r>
    <x v="48"/>
    <x v="0"/>
    <x v="0"/>
    <d v="2026-02-27T12:44:18"/>
    <n v="71.010000000000005"/>
    <n v="156"/>
    <n v="0"/>
    <m/>
    <s v="mail - info@g3-medical.nl — Verkooporder SO00454649 / 3507009728"/>
    <s v="Dutch"/>
    <x v="4"/>
    <x v="31"/>
    <n v="50"/>
    <s v="SO00454649"/>
    <n v="50"/>
    <s v="16/02/2026"/>
    <n v="50"/>
    <s v="G3 Medical B.V."/>
    <n v="50"/>
    <s v="Hospital Logistics Nederland B.V."/>
    <n v="50"/>
    <x v="0"/>
    <n v="50"/>
    <x v="4"/>
    <n v="50"/>
    <s v="117085"/>
    <n v="95"/>
    <s v="Nelatoncatheter, Ch18, 40cm, disposable, steriel, 50x1st/ds"/>
    <n v="90"/>
    <n v="1"/>
    <n v="96"/>
    <s v="Dozen"/>
    <n v="95"/>
    <s v="10,42"/>
    <n v="94"/>
    <s v="19/02/2026"/>
    <n v="50"/>
  </r>
  <r>
    <x v="48"/>
    <x v="0"/>
    <x v="0"/>
    <d v="2026-02-27T12:44:18"/>
    <n v="71.010000000000005"/>
    <n v="156"/>
    <n v="0"/>
    <m/>
    <s v="mail - info@g3-medical.nl — Verkooporder SO00454649 / 3507009728"/>
    <s v="Dutch"/>
    <x v="5"/>
    <x v="31"/>
    <n v="50"/>
    <s v="SO00454649"/>
    <n v="50"/>
    <s v="16/02/2026"/>
    <n v="50"/>
    <s v="G3 Medical B.V."/>
    <n v="50"/>
    <s v="Hospital Logistics Nederland B.V."/>
    <n v="50"/>
    <x v="0"/>
    <n v="50"/>
    <x v="5"/>
    <n v="50"/>
    <s v="WM2T2000/WM2T2000120"/>
    <n v="88"/>
    <s v="Urinezak 2.000ml, 120cm slang, monsterafname, CV, bedhanger, NRV, druppelkamer, steriel, 50st/doos"/>
    <n v="86"/>
    <n v="2"/>
    <n v="95"/>
    <s v="Dozen"/>
    <n v="95"/>
    <s v="138,35"/>
    <n v="92"/>
    <s v="19/02/2026"/>
    <n v="50"/>
  </r>
  <r>
    <x v="48"/>
    <x v="0"/>
    <x v="0"/>
    <d v="2026-02-27T12:44:18"/>
    <n v="71.010000000000005"/>
    <n v="156"/>
    <n v="0"/>
    <m/>
    <s v="mail - info@g3-medical.nl — Verkooporder SO00454649 / 3507009728"/>
    <s v="Dutch"/>
    <x v="6"/>
    <x v="31"/>
    <n v="50"/>
    <s v="SO00454649"/>
    <n v="50"/>
    <s v="16/02/2026"/>
    <n v="50"/>
    <s v="G3 Medical B.V."/>
    <n v="50"/>
    <s v="Hospital Logistics Nederland B.V."/>
    <n v="50"/>
    <x v="0"/>
    <n v="50"/>
    <x v="6"/>
    <n v="50"/>
    <s v="88885"/>
    <n v="95"/>
    <s v="CMT Anti-slip sokken, groen, large, 43-46, 48pr/doos, p/pr"/>
    <n v="88"/>
    <n v="192"/>
    <n v="95"/>
    <s v="Paar"/>
    <n v="95"/>
    <s v="1,27"/>
    <n v="93"/>
    <s v="19/02/2026"/>
    <n v="50"/>
  </r>
  <r>
    <x v="48"/>
    <x v="0"/>
    <x v="0"/>
    <d v="2026-02-27T12:44:18"/>
    <n v="71.010000000000005"/>
    <n v="156"/>
    <n v="0"/>
    <m/>
    <s v="mail - info@g3-medical.nl — Verkooporder SO00454649 / 3507009728"/>
    <s v="Dutch"/>
    <x v="7"/>
    <x v="31"/>
    <n v="50"/>
    <s v="SO00454649"/>
    <n v="50"/>
    <s v="16/02/2026"/>
    <n v="50"/>
    <s v="G3 Medical B.V."/>
    <n v="50"/>
    <s v="Hospital Logistics Nederland B.V."/>
    <n v="50"/>
    <x v="0"/>
    <n v="50"/>
    <x v="7"/>
    <n v="50"/>
    <s v="700738"/>
    <n v="95"/>
    <s v="Vernacare disposable maatbeker, 1ltr, 100st/ds"/>
    <n v="88"/>
    <n v="1"/>
    <n v="95"/>
    <s v="Dozen"/>
    <n v="95"/>
    <s v="80,22"/>
    <n v="93"/>
    <s v="19/02/2026"/>
    <n v="50"/>
  </r>
  <r>
    <x v="48"/>
    <x v="0"/>
    <x v="0"/>
    <d v="2026-02-27T12:44:18"/>
    <n v="71.010000000000005"/>
    <n v="156"/>
    <n v="0"/>
    <m/>
    <s v="mail - info@g3-medical.nl — Verkooporder SO00454649 / 3507009728"/>
    <s v="Dutch"/>
    <x v="8"/>
    <x v="31"/>
    <n v="50"/>
    <s v="SO00454649"/>
    <n v="50"/>
    <s v="16/02/2026"/>
    <n v="50"/>
    <s v="G3 Medical B.V."/>
    <n v="50"/>
    <s v="Hospital Logistics Nederland B.V."/>
    <n v="50"/>
    <x v="0"/>
    <n v="50"/>
    <x v="8"/>
    <n v="50"/>
    <s v="700209"/>
    <n v="95"/>
    <s v="Onderzoeksbekkenpapier Midmark 45 cm. 32 meter ds/12x1"/>
    <n v="88"/>
    <n v="1"/>
    <n v="95"/>
    <s v="Dozen"/>
    <n v="95"/>
    <s v="76,70"/>
    <n v="93"/>
    <s v="19/02/2026"/>
    <n v="50"/>
  </r>
  <r>
    <x v="48"/>
    <x v="0"/>
    <x v="0"/>
    <d v="2026-02-27T12:44:18"/>
    <n v="71.010000000000005"/>
    <n v="156"/>
    <n v="0"/>
    <m/>
    <s v="mail - info@g3-medical.nl — Verkooporder SO00454649 / 3507009728"/>
    <s v="Dutch"/>
    <x v="9"/>
    <x v="31"/>
    <n v="50"/>
    <s v="SO00454649"/>
    <n v="50"/>
    <s v="16/02/2026"/>
    <n v="50"/>
    <s v="G3 Medical B.V."/>
    <n v="50"/>
    <s v="Hospital Logistics Nederland B.V."/>
    <n v="50"/>
    <x v="0"/>
    <n v="50"/>
    <x v="9"/>
    <n v="50"/>
    <s v="704400"/>
    <n v="95"/>
    <s v="CMT Telemetrie draagtasjes, disposable, 21x16,5cm, PP/PE met linttrefband, wit,100st/doos"/>
    <n v="88"/>
    <n v="1"/>
    <n v="95"/>
    <s v="Dozen"/>
    <n v="95"/>
    <s v="52,59"/>
    <n v="93"/>
    <s v="19/02/2026"/>
    <n v="50"/>
  </r>
  <r>
    <x v="48"/>
    <x v="0"/>
    <x v="0"/>
    <d v="2026-02-27T12:44:18"/>
    <n v="71.010000000000005"/>
    <n v="156"/>
    <n v="0"/>
    <m/>
    <s v="mail - info@g3-medical.nl — Verkooporder SO00454649 / 3507009728"/>
    <s v="Dutch"/>
    <x v="10"/>
    <x v="31"/>
    <n v="50"/>
    <s v="SO00454649"/>
    <n v="50"/>
    <s v="16/02/2026"/>
    <n v="50"/>
    <s v="G3 Medical B.V."/>
    <n v="50"/>
    <s v="Hospital Logistics Nederland B.V."/>
    <n v="50"/>
    <x v="0"/>
    <n v="50"/>
    <x v="10"/>
    <n v="50"/>
    <s v="200195"/>
    <n v="95"/>
    <s v="Kaakspoolspuit, curved tip, 12ml, 50st/ds"/>
    <n v="88"/>
    <n v="4"/>
    <n v="95"/>
    <s v="Dozen"/>
    <n v="95"/>
    <s v="11,78"/>
    <n v="93"/>
    <s v="19/02/2026"/>
    <n v="50"/>
  </r>
  <r>
    <x v="48"/>
    <x v="0"/>
    <x v="0"/>
    <d v="2026-02-27T12:44:18"/>
    <n v="71.010000000000005"/>
    <n v="156"/>
    <n v="0"/>
    <m/>
    <s v="mail - info@g3-medical.nl — Verkooporder SO00454649 / 3507009728"/>
    <s v="Dutch"/>
    <x v="11"/>
    <x v="31"/>
    <n v="50"/>
    <s v="SO00454649"/>
    <n v="50"/>
    <s v="16/02/2026"/>
    <n v="50"/>
    <s v="G3 Medical B.V."/>
    <n v="50"/>
    <s v="Hospital Logistics Nederland B.V."/>
    <n v="50"/>
    <x v="0"/>
    <n v="50"/>
    <x v="99"/>
    <n v="50"/>
    <s v="700186"/>
    <n v="95"/>
    <s v="Sputumbeker 5+ disposable, met deksel, vierkant model, 150 ml, wit, 250st/ds"/>
    <n v="88"/>
    <n v="1"/>
    <n v="95"/>
    <s v="Dozen"/>
    <n v="95"/>
    <s v="94,24"/>
    <n v="93"/>
    <s v="19/02/2026"/>
    <n v="50"/>
  </r>
  <r>
    <x v="49"/>
    <x v="1"/>
    <x v="1"/>
    <d v="2026-02-27T12:44:18"/>
    <n v="28"/>
    <n v="0"/>
    <n v="0"/>
    <m/>
    <s v="mail - collections@sligro.be — 100142673 HL WZC Herinnering Sligro [#KM-6720322] [#RL-144746] "/>
    <m/>
    <x v="88"/>
    <x v="5"/>
    <m/>
    <m/>
    <m/>
    <m/>
    <m/>
    <m/>
    <m/>
    <m/>
    <m/>
    <x v="1"/>
    <m/>
    <x v="98"/>
    <m/>
    <m/>
    <m/>
    <m/>
    <m/>
    <m/>
    <m/>
    <m/>
    <m/>
    <m/>
    <m/>
    <m/>
    <m/>
  </r>
  <r>
    <x v="50"/>
    <x v="0"/>
    <x v="0"/>
    <d v="2026-02-27T12:44:18"/>
    <n v="87.42"/>
    <n v="78"/>
    <n v="7"/>
    <m/>
    <s v="mail - no.reply.customer.service@medtronic.com — Order bevestiging 26-02855"/>
    <s v="Dutch"/>
    <x v="0"/>
    <x v="5"/>
    <n v="10"/>
    <s v="6251713545 ZOR"/>
    <n v="92"/>
    <s v="16/02/2026"/>
    <n v="95"/>
    <s v="Medtronic Trading NL BV"/>
    <n v="95"/>
    <s v="Canisius Wilhelmina Ziekenhuis"/>
    <n v="95"/>
    <x v="0"/>
    <n v="90"/>
    <x v="0"/>
    <n v="95"/>
    <s v="00763000079505 / 5076-58"/>
    <n v="85"/>
    <s v="CapSureFix Novus MRI SureScan 5076 lead (58 cm)"/>
    <n v="90"/>
    <n v="7"/>
    <n v="96"/>
    <s v="EA"/>
    <n v="92"/>
    <s v="273,46"/>
    <n v="90"/>
    <s v="19/02/2026"/>
    <n v="92"/>
  </r>
  <r>
    <x v="50"/>
    <x v="0"/>
    <x v="0"/>
    <d v="2026-02-27T12:44:18"/>
    <n v="87.42"/>
    <n v="78"/>
    <n v="7"/>
    <m/>
    <s v="mail - no.reply.customer.service@medtronic.com — Order bevestiging 26-02855"/>
    <s v="Dutch"/>
    <x v="1"/>
    <x v="5"/>
    <n v="10"/>
    <s v="6251713545 ZOR"/>
    <n v="92"/>
    <s v="16/02/2026"/>
    <n v="95"/>
    <s v="Medtronic Trading NL BV"/>
    <n v="95"/>
    <s v="Canisius Wilhelmina Ziekenhuis"/>
    <n v="95"/>
    <x v="0"/>
    <n v="90"/>
    <x v="1"/>
    <n v="95"/>
    <s v="20763000532851 / 1882940"/>
    <n v="82"/>
    <s v="BLADE 1882940 5PK INFERIOR TURB 2.9MM (1 PK = 5 EA)"/>
    <n v="88"/>
    <n v="3"/>
    <n v="96"/>
    <s v="PK"/>
    <n v="92"/>
    <s v="899,89"/>
    <n v="90"/>
    <s v="19/02/2026"/>
    <n v="92"/>
  </r>
  <r>
    <x v="50"/>
    <x v="0"/>
    <x v="0"/>
    <d v="2026-02-27T12:44:18"/>
    <n v="87.42"/>
    <n v="78"/>
    <n v="7"/>
    <m/>
    <s v="mail - no.reply.customer.service@medtronic.com — Order bevestiging 26-02855"/>
    <s v="Dutch"/>
    <x v="2"/>
    <x v="5"/>
    <n v="10"/>
    <s v="6251713545 ZOR"/>
    <n v="92"/>
    <s v="16/02/2026"/>
    <n v="95"/>
    <s v="Medtronic Trading NL BV"/>
    <n v="95"/>
    <s v="Canisius Wilhelmina Ziekenhuis"/>
    <n v="95"/>
    <x v="0"/>
    <n v="90"/>
    <x v="2"/>
    <n v="95"/>
    <s v="20884521815466"/>
    <n v="88"/>
    <s v="MAX-FAST-1 MAX LOW PERF FOREHEAD 02SENS (1 CA = 24 EA)"/>
    <n v="88"/>
    <n v="1"/>
    <n v="96"/>
    <s v="CA"/>
    <n v="92"/>
    <s v="543,32"/>
    <n v="92"/>
    <s v="19/02/2026"/>
    <n v="92"/>
  </r>
  <r>
    <x v="50"/>
    <x v="0"/>
    <x v="0"/>
    <d v="2026-02-27T12:44:18"/>
    <n v="87.42"/>
    <n v="78"/>
    <n v="7"/>
    <m/>
    <s v="mail - no.reply.customer.service@medtronic.com — Order bevestiging 26-02855"/>
    <s v="Dutch"/>
    <x v="3"/>
    <x v="5"/>
    <n v="10"/>
    <s v="6251713545 ZOR"/>
    <n v="92"/>
    <s v="16/02/2026"/>
    <n v="95"/>
    <s v="Medtronic Trading NL BV"/>
    <n v="95"/>
    <s v="Canisius Wilhelmina Ziekenhuis"/>
    <n v="95"/>
    <x v="0"/>
    <n v="90"/>
    <x v="3"/>
    <n v="95"/>
    <s v="00643169488120 / 9734887XOM"/>
    <n v="86"/>
    <s v="PATIENT TRACKER 9734887XOM NON-INVASIVE"/>
    <n v="88"/>
    <n v="3"/>
    <n v="96"/>
    <s v="EA"/>
    <n v="92"/>
    <s v="80,11"/>
    <n v="90"/>
    <s v="19/02/2026"/>
    <n v="92"/>
  </r>
  <r>
    <x v="50"/>
    <x v="0"/>
    <x v="0"/>
    <d v="2026-02-27T12:44:18"/>
    <n v="87.42"/>
    <n v="78"/>
    <n v="7"/>
    <m/>
    <s v="mail - no.reply.customer.service@medtronic.com — Order bevestiging 26-02855"/>
    <s v="Dutch"/>
    <x v="4"/>
    <x v="5"/>
    <n v="10"/>
    <s v="6251713545 ZOR"/>
    <n v="92"/>
    <s v="16/02/2026"/>
    <n v="95"/>
    <s v="Medtronic Trading NL BV"/>
    <n v="95"/>
    <s v="Canisius Wilhelmina Ziekenhuis"/>
    <n v="95"/>
    <x v="0"/>
    <n v="90"/>
    <x v="4"/>
    <n v="95"/>
    <s v="20681490049140 / 1895522"/>
    <n v="86"/>
    <s v="TUBING 1895522 5PK STRAIGHTSHOT TO XPS (1 PK = 5 EA)"/>
    <n v="88"/>
    <n v="1"/>
    <n v="96"/>
    <s v="PK"/>
    <n v="92"/>
    <s v="83,26"/>
    <n v="90"/>
    <s v="19/02/2026"/>
    <n v="92"/>
  </r>
  <r>
    <x v="50"/>
    <x v="0"/>
    <x v="0"/>
    <d v="2026-02-27T12:44:18"/>
    <n v="87.42"/>
    <n v="78"/>
    <n v="7"/>
    <m/>
    <s v="mail - no.reply.customer.service@medtronic.com — Order bevestiging 26-02855"/>
    <s v="Dutch"/>
    <x v="5"/>
    <x v="5"/>
    <n v="10"/>
    <s v="6251713545 ZOR"/>
    <n v="92"/>
    <s v="16/02/2026"/>
    <n v="95"/>
    <s v="Medtronic Trading NL BV"/>
    <n v="95"/>
    <s v="Canisius Wilhelmina Ziekenhuis"/>
    <n v="95"/>
    <x v="0"/>
    <n v="90"/>
    <x v="5"/>
    <n v="95"/>
    <s v="20681490697785 / 1912019"/>
    <n v="86"/>
    <s v="SHEATH 1912019 ENDO-SCRUB 2 5PK 4MM/25 DEG WOLF"/>
    <n v="88"/>
    <n v="1"/>
    <n v="96"/>
    <s v="PK"/>
    <n v="92"/>
    <s v="195,00"/>
    <n v="90"/>
    <m/>
    <n v="12"/>
  </r>
  <r>
    <x v="51"/>
    <x v="0"/>
    <x v="0"/>
    <d v="2026-02-27T12:44:18"/>
    <n v="83.65"/>
    <n v="13"/>
    <n v="2"/>
    <m/>
    <s v="mail - noreply@lyreco.com — Lyreco orderbevestiging 167913009-16022026-0006"/>
    <s v="Dutch"/>
    <x v="0"/>
    <x v="32"/>
    <n v="85"/>
    <s v="167913009"/>
    <n v="90"/>
    <s v="16/02/2026"/>
    <n v="95"/>
    <s v="Lyreco Belgium SA/NV"/>
    <n v="95"/>
    <s v="Hospital Logistics"/>
    <n v="95"/>
    <x v="0"/>
    <n v="95"/>
    <x v="0"/>
    <n v="95"/>
    <s v="143.344"/>
    <n v="70"/>
    <s v="DS2400 LYRECO ETIKET 70X36"/>
    <n v="90"/>
    <n v="1"/>
    <n v="95"/>
    <m/>
    <n v="15"/>
    <s v="3,40 EUR"/>
    <n v="90"/>
    <m/>
    <n v="10"/>
  </r>
  <r>
    <x v="52"/>
    <x v="0"/>
    <x v="0"/>
    <d v="2026-02-27T12:44:18"/>
    <n v="93.11"/>
    <n v="39"/>
    <n v="0"/>
    <m/>
    <s v="mail - CustomerCareBE@fresenius-kabi.com — ORDERBEVESTIGING 2364064918"/>
    <s v="Dutch"/>
    <x v="0"/>
    <x v="33"/>
    <n v="98"/>
    <s v="2364064918"/>
    <n v="98"/>
    <s v="16/02/2026"/>
    <n v="96"/>
    <s v="Fresenius Kabi nv/sa"/>
    <n v="92"/>
    <s v="HOSPITAL LOGISTICS N.V. - UZL"/>
    <n v="88"/>
    <x v="0"/>
    <n v="96"/>
    <x v="9"/>
    <n v="98"/>
    <s v="9004132"/>
    <n v="96"/>
    <s v="INJ ECTOMAT LINE PE 150 CM 1 X 1 STÜCK / EACH"/>
    <n v="90"/>
    <n v="400"/>
    <n v="96"/>
    <s v="ST"/>
    <n v="92"/>
    <s v="0,26"/>
    <n v="96"/>
    <s v="20/02/2026"/>
    <n v="90"/>
  </r>
  <r>
    <x v="52"/>
    <x v="0"/>
    <x v="0"/>
    <d v="2026-02-27T12:44:18"/>
    <n v="93.11"/>
    <n v="39"/>
    <n v="0"/>
    <m/>
    <s v="mail - CustomerCareBE@fresenius-kabi.com — ORDERBEVESTIGING 2364064918"/>
    <s v="Dutch"/>
    <x v="1"/>
    <x v="33"/>
    <n v="98"/>
    <s v="2364064918"/>
    <n v="98"/>
    <s v="16/02/2026"/>
    <n v="96"/>
    <s v="Fresenius Kabi nv/sa"/>
    <n v="92"/>
    <s v="HOSPITAL LOGISTICS N.V. - UZL"/>
    <n v="88"/>
    <x v="0"/>
    <n v="96"/>
    <x v="16"/>
    <n v="98"/>
    <s v="8050601"/>
    <n v="96"/>
    <s v="Fresubin ENERGY Drink Chocolate F-NL 1 X 200 ML EASYBOTTLE"/>
    <n v="90"/>
    <n v="192"/>
    <n v="96"/>
    <s v="ST"/>
    <n v="92"/>
    <s v="0,75"/>
    <n v="96"/>
    <s v="20/02/2026"/>
    <n v="90"/>
  </r>
  <r>
    <x v="52"/>
    <x v="0"/>
    <x v="0"/>
    <d v="2026-02-27T12:44:18"/>
    <n v="93.11"/>
    <n v="39"/>
    <n v="0"/>
    <m/>
    <s v="mail - CustomerCareBE@fresenius-kabi.com — ORDERBEVESTIGING 2364064918"/>
    <s v="Dutch"/>
    <x v="2"/>
    <x v="33"/>
    <n v="98"/>
    <s v="2364064918"/>
    <n v="98"/>
    <s v="16/02/2026"/>
    <n v="96"/>
    <s v="Fresenius Kabi nv/sa"/>
    <n v="92"/>
    <s v="HOSPITAL LOGISTICS N.V. - UZL"/>
    <n v="88"/>
    <x v="0"/>
    <n v="96"/>
    <x v="17"/>
    <n v="98"/>
    <s v="8020641"/>
    <n v="96"/>
    <s v="Fresubin 2 KCAL Drink Cappuccino F-NL 1 X 200 ML EASYBOTTLE"/>
    <n v="90"/>
    <n v="144"/>
    <n v="96"/>
    <s v="ST"/>
    <n v="92"/>
    <s v="0,95"/>
    <n v="96"/>
    <s v="20/02/2026"/>
    <n v="90"/>
  </r>
  <r>
    <x v="53"/>
    <x v="0"/>
    <x v="0"/>
    <d v="2026-02-27T12:44:18"/>
    <n v="87.12"/>
    <n v="26"/>
    <n v="2"/>
    <m/>
    <s v="mail - tena.medical.cs.nl@essity.com — 2507017044 ESSITY Order Ontvangstbevestiging"/>
    <s v="Dutch"/>
    <x v="0"/>
    <x v="34"/>
    <n v="95"/>
    <s v="3004543712"/>
    <n v="95"/>
    <s v="16/02/2026"/>
    <n v="95"/>
    <s v="Essity Netherlands B.V."/>
    <n v="90"/>
    <s v="Hospital Logistics Nederland B.V."/>
    <n v="90"/>
    <x v="0"/>
    <n v="95"/>
    <x v="9"/>
    <n v="95"/>
    <s v="6570"/>
    <n v="95"/>
    <s v="TENA ProSkin Wash Mousse 400 ml"/>
    <n v="95"/>
    <n v="75"/>
    <n v="85"/>
    <s v="CON"/>
    <n v="90"/>
    <s v="2,61 / 1 CON"/>
    <n v="95"/>
    <m/>
    <n v="40"/>
  </r>
  <r>
    <x v="53"/>
    <x v="0"/>
    <x v="0"/>
    <d v="2026-02-27T12:44:18"/>
    <n v="87.12"/>
    <n v="26"/>
    <n v="2"/>
    <m/>
    <s v="mail - tena.medical.cs.nl@essity.com — 2507017044 ESSITY Order Ontvangstbevestiging"/>
    <s v="Dutch"/>
    <x v="1"/>
    <x v="34"/>
    <n v="95"/>
    <s v="3004543712"/>
    <n v="95"/>
    <s v="16/02/2026"/>
    <n v="95"/>
    <s v="Essity Netherlands B.V."/>
    <n v="90"/>
    <s v="Hospital Logistics Nederland B.V."/>
    <n v="90"/>
    <x v="0"/>
    <n v="95"/>
    <x v="16"/>
    <n v="95"/>
    <s v="4257"/>
    <n v="95"/>
    <s v="TENA ProSkin Body Cream 150 ml"/>
    <n v="95"/>
    <n v="30"/>
    <n v="85"/>
    <s v="CON"/>
    <n v="90"/>
    <s v="1,90 / 1 CON"/>
    <n v="95"/>
    <m/>
    <n v="40"/>
  </r>
  <r>
    <x v="54"/>
    <x v="0"/>
    <x v="0"/>
    <d v="2026-02-27T12:44:18"/>
    <n v="87.82"/>
    <n v="13"/>
    <n v="1"/>
    <m/>
    <s v="mail - tena.medical.cs.nl@essity.com — 2505040799 ESSITY Order Ontvangstbevestiging"/>
    <s v="Dutch"/>
    <x v="0"/>
    <x v="35"/>
    <n v="98"/>
    <s v="3004543710"/>
    <n v="98"/>
    <s v="16/02/2026"/>
    <n v="98"/>
    <s v="Essity Netherlands B.V."/>
    <n v="95"/>
    <s v="Hospital Logistics Nederland B.V."/>
    <n v="95"/>
    <x v="0"/>
    <n v="95"/>
    <x v="9"/>
    <n v="95"/>
    <s v="7276000"/>
    <n v="95"/>
    <s v="Leukoplast swab cellulose 4 x 5cm - P500"/>
    <n v="90"/>
    <n v="168"/>
    <n v="95"/>
    <s v="PC"/>
    <n v="90"/>
    <s v="4,53 / 1 PC"/>
    <n v="90"/>
    <m/>
    <n v="10"/>
  </r>
  <r>
    <x v="55"/>
    <x v="0"/>
    <x v="0"/>
    <d v="2026-02-27T12:44:18"/>
    <n v="93.11"/>
    <n v="26"/>
    <n v="0"/>
    <m/>
    <s v="mail - tena.medical.cs.nl@essity.com — 3505026678 ESSITY Orderbevestiging"/>
    <s v="Dutch"/>
    <x v="0"/>
    <x v="36"/>
    <n v="98"/>
    <s v="3004536034"/>
    <n v="98"/>
    <s v="13/02/2026"/>
    <n v="95"/>
    <s v="Essity Netherlands B.V."/>
    <n v="92"/>
    <s v="Hospital Logistics Nederland B.V."/>
    <n v="92"/>
    <x v="0"/>
    <n v="99"/>
    <x v="9"/>
    <n v="96"/>
    <s v="7128500"/>
    <n v="95"/>
    <s v="LP cot wool gauze ST 80x53g hygiene set"/>
    <n v="88"/>
    <n v="2"/>
    <n v="96"/>
    <s v="PC"/>
    <n v="90"/>
    <s v="47,18 EUR / 1 PC"/>
    <n v="93"/>
    <s v="18/02/2026"/>
    <n v="97"/>
  </r>
  <r>
    <x v="55"/>
    <x v="0"/>
    <x v="0"/>
    <d v="2026-02-27T12:44:18"/>
    <n v="93.11"/>
    <n v="26"/>
    <n v="0"/>
    <m/>
    <s v="mail - tena.medical.cs.nl@essity.com — 3505026678 ESSITY Orderbevestiging"/>
    <s v="Dutch"/>
    <x v="1"/>
    <x v="36"/>
    <n v="98"/>
    <s v="3004536034"/>
    <n v="98"/>
    <s v="13/02/2026"/>
    <n v="95"/>
    <s v="Essity Netherlands B.V."/>
    <n v="92"/>
    <s v="Hospital Logistics Nederland B.V."/>
    <n v="92"/>
    <x v="0"/>
    <n v="99"/>
    <x v="16"/>
    <n v="96"/>
    <s v="792691"/>
    <n v="95"/>
    <s v="TENA Pants Plus L, 4x14 pcs, Centr. Ps"/>
    <n v="86"/>
    <n v="80"/>
    <n v="95"/>
    <s v="TRP"/>
    <n v="90"/>
    <s v="85,31 EUR / 100 PCS"/>
    <n v="92"/>
    <s v="18/02/2026"/>
    <n v="97"/>
  </r>
  <r>
    <x v="56"/>
    <x v="0"/>
    <x v="0"/>
    <d v="2026-02-27T12:44:18"/>
    <n v="85.23"/>
    <n v="13"/>
    <n v="1"/>
    <m/>
    <s v="mail - tena.medical.cs.nl@essity.com — 6507004831 ESSITY Order Ontvangstbevestiging"/>
    <s v="Dutch"/>
    <x v="0"/>
    <x v="37"/>
    <n v="95"/>
    <s v="3004543709"/>
    <n v="95"/>
    <s v="16/02/2026"/>
    <n v="95"/>
    <s v="Essity Netherlands B.V."/>
    <n v="95"/>
    <s v="Hospital Logistics Nederland B.V."/>
    <n v="90"/>
    <x v="0"/>
    <n v="95"/>
    <x v="9"/>
    <n v="92"/>
    <s v="722394"/>
    <n v="95"/>
    <s v="TENA Flex Normal L 3x34p, INT/NEU, NSW"/>
    <n v="90"/>
    <n v="1"/>
    <n v="90"/>
    <s v="TRP"/>
    <n v="85"/>
    <s v="41,61 EUR / 100 PCS"/>
    <n v="88"/>
    <m/>
    <n v="10"/>
  </r>
  <r>
    <x v="57"/>
    <x v="0"/>
    <x v="0"/>
    <d v="2026-02-27T12:44:18"/>
    <n v="76.66"/>
    <n v="13"/>
    <n v="2"/>
    <m/>
    <s v="mail - noreplyr@brocacef.nl — Uw orderinformatie (uw referentie: 2505040801, Brocacef Ordernr: TPV72495)"/>
    <s v="Dutch"/>
    <x v="0"/>
    <x v="38"/>
    <n v="95"/>
    <s v="TPV72495"/>
    <n v="95"/>
    <s v="16/02/2026"/>
    <n v="95"/>
    <s v="Brocacef"/>
    <n v="85"/>
    <s v="Hospital Logistics - Jeroen Bosch"/>
    <n v="90"/>
    <x v="1"/>
    <n v="10"/>
    <x v="0"/>
    <n v="80"/>
    <s v="70150471"/>
    <n v="85"/>
    <s v="Nutrilon nenatal 1"/>
    <n v="80"/>
    <n v="12"/>
    <n v="95"/>
    <s v="900g"/>
    <n v="90"/>
    <m/>
    <n v="5"/>
    <s v="19/02/2026"/>
    <n v="95"/>
  </r>
  <r>
    <x v="58"/>
    <x v="0"/>
    <x v="0"/>
    <d v="2026-02-27T12:44:18"/>
    <n v="73.55"/>
    <n v="52"/>
    <n v="11"/>
    <m/>
    <s v="mail - noreplyr@brocacef.nl — Uw orderinformatie (uw referentie: 1504026606, Brocacef Ordernr: TPV72539)"/>
    <s v="Dutch"/>
    <x v="0"/>
    <x v="39"/>
    <n v="98"/>
    <s v="TPV72539"/>
    <n v="95"/>
    <s v="16/02/2026"/>
    <n v="95"/>
    <s v="Brocacef BV"/>
    <n v="85"/>
    <s v="Hospital Logistics - Gelre Ziekenhuizen"/>
    <n v="90"/>
    <x v="1"/>
    <n v="10"/>
    <x v="0"/>
    <n v="90"/>
    <s v="70145073"/>
    <n v="90"/>
    <s v="Flocare univ set inf enfit 90084"/>
    <n v="85"/>
    <n v="3"/>
    <n v="95"/>
    <s v="30x1st"/>
    <n v="70"/>
    <m/>
    <n v="10"/>
    <s v="18/02/2026"/>
    <n v="95"/>
  </r>
  <r>
    <x v="58"/>
    <x v="0"/>
    <x v="0"/>
    <d v="2026-02-27T12:44:18"/>
    <n v="73.55"/>
    <n v="52"/>
    <n v="11"/>
    <m/>
    <s v="mail - noreplyr@brocacef.nl — Uw orderinformatie (uw referentie: 1504026606, Brocacef Ordernr: TPV72539)"/>
    <s v="Dutch"/>
    <x v="1"/>
    <x v="40"/>
    <n v="92"/>
    <s v="TP060817"/>
    <n v="90"/>
    <s v="12/12/2025"/>
    <n v="92"/>
    <s v="Brocacef BV"/>
    <n v="85"/>
    <s v="Hospital Logistics - Gelre Ziekenhuizen"/>
    <n v="90"/>
    <x v="1"/>
    <n v="10"/>
    <x v="1"/>
    <n v="80"/>
    <s v="FL001012"/>
    <n v="88"/>
    <s v="Flocare container leeg 1ltr"/>
    <n v="88"/>
    <n v="4"/>
    <n v="95"/>
    <s v="10st"/>
    <n v="90"/>
    <m/>
    <n v="10"/>
    <m/>
    <n v="20"/>
  </r>
  <r>
    <x v="58"/>
    <x v="0"/>
    <x v="0"/>
    <d v="2026-02-27T12:44:18"/>
    <n v="73.55"/>
    <n v="52"/>
    <n v="11"/>
    <m/>
    <s v="mail - noreplyr@brocacef.nl — Uw orderinformatie (uw referentie: 1504026606, Brocacef Ordernr: TPV72539)"/>
    <s v="Dutch"/>
    <x v="2"/>
    <x v="41"/>
    <n v="92"/>
    <s v="TPP41303"/>
    <n v="90"/>
    <s v="18/12/2025"/>
    <n v="92"/>
    <s v="Brocacef BV"/>
    <n v="85"/>
    <s v="Hospital Logistics - Gelre Ziekenhuizen"/>
    <n v="90"/>
    <x v="1"/>
    <n v="10"/>
    <x v="2"/>
    <n v="80"/>
    <s v="FL001012"/>
    <n v="88"/>
    <s v="Flocare container leeg 1ltr"/>
    <n v="88"/>
    <n v="8"/>
    <n v="95"/>
    <s v="10st"/>
    <n v="90"/>
    <m/>
    <n v="10"/>
    <m/>
    <n v="20"/>
  </r>
  <r>
    <x v="58"/>
    <x v="0"/>
    <x v="0"/>
    <d v="2026-02-27T12:44:18"/>
    <n v="73.55"/>
    <n v="52"/>
    <n v="11"/>
    <m/>
    <s v="mail - noreplyr@brocacef.nl — Uw orderinformatie (uw referentie: 1504026606, Brocacef Ordernr: TPV72539)"/>
    <s v="Dutch"/>
    <x v="3"/>
    <x v="42"/>
    <n v="92"/>
    <s v="TPF62250"/>
    <n v="90"/>
    <s v="19/12/2025"/>
    <n v="92"/>
    <s v="Brocacef BV"/>
    <n v="85"/>
    <s v="Hospital Logistics - Gelre Ziekenhuizen"/>
    <n v="90"/>
    <x v="1"/>
    <n v="10"/>
    <x v="3"/>
    <n v="80"/>
    <s v="FL001012"/>
    <n v="88"/>
    <s v="Flocare container leeg 1ltr"/>
    <n v="88"/>
    <n v="7"/>
    <n v="95"/>
    <s v="10st"/>
    <n v="90"/>
    <m/>
    <n v="10"/>
    <m/>
    <n v="20"/>
  </r>
  <r>
    <x v="59"/>
    <x v="0"/>
    <x v="0"/>
    <d v="2026-02-27T12:44:18"/>
    <n v="70.010000000000005"/>
    <n v="151"/>
    <n v="1"/>
    <m/>
    <s v="mail - orders.NL@freseniusmedicalcare.com — Re: [EXTERNAL EMAIL] Order Hospital Logistics  3505026679"/>
    <s v="Dutch"/>
    <x v="0"/>
    <x v="43"/>
    <n v="98"/>
    <s v="2364066063"/>
    <n v="92"/>
    <s v="16/02/2026"/>
    <n v="95"/>
    <s v="Fresenius Medical Care Nederland BV"/>
    <n v="50"/>
    <s v="Hospital Logistics MDC / Erasmus MC"/>
    <n v="50"/>
    <x v="0"/>
    <n v="50"/>
    <x v="9"/>
    <n v="50"/>
    <s v="F00010398"/>
    <n v="95"/>
    <s v="Ci-Ca Dialysate K4 Plus, 4mmol/l K+, LC1"/>
    <n v="50"/>
    <n v="832"/>
    <n v="92"/>
    <s v="ST"/>
    <n v="50"/>
    <m/>
    <n v="20"/>
    <m/>
    <m/>
  </r>
  <r>
    <x v="59"/>
    <x v="0"/>
    <x v="0"/>
    <d v="2026-02-27T12:44:18"/>
    <n v="70.010000000000005"/>
    <n v="151"/>
    <n v="1"/>
    <m/>
    <s v="mail - orders.NL@freseniusmedicalcare.com — Re: [EXTERNAL EMAIL] Order Hospital Logistics  3505026679"/>
    <s v="Dutch"/>
    <x v="1"/>
    <x v="43"/>
    <n v="98"/>
    <s v="2364066063"/>
    <n v="50"/>
    <s v="16/02/2026"/>
    <n v="50"/>
    <s v="Fresenius Medical Care Nederland BV"/>
    <n v="50"/>
    <s v="Hospital Logistics MDC / Erasmus MC"/>
    <n v="50"/>
    <x v="0"/>
    <n v="50"/>
    <x v="16"/>
    <n v="50"/>
    <s v="F00007433"/>
    <n v="95"/>
    <s v="multiBic 4mmol/L K+, 5000mL"/>
    <n v="50"/>
    <n v="200"/>
    <n v="92"/>
    <s v="ST"/>
    <n v="50"/>
    <m/>
    <m/>
    <m/>
    <m/>
  </r>
  <r>
    <x v="59"/>
    <x v="0"/>
    <x v="0"/>
    <d v="2026-02-27T12:44:18"/>
    <n v="70.010000000000005"/>
    <n v="151"/>
    <n v="1"/>
    <m/>
    <s v="mail - orders.NL@freseniusmedicalcare.com — Re: [EXTERNAL EMAIL] Order Hospital Logistics  3505026679"/>
    <s v="Dutch"/>
    <x v="2"/>
    <x v="43"/>
    <n v="50"/>
    <s v="2364065998"/>
    <n v="92"/>
    <s v="16/02/2026"/>
    <n v="50"/>
    <s v="Fresenius Medical Care Nederland BV"/>
    <n v="50"/>
    <s v="Hospital Logistics Nederland (AZM)"/>
    <n v="50"/>
    <x v="0"/>
    <n v="50"/>
    <x v="9"/>
    <n v="50"/>
    <s v="5008201"/>
    <n v="96"/>
    <s v="DIASAFE PLUS FILTER"/>
    <n v="50"/>
    <n v="80"/>
    <n v="50"/>
    <s v="ST"/>
    <n v="50"/>
    <s v="117,70"/>
    <n v="95"/>
    <m/>
    <m/>
  </r>
  <r>
    <x v="59"/>
    <x v="0"/>
    <x v="0"/>
    <d v="2026-02-27T12:44:18"/>
    <n v="70.010000000000005"/>
    <n v="151"/>
    <n v="1"/>
    <m/>
    <s v="mail - orders.NL@freseniusmedicalcare.com — Re: [EXTERNAL EMAIL] Order Hospital Logistics  3505026679"/>
    <s v="Dutch"/>
    <x v="3"/>
    <x v="43"/>
    <n v="50"/>
    <s v="2364065998"/>
    <n v="50"/>
    <s v="16/02/2026"/>
    <n v="50"/>
    <s v="Fresenius Medical Care Nederland BV"/>
    <n v="50"/>
    <s v="Hospital Logistics Nederland (AZM)"/>
    <n v="50"/>
    <x v="0"/>
    <n v="50"/>
    <x v="16"/>
    <n v="50"/>
    <s v="F00007729"/>
    <n v="96"/>
    <s v="6008 CAREset BVM L-R"/>
    <n v="50"/>
    <n v="1040"/>
    <n v="50"/>
    <s v="ST"/>
    <n v="50"/>
    <s v="9,13"/>
    <n v="95"/>
    <m/>
    <m/>
  </r>
  <r>
    <x v="59"/>
    <x v="0"/>
    <x v="0"/>
    <d v="2026-02-27T12:44:18"/>
    <n v="70.010000000000005"/>
    <n v="151"/>
    <n v="1"/>
    <m/>
    <s v="mail - orders.NL@freseniusmedicalcare.com — Re: [EXTERNAL EMAIL] Order Hospital Logistics  3505026679"/>
    <s v="Dutch"/>
    <x v="4"/>
    <x v="43"/>
    <n v="50"/>
    <s v="2364065951"/>
    <n v="50"/>
    <s v="16/02/2026"/>
    <n v="50"/>
    <s v="Fresenius Medical Care Nederland BV"/>
    <n v="50"/>
    <s v="Hospital Logistics Nederland (Zuyd.)"/>
    <n v="50"/>
    <x v="0"/>
    <n v="50"/>
    <x v="9"/>
    <n v="50"/>
    <s v="7030011"/>
    <n v="96"/>
    <s v="PROLONGATION LLF-LLM 75 cm R"/>
    <n v="50"/>
    <n v="400"/>
    <n v="50"/>
    <s v="ST"/>
    <n v="50"/>
    <s v="2,53"/>
    <n v="95"/>
    <m/>
    <m/>
  </r>
  <r>
    <x v="59"/>
    <x v="0"/>
    <x v="0"/>
    <d v="2026-02-27T12:44:18"/>
    <n v="70.010000000000005"/>
    <n v="151"/>
    <n v="1"/>
    <m/>
    <s v="mail - orders.NL@freseniusmedicalcare.com — Re: [EXTERNAL EMAIL] Order Hospital Logistics  3505026679"/>
    <s v="Dutch"/>
    <x v="5"/>
    <x v="43"/>
    <n v="50"/>
    <s v="2364065951"/>
    <n v="50"/>
    <s v="16/02/2026"/>
    <n v="50"/>
    <s v="Fresenius Medical Care Nederland BV"/>
    <n v="50"/>
    <s v="Hospital Logistics Nederland (Zuyd.)"/>
    <n v="50"/>
    <x v="0"/>
    <n v="50"/>
    <x v="16"/>
    <n v="50"/>
    <s v="F00003229"/>
    <n v="95"/>
    <s v="VenAcc Patch"/>
    <n v="50"/>
    <n v="200"/>
    <n v="50"/>
    <s v="ST"/>
    <n v="50"/>
    <s v="3,71"/>
    <n v="95"/>
    <m/>
    <m/>
  </r>
  <r>
    <x v="59"/>
    <x v="0"/>
    <x v="0"/>
    <d v="2026-02-27T12:44:18"/>
    <n v="70.010000000000005"/>
    <n v="151"/>
    <n v="1"/>
    <m/>
    <s v="mail - orders.NL@freseniusmedicalcare.com — Re: [EXTERNAL EMAIL] Order Hospital Logistics  3505026679"/>
    <s v="Dutch"/>
    <x v="6"/>
    <x v="43"/>
    <n v="50"/>
    <s v="2364065951"/>
    <n v="50"/>
    <s v="16/02/2026"/>
    <n v="50"/>
    <s v="Fresenius Medical Care Nederland BV"/>
    <n v="50"/>
    <s v="Hospital Logistics Nederland (Zuyd.)"/>
    <n v="50"/>
    <x v="0"/>
    <n v="50"/>
    <x v="17"/>
    <n v="50"/>
    <s v="F00012523"/>
    <n v="95"/>
    <s v="Freka-NOL 2L"/>
    <n v="50"/>
    <n v="30"/>
    <n v="50"/>
    <s v="ST"/>
    <n v="50"/>
    <s v="14,88"/>
    <n v="95"/>
    <m/>
    <m/>
  </r>
  <r>
    <x v="59"/>
    <x v="0"/>
    <x v="0"/>
    <d v="2026-02-27T12:44:18"/>
    <n v="70.010000000000005"/>
    <n v="151"/>
    <n v="1"/>
    <m/>
    <s v="mail - orders.NL@freseniusmedicalcare.com — Re: [EXTERNAL EMAIL] Order Hospital Logistics  3505026679"/>
    <s v="Dutch"/>
    <x v="7"/>
    <x v="43"/>
    <n v="50"/>
    <s v="2364065929"/>
    <n v="50"/>
    <s v="16/02/2026"/>
    <n v="50"/>
    <s v="Fresenius Medical Care Nederland BV"/>
    <n v="50"/>
    <s v="Hospital Logistics Nederland (Bernhoven)"/>
    <n v="50"/>
    <x v="0"/>
    <n v="50"/>
    <x v="9"/>
    <n v="50"/>
    <s v="5060781"/>
    <n v="94"/>
    <s v="BIBAG 650g 5008"/>
    <n v="50"/>
    <n v="1280"/>
    <n v="93"/>
    <s v="ST"/>
    <n v="50"/>
    <m/>
    <m/>
    <m/>
    <m/>
  </r>
  <r>
    <x v="59"/>
    <x v="0"/>
    <x v="0"/>
    <d v="2026-02-27T12:44:18"/>
    <n v="70.010000000000005"/>
    <n v="151"/>
    <n v="1"/>
    <m/>
    <s v="mail - orders.NL@freseniusmedicalcare.com — Re: [EXTERNAL EMAIL] Order Hospital Logistics  3505026679"/>
    <s v="Dutch"/>
    <x v="8"/>
    <x v="43"/>
    <n v="50"/>
    <s v="2364065929"/>
    <n v="50"/>
    <s v="16/02/2026"/>
    <n v="50"/>
    <s v="Fresenius Medical Care Nederland BV"/>
    <n v="50"/>
    <s v="Hospital Logistics Nederland (Bernhoven)"/>
    <n v="50"/>
    <x v="0"/>
    <n v="50"/>
    <x v="16"/>
    <n v="50"/>
    <s v="F00002387"/>
    <n v="94"/>
    <s v="FX 80 classix"/>
    <n v="50"/>
    <n v="72"/>
    <n v="50"/>
    <s v="ST"/>
    <n v="50"/>
    <s v="31,64"/>
    <n v="30"/>
    <m/>
    <m/>
  </r>
  <r>
    <x v="59"/>
    <x v="0"/>
    <x v="0"/>
    <d v="2026-02-27T12:44:18"/>
    <n v="70.010000000000005"/>
    <n v="151"/>
    <n v="1"/>
    <m/>
    <s v="mail - orders.NL@freseniusmedicalcare.com — Re: [EXTERNAL EMAIL] Order Hospital Logistics  3505026679"/>
    <s v="Dutch"/>
    <x v="9"/>
    <x v="43"/>
    <n v="50"/>
    <s v="2364065929"/>
    <n v="50"/>
    <s v="16/02/2026"/>
    <n v="50"/>
    <s v="Fresenius Medical Care Nederland BV"/>
    <n v="50"/>
    <s v="Hospital Logistics Nederland (Bernhoven)"/>
    <n v="50"/>
    <x v="0"/>
    <n v="50"/>
    <x v="17"/>
    <n v="50"/>
    <s v="5060801"/>
    <n v="94"/>
    <s v="BIBAG 900g 5008"/>
    <n v="50"/>
    <n v="480"/>
    <n v="92"/>
    <s v="ST"/>
    <n v="50"/>
    <m/>
    <m/>
    <m/>
    <m/>
  </r>
  <r>
    <x v="59"/>
    <x v="0"/>
    <x v="0"/>
    <d v="2026-02-27T12:44:18"/>
    <n v="70.010000000000005"/>
    <n v="151"/>
    <n v="1"/>
    <m/>
    <s v="mail - orders.NL@freseniusmedicalcare.com — Re: [EXTERNAL EMAIL] Order Hospital Logistics  3505026679"/>
    <s v="Dutch"/>
    <x v="10"/>
    <x v="43"/>
    <n v="50"/>
    <s v="2364065929"/>
    <n v="50"/>
    <s v="16/02/2026"/>
    <n v="50"/>
    <s v="Fresenius Medical Care Nederland BV"/>
    <n v="50"/>
    <s v="Hospital Logistics Nederland (Bernhoven)"/>
    <n v="50"/>
    <x v="0"/>
    <n v="50"/>
    <x v="18"/>
    <n v="50"/>
    <s v="F00005857"/>
    <n v="94"/>
    <s v="Citrosteril 5 L"/>
    <n v="50"/>
    <n v="30"/>
    <n v="50"/>
    <s v="ST"/>
    <n v="50"/>
    <m/>
    <m/>
    <m/>
    <m/>
  </r>
  <r>
    <x v="59"/>
    <x v="0"/>
    <x v="0"/>
    <d v="2026-02-27T12:44:18"/>
    <n v="70.010000000000005"/>
    <n v="151"/>
    <n v="1"/>
    <m/>
    <s v="mail - orders.NL@freseniusmedicalcare.com — Re: [EXTERNAL EMAIL] Order Hospital Logistics  3505026679"/>
    <s v="Dutch"/>
    <x v="11"/>
    <x v="43"/>
    <n v="50"/>
    <s v="2364065929"/>
    <n v="50"/>
    <s v="16/02/2026"/>
    <n v="50"/>
    <s v="Fresenius Medical Care Nederland BV"/>
    <n v="50"/>
    <s v="Hospital Logistics Nederland (Bernhoven)"/>
    <n v="50"/>
    <x v="0"/>
    <n v="50"/>
    <x v="19"/>
    <n v="50"/>
    <s v="F00006341"/>
    <n v="94"/>
    <s v="AC-F 311.5 (4.2L)"/>
    <n v="50"/>
    <n v="30"/>
    <n v="50"/>
    <s v="ST"/>
    <n v="50"/>
    <m/>
    <m/>
    <m/>
    <m/>
  </r>
  <r>
    <x v="59"/>
    <x v="0"/>
    <x v="0"/>
    <d v="2026-02-27T12:44:18"/>
    <n v="70.010000000000005"/>
    <n v="151"/>
    <n v="1"/>
    <m/>
    <s v="mail - orders.NL@freseniusmedicalcare.com — Re: [EXTERNAL EMAIL] Order Hospital Logistics  3505026679"/>
    <s v="Dutch"/>
    <x v="12"/>
    <x v="43"/>
    <n v="50"/>
    <s v="2364065876"/>
    <n v="50"/>
    <s v="16/02/2026"/>
    <n v="50"/>
    <s v="Fresenius Medical Care Nederland BV"/>
    <n v="50"/>
    <s v="Hospital Logistics Nederland (Bern)"/>
    <n v="50"/>
    <x v="0"/>
    <n v="50"/>
    <x v="9"/>
    <n v="50"/>
    <s v="F00007727"/>
    <n v="96"/>
    <s v="6008 CAREset BVM-R"/>
    <n v="50"/>
    <n v="520"/>
    <n v="50"/>
    <s v="ST"/>
    <n v="50"/>
    <s v="8,21"/>
    <n v="95"/>
    <m/>
    <m/>
  </r>
  <r>
    <x v="60"/>
    <x v="0"/>
    <x v="0"/>
    <d v="2026-02-27T12:44:18"/>
    <n v="91.16"/>
    <n v="52"/>
    <n v="0"/>
    <m/>
    <s v="mail - orders.NL@hartmann.info — HARTMANN: ORDERBEVESTIGING0021752283"/>
    <s v="Dutch"/>
    <x v="0"/>
    <x v="44"/>
    <n v="98"/>
    <s v="21752283"/>
    <n v="95"/>
    <s v="16/02/2026"/>
    <n v="96"/>
    <s v="Paul Hartmann B.V."/>
    <n v="98"/>
    <s v="Hospital Logistics Nederland B.V."/>
    <n v="95"/>
    <x v="0"/>
    <n v="92"/>
    <x v="9"/>
    <n v="98"/>
    <s v="9814402"/>
    <n v="80"/>
    <s v="Bacillol AF tissues"/>
    <n v="95"/>
    <n v="60"/>
    <n v="95"/>
    <s v="pak"/>
    <n v="85"/>
    <s v="38,34 EUR"/>
    <n v="96"/>
    <s v="20/02/2026"/>
    <n v="95"/>
  </r>
  <r>
    <x v="60"/>
    <x v="0"/>
    <x v="0"/>
    <d v="2026-02-27T12:44:18"/>
    <n v="91.16"/>
    <n v="52"/>
    <n v="0"/>
    <m/>
    <s v="mail - orders.NL@hartmann.info — HARTMANN: ORDERBEVESTIGING0021752283"/>
    <s v="Dutch"/>
    <x v="1"/>
    <x v="44"/>
    <n v="98"/>
    <s v="21752283"/>
    <n v="95"/>
    <s v="16/02/2026"/>
    <n v="96"/>
    <s v="Paul Hartmann B.V."/>
    <n v="98"/>
    <s v="Hospital Logistics Nederland B.V."/>
    <n v="95"/>
    <x v="0"/>
    <n v="92"/>
    <x v="16"/>
    <n v="98"/>
    <s v="9811843"/>
    <n v="85"/>
    <s v="Sterillium Med 500 ml"/>
    <n v="96"/>
    <n v="5"/>
    <n v="95"/>
    <s v="stuk"/>
    <n v="90"/>
    <s v="59,00 EUR"/>
    <n v="96"/>
    <s v="20/02/2026"/>
    <n v="95"/>
  </r>
  <r>
    <x v="60"/>
    <x v="0"/>
    <x v="0"/>
    <d v="2026-02-27T12:44:18"/>
    <n v="91.16"/>
    <n v="52"/>
    <n v="0"/>
    <m/>
    <s v="mail - orders.NL@hartmann.info — HARTMANN: ORDERBEVESTIGING0021752283"/>
    <s v="Dutch"/>
    <x v="2"/>
    <x v="44"/>
    <n v="98"/>
    <s v="21752283"/>
    <n v="95"/>
    <s v="16/02/2026"/>
    <n v="96"/>
    <s v="Paul Hartmann B.V."/>
    <n v="98"/>
    <s v="Hospital Logistics Nederland B.V."/>
    <n v="95"/>
    <x v="0"/>
    <n v="92"/>
    <x v="17"/>
    <n v="98"/>
    <s v="9813285"/>
    <n v="82"/>
    <s v="Baktolin pure 500ml"/>
    <n v="95"/>
    <n v="3"/>
    <n v="95"/>
    <s v="stuk"/>
    <n v="90"/>
    <s v="40,11 EUR"/>
    <n v="96"/>
    <s v="20/02/2026"/>
    <n v="95"/>
  </r>
  <r>
    <x v="60"/>
    <x v="0"/>
    <x v="0"/>
    <d v="2026-02-27T12:44:18"/>
    <n v="91.16"/>
    <n v="52"/>
    <n v="0"/>
    <m/>
    <s v="mail - orders.NL@hartmann.info — HARTMANN: ORDERBEVESTIGING0021752283"/>
    <s v="Dutch"/>
    <x v="3"/>
    <x v="44"/>
    <n v="98"/>
    <s v="21752283"/>
    <n v="95"/>
    <s v="16/02/2026"/>
    <n v="96"/>
    <s v="Paul Hartmann B.V."/>
    <n v="98"/>
    <s v="Hospital Logistics Nederland B.V."/>
    <n v="95"/>
    <x v="0"/>
    <n v="92"/>
    <x v="18"/>
    <n v="98"/>
    <s v="9819871"/>
    <n v="80"/>
    <s v="Bacillol 30 Sens. Tiss.green"/>
    <n v="93"/>
    <n v="24"/>
    <n v="95"/>
    <s v="120st"/>
    <n v="88"/>
    <s v="36,72 EUR"/>
    <n v="96"/>
    <s v="20/02/2026"/>
    <n v="95"/>
  </r>
  <r>
    <x v="61"/>
    <x v="0"/>
    <x v="0"/>
    <d v="2026-02-27T12:44:18"/>
    <n v="69.849999999999994"/>
    <n v="130"/>
    <n v="0"/>
    <m/>
    <s v="mail - orders.be@duomed.com — Orderbevestiging C007-S2607598-1"/>
    <s v="Dutch"/>
    <x v="0"/>
    <x v="45"/>
    <n v="50"/>
    <s v="C007-S2607598-1"/>
    <n v="50"/>
    <s v="16/02/2026"/>
    <n v="50"/>
    <s v="Duomed Belgium NV/SA"/>
    <n v="50"/>
    <s v="Hospital Logistics"/>
    <n v="50"/>
    <x v="0"/>
    <n v="50"/>
    <x v="0"/>
    <n v="50"/>
    <s v="M1004132"/>
    <n v="95"/>
    <s v="HMEF 750"/>
    <n v="90"/>
    <n v="4"/>
    <n v="95"/>
    <s v="B50"/>
    <n v="85"/>
    <s v="70.71"/>
    <n v="94"/>
    <s v="19/02/2026"/>
    <n v="96"/>
  </r>
  <r>
    <x v="61"/>
    <x v="0"/>
    <x v="0"/>
    <d v="2026-02-27T12:44:18"/>
    <n v="69.849999999999994"/>
    <n v="130"/>
    <n v="0"/>
    <m/>
    <s v="mail - orders.be@duomed.com — Orderbevestiging C007-S2607598-1"/>
    <s v="Dutch"/>
    <x v="1"/>
    <x v="45"/>
    <n v="50"/>
    <s v="C007-S2607598-1"/>
    <n v="50"/>
    <s v="16/02/2026"/>
    <n v="50"/>
    <s v="Duomed Belgium NV/SA"/>
    <n v="50"/>
    <s v="Hospital Logistics"/>
    <n v="50"/>
    <x v="0"/>
    <n v="50"/>
    <x v="1"/>
    <n v="50"/>
    <s v="TP1101"/>
    <n v="95"/>
    <s v="Zakje Suture Strips 6mmx76mm (3 Strips)"/>
    <n v="50"/>
    <n v="2"/>
    <n v="50"/>
    <s v="B50"/>
    <n v="50"/>
    <s v="50.88"/>
    <n v="50"/>
    <s v="19/02/2026"/>
    <n v="50"/>
  </r>
  <r>
    <x v="61"/>
    <x v="0"/>
    <x v="0"/>
    <d v="2026-02-27T12:44:18"/>
    <n v="69.849999999999994"/>
    <n v="130"/>
    <n v="0"/>
    <m/>
    <s v="mail - orders.be@duomed.com — Orderbevestiging C007-S2607598-1"/>
    <s v="Dutch"/>
    <x v="2"/>
    <x v="45"/>
    <n v="50"/>
    <s v="C007-S2607598-1"/>
    <n v="50"/>
    <s v="16/02/2026"/>
    <n v="50"/>
    <s v="Duomed Belgium NV/SA"/>
    <n v="50"/>
    <s v="Hospital Logistics"/>
    <n v="50"/>
    <x v="0"/>
    <n v="50"/>
    <x v="2"/>
    <n v="50"/>
    <s v="E6020"/>
    <n v="95"/>
    <s v="C-Arm Drape B Model XI (1)"/>
    <n v="50"/>
    <n v="2"/>
    <n v="50"/>
    <s v="B30"/>
    <n v="50"/>
    <s v="342.36"/>
    <n v="50"/>
    <s v="19/02/2026"/>
    <n v="50"/>
  </r>
  <r>
    <x v="61"/>
    <x v="0"/>
    <x v="0"/>
    <d v="2026-02-27T12:44:18"/>
    <n v="69.849999999999994"/>
    <n v="130"/>
    <n v="0"/>
    <m/>
    <s v="mail - orders.be@duomed.com — Orderbevestiging C007-S2607598-1"/>
    <s v="Dutch"/>
    <x v="3"/>
    <x v="45"/>
    <n v="50"/>
    <s v="C007-S2607598-1"/>
    <n v="50"/>
    <s v="16/02/2026"/>
    <n v="50"/>
    <s v="Duomed Belgium NV/SA"/>
    <n v="50"/>
    <s v="Hospital Logistics"/>
    <n v="50"/>
    <x v="0"/>
    <n v="50"/>
    <x v="3"/>
    <n v="50"/>
    <s v="AFNXXXXXX"/>
    <n v="90"/>
    <s v="Limbo 1,83m-Elbow-gas sampling"/>
    <n v="50"/>
    <n v="1"/>
    <n v="50"/>
    <s v="B20"/>
    <n v="50"/>
    <s v="183.47"/>
    <n v="50"/>
    <s v="19/02/2026"/>
    <n v="50"/>
  </r>
  <r>
    <x v="61"/>
    <x v="0"/>
    <x v="0"/>
    <d v="2026-02-27T12:44:18"/>
    <n v="69.849999999999994"/>
    <n v="130"/>
    <n v="0"/>
    <m/>
    <s v="mail - orders.be@duomed.com — Orderbevestiging C007-S2607598-1"/>
    <s v="Dutch"/>
    <x v="4"/>
    <x v="45"/>
    <n v="50"/>
    <s v="C007-S2607598-1"/>
    <n v="50"/>
    <s v="16/02/2026"/>
    <n v="50"/>
    <s v="Duomed Belgium NV/SA"/>
    <n v="50"/>
    <s v="Hospital Logistics"/>
    <n v="50"/>
    <x v="0"/>
    <n v="50"/>
    <x v="4"/>
    <n v="50"/>
    <s v="01.000.08.110"/>
    <n v="92"/>
    <s v="Zuurstofmasker Volwassen, 2,1M Leiding"/>
    <n v="50"/>
    <n v="2"/>
    <n v="50"/>
    <s v="B50"/>
    <n v="50"/>
    <s v="43.80"/>
    <n v="50"/>
    <s v="19/02/2026"/>
    <n v="50"/>
  </r>
  <r>
    <x v="61"/>
    <x v="0"/>
    <x v="0"/>
    <d v="2026-02-27T12:44:18"/>
    <n v="69.849999999999994"/>
    <n v="130"/>
    <n v="0"/>
    <m/>
    <s v="mail - orders.be@duomed.com — Orderbevestiging C007-S2607598-1"/>
    <s v="Dutch"/>
    <x v="5"/>
    <x v="45"/>
    <n v="50"/>
    <s v="C007-S2607598-1"/>
    <n v="50"/>
    <s v="16/02/2026"/>
    <n v="50"/>
    <s v="Duomed Belgium NV/SA"/>
    <n v="50"/>
    <s v="Hospital Logistics"/>
    <n v="50"/>
    <x v="0"/>
    <n v="50"/>
    <x v="5"/>
    <n v="50"/>
    <s v="1837639HD"/>
    <n v="92"/>
    <s v="Aniosrub 85 Npc 500ml Dispenser - Notif 091"/>
    <n v="50"/>
    <n v="5"/>
    <n v="50"/>
    <s v="B12"/>
    <n v="50"/>
    <s v="42.30"/>
    <n v="50"/>
    <s v="19/02/2026"/>
    <n v="50"/>
  </r>
  <r>
    <x v="61"/>
    <x v="0"/>
    <x v="0"/>
    <d v="2026-02-27T12:44:18"/>
    <n v="69.849999999999994"/>
    <n v="130"/>
    <n v="0"/>
    <m/>
    <s v="mail - orders.be@duomed.com — Orderbevestiging C007-S2607598-1"/>
    <s v="Dutch"/>
    <x v="6"/>
    <x v="45"/>
    <n v="50"/>
    <s v="C007-S2607598-1"/>
    <n v="50"/>
    <s v="16/02/2026"/>
    <n v="50"/>
    <s v="Duomed Belgium NV/SA"/>
    <n v="50"/>
    <s v="Hospital Logistics"/>
    <n v="50"/>
    <x v="0"/>
    <n v="50"/>
    <x v="6"/>
    <n v="50"/>
    <s v="1644748HD"/>
    <n v="92"/>
    <s v="Aniosgel 85 Npc Fles 500ml+3 ml Pomp - Notif 093"/>
    <n v="50"/>
    <n v="10"/>
    <n v="50"/>
    <s v="B12"/>
    <n v="50"/>
    <s v="36.85"/>
    <n v="50"/>
    <s v="19/02/2026"/>
    <n v="50"/>
  </r>
  <r>
    <x v="61"/>
    <x v="0"/>
    <x v="0"/>
    <d v="2026-02-27T12:44:18"/>
    <n v="69.849999999999994"/>
    <n v="130"/>
    <n v="0"/>
    <m/>
    <s v="mail - orders.be@duomed.com — Orderbevestiging C007-S2607598-1"/>
    <s v="Dutch"/>
    <x v="7"/>
    <x v="45"/>
    <n v="50"/>
    <s v="C007-S2607598-1"/>
    <n v="50"/>
    <s v="16/02/2026"/>
    <n v="50"/>
    <s v="Duomed Belgium NV/SA"/>
    <n v="50"/>
    <s v="Hospital Logistics"/>
    <n v="50"/>
    <x v="0"/>
    <n v="50"/>
    <x v="7"/>
    <n v="50"/>
    <s v="01.000.08.753"/>
    <n v="92"/>
    <s v="Aerosolmasker Volw.+ Vernev 6ml, 210cm Leiding"/>
    <n v="50"/>
    <n v="2"/>
    <n v="50"/>
    <s v="B50"/>
    <n v="50"/>
    <s v="60.60"/>
    <n v="50"/>
    <s v="19/02/2026"/>
    <n v="50"/>
  </r>
  <r>
    <x v="61"/>
    <x v="0"/>
    <x v="0"/>
    <d v="2026-02-27T12:44:18"/>
    <n v="69.849999999999994"/>
    <n v="130"/>
    <n v="0"/>
    <m/>
    <s v="mail - orders.be@duomed.com — Orderbevestiging C007-S2607598-1"/>
    <s v="Dutch"/>
    <x v="8"/>
    <x v="45"/>
    <n v="50"/>
    <s v="C007-S2607598-1"/>
    <n v="50"/>
    <s v="16/02/2026"/>
    <n v="50"/>
    <s v="Duomed Belgium NV/SA"/>
    <n v="50"/>
    <s v="Hospital Logistics"/>
    <n v="50"/>
    <x v="0"/>
    <n v="50"/>
    <x v="8"/>
    <n v="50"/>
    <s v="423289"/>
    <n v="92"/>
    <s v="Esenta Adhesive Remover Spray (1x50ml)"/>
    <n v="50"/>
    <n v="2"/>
    <n v="50"/>
    <s v="B12"/>
    <n v="50"/>
    <s v="184.98"/>
    <n v="50"/>
    <s v="19/02/2026"/>
    <n v="50"/>
  </r>
  <r>
    <x v="61"/>
    <x v="0"/>
    <x v="0"/>
    <d v="2026-02-27T12:44:18"/>
    <n v="69.849999999999994"/>
    <n v="130"/>
    <n v="0"/>
    <m/>
    <s v="mail - orders.be@duomed.com — Orderbevestiging C007-S2607598-1"/>
    <s v="Dutch"/>
    <x v="9"/>
    <x v="45"/>
    <n v="50"/>
    <s v="C007-S2607598-1"/>
    <n v="50"/>
    <s v="16/02/2026"/>
    <n v="50"/>
    <s v="Duomed Belgium NV/SA"/>
    <n v="50"/>
    <s v="Hospital Logistics"/>
    <n v="50"/>
    <x v="0"/>
    <n v="50"/>
    <x v="9"/>
    <n v="50"/>
    <s v="3148468"/>
    <n v="92"/>
    <s v="Incidin Pro 2 L Aut.4618B"/>
    <n v="50"/>
    <n v="2"/>
    <n v="50"/>
    <s v="B3"/>
    <n v="50"/>
    <s v="87.40"/>
    <n v="50"/>
    <s v="19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0"/>
    <x v="46"/>
    <n v="50"/>
    <s v="21752292"/>
    <n v="50"/>
    <s v="16/02/2026"/>
    <n v="50"/>
    <s v="Paul Hartmann B.V."/>
    <n v="50"/>
    <s v="Hospital Logistics Nederland B.V."/>
    <n v="50"/>
    <x v="0"/>
    <n v="50"/>
    <x v="9"/>
    <n v="50"/>
    <s v="9325346"/>
    <n v="50"/>
    <s v="Verba gr. 4 br 25cm 95-105cm"/>
    <n v="50"/>
    <n v="15"/>
    <n v="50"/>
    <s v="ST"/>
    <n v="50"/>
    <s v="14.18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1"/>
    <x v="46"/>
    <n v="50"/>
    <s v="21752292"/>
    <n v="50"/>
    <s v="16/02/2026"/>
    <n v="50"/>
    <s v="Paul Hartmann B.V."/>
    <n v="50"/>
    <s v="Hospital Logistics Nederland B.V."/>
    <n v="50"/>
    <x v="0"/>
    <n v="50"/>
    <x v="16"/>
    <n v="50"/>
    <s v="4137010"/>
    <n v="50"/>
    <s v="Zetuvit st 10x10cm"/>
    <n v="50"/>
    <n v="5"/>
    <n v="50"/>
    <s v="OK"/>
    <n v="50"/>
    <s v="29.01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2"/>
    <x v="46"/>
    <n v="50"/>
    <s v="21752292"/>
    <n v="50"/>
    <s v="16/02/2026"/>
    <n v="50"/>
    <s v="Paul Hartmann B.V."/>
    <n v="50"/>
    <s v="Hospital Logistics Nederland B.V."/>
    <n v="50"/>
    <x v="0"/>
    <n v="50"/>
    <x v="17"/>
    <n v="50"/>
    <s v="4137048"/>
    <n v="50"/>
    <s v="Zetuvit st 20x40cm"/>
    <n v="50"/>
    <n v="5"/>
    <n v="50"/>
    <s v="OK"/>
    <n v="50"/>
    <s v="33.18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3"/>
    <x v="46"/>
    <n v="50"/>
    <s v="21752292"/>
    <n v="50"/>
    <s v="16/02/2026"/>
    <n v="50"/>
    <s v="Paul Hartmann B.V."/>
    <n v="50"/>
    <s v="Hospital Logistics Nederland B.V."/>
    <n v="50"/>
    <x v="0"/>
    <n v="50"/>
    <x v="18"/>
    <n v="50"/>
    <s v="4110753"/>
    <n v="50"/>
    <s v="Medicomp 10x20cm s"/>
    <n v="50"/>
    <n v="30"/>
    <n v="50"/>
    <s v="FS"/>
    <n v="50"/>
    <s v="8.72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4"/>
    <x v="46"/>
    <n v="50"/>
    <s v="21752292"/>
    <n v="50"/>
    <s v="16/02/2026"/>
    <n v="50"/>
    <s v="Paul Hartmann B.V."/>
    <n v="50"/>
    <s v="Hospital Logistics Nederland B.V."/>
    <n v="50"/>
    <x v="0"/>
    <n v="50"/>
    <x v="19"/>
    <n v="50"/>
    <s v="1680490"/>
    <n v="50"/>
    <s v="MoliCare Premium lady Pad 4.5D"/>
    <n v="50"/>
    <n v="48"/>
    <n v="50"/>
    <s v="ZK"/>
    <n v="50"/>
    <s v="2.57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5"/>
    <x v="46"/>
    <n v="50"/>
    <s v="21752292"/>
    <n v="50"/>
    <s v="16/02/2026"/>
    <n v="50"/>
    <s v="Paul Hartmann B.V."/>
    <n v="50"/>
    <s v="Hospital Logistics Nederland B.V."/>
    <n v="50"/>
    <x v="0"/>
    <n v="50"/>
    <x v="20"/>
    <n v="50"/>
    <s v="1652742"/>
    <n v="50"/>
    <s v="MoliCare Elastic 6dr mt XL"/>
    <n v="50"/>
    <n v="3"/>
    <n v="50"/>
    <s v="OK"/>
    <n v="50"/>
    <s v="28.82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6"/>
    <x v="46"/>
    <n v="50"/>
    <s v="21752292"/>
    <n v="50"/>
    <s v="16/02/2026"/>
    <n v="50"/>
    <s v="Paul Hartmann B.V."/>
    <n v="50"/>
    <s v="Hospital Logistics Nederland B.V."/>
    <n v="50"/>
    <x v="0"/>
    <n v="50"/>
    <x v="21"/>
    <n v="50"/>
    <s v="4521373"/>
    <n v="50"/>
    <s v="Telacomp tms 10x20cm 12lg s"/>
    <n v="50"/>
    <n v="3"/>
    <n v="50"/>
    <s v="FS"/>
    <n v="50"/>
    <s v="12.54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7"/>
    <x v="46"/>
    <n v="50"/>
    <s v="21752292"/>
    <n v="50"/>
    <s v="16/02/2026"/>
    <n v="50"/>
    <s v="Paul Hartmann B.V."/>
    <n v="50"/>
    <s v="Hospital Logistics Nederland B.V."/>
    <n v="50"/>
    <x v="0"/>
    <n v="50"/>
    <x v="22"/>
    <n v="50"/>
    <s v="5353814"/>
    <n v="50"/>
    <s v="DP Injectie pleister 16x40mm"/>
    <n v="50"/>
    <n v="10"/>
    <n v="50"/>
    <s v="FS"/>
    <n v="50"/>
    <s v="1.64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8"/>
    <x v="46"/>
    <n v="50"/>
    <s v="21752292"/>
    <n v="50"/>
    <s v="16/02/2026"/>
    <n v="50"/>
    <s v="Paul Hartmann B.V."/>
    <n v="50"/>
    <s v="Hospital Logistics Nederland B.V."/>
    <n v="50"/>
    <x v="0"/>
    <n v="50"/>
    <x v="23"/>
    <n v="50"/>
    <s v="5406847"/>
    <n v="50"/>
    <s v="Omnistrip 6x10mm st"/>
    <n v="50"/>
    <n v="4"/>
    <n v="50"/>
    <s v="FS"/>
    <n v="50"/>
    <s v="16.20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9"/>
    <x v="46"/>
    <n v="50"/>
    <s v="21752292"/>
    <n v="50"/>
    <s v="16/02/2026"/>
    <n v="50"/>
    <s v="Paul Hartmann B.V."/>
    <n v="50"/>
    <s v="Hospital Logistics Nederland B.V."/>
    <n v="50"/>
    <x v="0"/>
    <n v="50"/>
    <x v="24"/>
    <n v="50"/>
    <s v="7163130"/>
    <n v="50"/>
    <s v="Samu kraamverband maxi plus"/>
    <n v="50"/>
    <n v="28"/>
    <n v="50"/>
    <s v="ZK"/>
    <n v="50"/>
    <s v="3.54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10"/>
    <x v="46"/>
    <n v="50"/>
    <s v="21752292"/>
    <n v="50"/>
    <s v="16/02/2026"/>
    <n v="50"/>
    <s v="Paul Hartmann B.V."/>
    <n v="50"/>
    <s v="Hospital Logistics Nederland B.V."/>
    <n v="50"/>
    <x v="0"/>
    <n v="50"/>
    <x v="25"/>
    <n v="50"/>
    <s v="9320491"/>
    <n v="50"/>
    <s v="rolta soft 3mx10cm"/>
    <n v="50"/>
    <n v="4"/>
    <n v="50"/>
    <s v="OK"/>
    <n v="50"/>
    <s v="12.92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11"/>
    <x v="46"/>
    <n v="50"/>
    <s v="21752292"/>
    <n v="50"/>
    <s v="16/02/2026"/>
    <n v="50"/>
    <s v="Paul Hartmann B.V."/>
    <n v="50"/>
    <s v="Hospital Logistics Nederland B.V."/>
    <n v="50"/>
    <x v="0"/>
    <n v="50"/>
    <x v="26"/>
    <n v="50"/>
    <s v="3000450"/>
    <n v="50"/>
    <s v="Peha-haft latexvrij 20mx8cm"/>
    <n v="50"/>
    <n v="4"/>
    <n v="50"/>
    <s v="OK"/>
    <n v="50"/>
    <s v="48.89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12"/>
    <x v="46"/>
    <n v="50"/>
    <s v="21752292"/>
    <n v="50"/>
    <s v="16/02/2026"/>
    <n v="50"/>
    <s v="Paul Hartmann B.V."/>
    <n v="50"/>
    <s v="Hospital Logistics Nederland B.V."/>
    <n v="50"/>
    <x v="0"/>
    <n v="50"/>
    <x v="27"/>
    <n v="50"/>
    <s v="9325336"/>
    <n v="50"/>
    <s v="Verba gr. 3 br 25cm 85-95cm"/>
    <n v="50"/>
    <n v="16"/>
    <n v="50"/>
    <s v="ST"/>
    <n v="50"/>
    <s v="14.18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13"/>
    <x v="46"/>
    <n v="50"/>
    <s v="21752292"/>
    <n v="50"/>
    <s v="16/02/2026"/>
    <n v="50"/>
    <s v="Paul Hartmann B.V."/>
    <n v="50"/>
    <s v="Hospital Logistics Nederland B.V."/>
    <n v="50"/>
    <x v="0"/>
    <n v="50"/>
    <x v="28"/>
    <n v="50"/>
    <s v="9820170"/>
    <n v="50"/>
    <s v="Sterillium Gel pure 500 ml"/>
    <n v="50"/>
    <n v="1"/>
    <n v="50"/>
    <s v="OK"/>
    <n v="50"/>
    <s v="85.15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14"/>
    <x v="46"/>
    <n v="50"/>
    <s v="21752292"/>
    <n v="50"/>
    <s v="16/02/2026"/>
    <n v="50"/>
    <s v="Paul Hartmann B.V."/>
    <n v="50"/>
    <s v="Hospital Logistics Nederland B.V."/>
    <n v="50"/>
    <x v="0"/>
    <n v="50"/>
    <x v="29"/>
    <n v="50"/>
    <s v="6850205"/>
    <n v="50"/>
    <s v="RespoSorb Super 10x10cm"/>
    <n v="50"/>
    <n v="5"/>
    <n v="50"/>
    <s v="FS"/>
    <n v="50"/>
    <s v="2.44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15"/>
    <x v="46"/>
    <n v="50"/>
    <s v="21752292"/>
    <n v="50"/>
    <s v="16/02/2026"/>
    <n v="50"/>
    <s v="Paul Hartmann B.V."/>
    <n v="50"/>
    <s v="Hospital Logistics Nederland B.V."/>
    <n v="50"/>
    <x v="0"/>
    <n v="50"/>
    <x v="30"/>
    <n v="50"/>
    <s v="4188006"/>
    <n v="50"/>
    <s v="Sterilux ES-Komp 5x5cm 8lg"/>
    <n v="50"/>
    <n v="1"/>
    <n v="50"/>
    <s v="OK"/>
    <n v="50"/>
    <s v="17.33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16"/>
    <x v="46"/>
    <n v="50"/>
    <s v="21752292"/>
    <n v="50"/>
    <s v="16/02/2026"/>
    <n v="50"/>
    <s v="Paul Hartmann B.V."/>
    <n v="50"/>
    <s v="Hospital Logistics Nederland B.V."/>
    <n v="50"/>
    <x v="0"/>
    <n v="50"/>
    <x v="31"/>
    <n v="50"/>
    <s v="9324604"/>
    <n v="50"/>
    <s v="Peha-haft rood 6cmx20m"/>
    <n v="50"/>
    <n v="11"/>
    <n v="50"/>
    <s v="FS"/>
    <n v="50"/>
    <s v="2.24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17"/>
    <x v="46"/>
    <n v="50"/>
    <s v="21752292"/>
    <n v="50"/>
    <s v="16/02/2026"/>
    <n v="50"/>
    <s v="Paul Hartmann B.V."/>
    <n v="50"/>
    <s v="Hospital Logistics Nederland B.V."/>
    <n v="50"/>
    <x v="0"/>
    <n v="50"/>
    <x v="32"/>
    <n v="50"/>
    <s v="3000460"/>
    <n v="50"/>
    <s v="Peha-haft latexvrij 20mx12cm"/>
    <n v="50"/>
    <n v="1"/>
    <n v="50"/>
    <s v="OK"/>
    <n v="50"/>
    <s v="75.10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18"/>
    <x v="46"/>
    <n v="50"/>
    <s v="21752292"/>
    <n v="50"/>
    <s v="16/02/2026"/>
    <n v="50"/>
    <s v="Paul Hartmann B.V."/>
    <n v="50"/>
    <s v="Hospital Logistics Nederland B.V."/>
    <n v="50"/>
    <x v="0"/>
    <n v="50"/>
    <x v="33"/>
    <n v="50"/>
    <s v="9005740"/>
    <n v="50"/>
    <s v="Omniplast 2,5cm x 9,2m"/>
    <n v="50"/>
    <n v="20"/>
    <n v="50"/>
    <s v="FS"/>
    <n v="50"/>
    <s v="0.99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19"/>
    <x v="46"/>
    <n v="50"/>
    <s v="21752292"/>
    <n v="50"/>
    <s v="16/02/2026"/>
    <n v="50"/>
    <s v="Paul Hartmann B.V."/>
    <n v="50"/>
    <s v="Hospital Logistics Nederland B.V."/>
    <n v="50"/>
    <x v="0"/>
    <n v="50"/>
    <x v="34"/>
    <n v="50"/>
    <s v="9310680"/>
    <n v="50"/>
    <s v="Coverflex-grip mD T 7,5x10m"/>
    <n v="50"/>
    <n v="7"/>
    <n v="50"/>
    <s v="FS"/>
    <n v="50"/>
    <s v="8.28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20"/>
    <x v="46"/>
    <n v="50"/>
    <s v="21752292"/>
    <n v="50"/>
    <s v="16/02/2026"/>
    <n v="50"/>
    <s v="Paul Hartmann B.V."/>
    <n v="50"/>
    <s v="Hospital Logistics Nederland B.V."/>
    <n v="50"/>
    <x v="0"/>
    <n v="50"/>
    <x v="11"/>
    <n v="50"/>
    <s v="9310690"/>
    <n v="50"/>
    <s v="Coverflex-grip mT E 8,75x10m"/>
    <n v="50"/>
    <n v="5"/>
    <n v="50"/>
    <s v="FS"/>
    <n v="50"/>
    <s v="9.75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21"/>
    <x v="46"/>
    <n v="50"/>
    <s v="21752292"/>
    <n v="50"/>
    <s v="16/02/2026"/>
    <n v="50"/>
    <s v="Paul Hartmann B.V."/>
    <n v="50"/>
    <s v="Hospital Logistics Nederland B.V."/>
    <n v="50"/>
    <x v="0"/>
    <n v="50"/>
    <x v="35"/>
    <n v="50"/>
    <s v="3101102"/>
    <n v="50"/>
    <s v="Peha-lastotel 4mx4cm ongecel"/>
    <n v="50"/>
    <n v="21"/>
    <n v="50"/>
    <s v="FS"/>
    <n v="50"/>
    <s v="1.74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22"/>
    <x v="46"/>
    <n v="50"/>
    <s v="21752292"/>
    <n v="50"/>
    <s v="16/02/2026"/>
    <n v="50"/>
    <s v="Paul Hartmann B.V."/>
    <n v="50"/>
    <s v="Hospital Logistics Nederland B.V."/>
    <n v="50"/>
    <x v="0"/>
    <n v="50"/>
    <x v="36"/>
    <n v="50"/>
    <s v="9008746"/>
    <n v="50"/>
    <s v="Cosmopor E 15x8cm s"/>
    <n v="50"/>
    <n v="1"/>
    <n v="50"/>
    <s v="OK"/>
    <n v="50"/>
    <s v="49.61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23"/>
    <x v="46"/>
    <n v="50"/>
    <s v="21752292"/>
    <n v="50"/>
    <s v="16/02/2026"/>
    <n v="50"/>
    <s v="Paul Hartmann B.V."/>
    <n v="50"/>
    <s v="Hospital Logistics Nederland B.V."/>
    <n v="50"/>
    <x v="0"/>
    <n v="50"/>
    <x v="37"/>
    <n v="50"/>
    <s v="4215357"/>
    <n v="50"/>
    <s v="Medicomp drain 10x10cm s"/>
    <n v="50"/>
    <n v="1"/>
    <n v="50"/>
    <s v="OK"/>
    <n v="50"/>
    <s v="17.05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24"/>
    <x v="46"/>
    <n v="50"/>
    <s v="21752292"/>
    <n v="50"/>
    <s v="16/02/2026"/>
    <n v="50"/>
    <s v="Paul Hartmann B.V."/>
    <n v="50"/>
    <s v="Hospital Logistics Nederland B.V."/>
    <n v="50"/>
    <x v="0"/>
    <n v="50"/>
    <x v="38"/>
    <n v="50"/>
    <s v="4137039"/>
    <n v="50"/>
    <s v="Zetuvit st 20x20cm"/>
    <n v="50"/>
    <n v="2"/>
    <n v="50"/>
    <s v="OK"/>
    <n v="50"/>
    <s v="30.80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25"/>
    <x v="46"/>
    <n v="50"/>
    <s v="21752292"/>
    <n v="50"/>
    <s v="16/02/2026"/>
    <n v="50"/>
    <s v="Paul Hartmann B.V."/>
    <n v="50"/>
    <s v="Hospital Logistics Nederland B.V."/>
    <n v="50"/>
    <x v="0"/>
    <n v="50"/>
    <x v="39"/>
    <n v="50"/>
    <s v="1660150"/>
    <n v="50"/>
    <s v="MoliCare Premium Mobile 6D L"/>
    <n v="50"/>
    <n v="12"/>
    <n v="50"/>
    <s v="OK"/>
    <n v="50"/>
    <s v="33.27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26"/>
    <x v="46"/>
    <n v="50"/>
    <s v="21752292"/>
    <n v="50"/>
    <s v="16/02/2026"/>
    <n v="50"/>
    <s v="Paul Hartmann B.V."/>
    <n v="50"/>
    <s v="Hospital Logistics Nederland B.V."/>
    <n v="50"/>
    <x v="0"/>
    <n v="50"/>
    <x v="40"/>
    <n v="50"/>
    <s v="9802871"/>
    <n v="50"/>
    <s v="Sterillium 1000 ml"/>
    <n v="50"/>
    <n v="4"/>
    <n v="50"/>
    <s v="OK"/>
    <n v="50"/>
    <s v="58.75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27"/>
    <x v="46"/>
    <n v="50"/>
    <s v="21752292"/>
    <n v="50"/>
    <s v="16/02/2026"/>
    <n v="50"/>
    <s v="Paul Hartmann B.V."/>
    <n v="50"/>
    <s v="Hospital Logistics Nederland B.V."/>
    <n v="50"/>
    <x v="0"/>
    <n v="50"/>
    <x v="41"/>
    <n v="50"/>
    <s v="4995532"/>
    <n v="50"/>
    <s v="Atrauman 7,5x10cm steriel"/>
    <n v="50"/>
    <n v="1"/>
    <n v="50"/>
    <s v="OK"/>
    <n v="50"/>
    <s v="75.35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28"/>
    <x v="46"/>
    <n v="50"/>
    <s v="21752292"/>
    <n v="50"/>
    <s v="16/02/2026"/>
    <n v="50"/>
    <s v="Paul Hartmann B.V."/>
    <n v="50"/>
    <s v="Hospital Logistics Nederland B.V."/>
    <n v="50"/>
    <x v="0"/>
    <n v="50"/>
    <x v="42"/>
    <n v="50"/>
    <s v="9008736"/>
    <n v="50"/>
    <s v="Cosmopor E 10x8cm s"/>
    <n v="50"/>
    <n v="2"/>
    <n v="50"/>
    <s v="OK"/>
    <n v="50"/>
    <s v="26.30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29"/>
    <x v="46"/>
    <n v="50"/>
    <s v="21752292"/>
    <n v="50"/>
    <s v="16/02/2026"/>
    <n v="50"/>
    <s v="Paul Hartmann B.V."/>
    <n v="50"/>
    <s v="Hospital Logistics Nederland B.V."/>
    <n v="50"/>
    <x v="0"/>
    <n v="50"/>
    <x v="43"/>
    <n v="50"/>
    <s v="2343312"/>
    <n v="50"/>
    <s v="CS PMC Algemene set"/>
    <n v="50"/>
    <n v="2"/>
    <n v="50"/>
    <s v="OK"/>
    <n v="50"/>
    <s v="183.11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30"/>
    <x v="46"/>
    <n v="50"/>
    <s v="21752292"/>
    <n v="50"/>
    <s v="16/02/2026"/>
    <n v="50"/>
    <s v="Paul Hartmann B.V."/>
    <n v="50"/>
    <s v="Hospital Logistics Nederland B.V."/>
    <n v="50"/>
    <x v="0"/>
    <n v="50"/>
    <x v="44"/>
    <n v="50"/>
    <s v="9325326"/>
    <n v="50"/>
    <s v="Verba gr. 2 br 25cm 75-85cm"/>
    <n v="50"/>
    <n v="4"/>
    <n v="50"/>
    <s v="ST"/>
    <n v="50"/>
    <s v="14.25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31"/>
    <x v="46"/>
    <n v="50"/>
    <s v="21752292"/>
    <n v="50"/>
    <s v="16/02/2026"/>
    <n v="50"/>
    <s v="Paul Hartmann B.V."/>
    <n v="50"/>
    <s v="Hospital Logistics Nederland B.V."/>
    <n v="50"/>
    <x v="0"/>
    <n v="50"/>
    <x v="45"/>
    <n v="50"/>
    <s v="9008708"/>
    <n v="50"/>
    <s v="Cosmopor E 7,2x5 cm s"/>
    <n v="50"/>
    <n v="2"/>
    <n v="50"/>
    <s v="OK"/>
    <n v="50"/>
    <s v="64.64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32"/>
    <x v="46"/>
    <n v="50"/>
    <s v="21752292"/>
    <n v="50"/>
    <s v="16/02/2026"/>
    <n v="50"/>
    <s v="Paul Hartmann B.V."/>
    <n v="50"/>
    <s v="Hospital Logistics Nederland B.V."/>
    <n v="50"/>
    <x v="0"/>
    <n v="50"/>
    <x v="46"/>
    <n v="50"/>
    <s v="9324614"/>
    <n v="50"/>
    <s v="Peha-haft color rood 8cmx20m"/>
    <n v="50"/>
    <n v="3"/>
    <n v="50"/>
    <s v="FS"/>
    <n v="50"/>
    <s v="2.69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33"/>
    <x v="46"/>
    <n v="50"/>
    <s v="21752292"/>
    <n v="50"/>
    <s v="16/02/2026"/>
    <n v="50"/>
    <s v="Paul Hartmann B.V."/>
    <n v="50"/>
    <s v="Hospital Logistics Nederland B.V."/>
    <n v="50"/>
    <x v="0"/>
    <n v="50"/>
    <x v="47"/>
    <n v="50"/>
    <s v="5353612"/>
    <n v="50"/>
    <s v="DermaPlast Sensitive 5mx6cm"/>
    <n v="50"/>
    <n v="10"/>
    <n v="50"/>
    <s v="FS"/>
    <n v="50"/>
    <s v="2.65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34"/>
    <x v="46"/>
    <n v="50"/>
    <s v="21752292"/>
    <n v="50"/>
    <s v="16/02/2026"/>
    <n v="50"/>
    <s v="Paul Hartmann B.V."/>
    <n v="50"/>
    <s v="Hospital Logistics Nederland B.V."/>
    <n v="50"/>
    <x v="0"/>
    <n v="50"/>
    <x v="48"/>
    <n v="50"/>
    <s v="1660140"/>
    <n v="50"/>
    <s v="MoliCare Premium Mobile 6D M"/>
    <n v="50"/>
    <n v="12"/>
    <n v="50"/>
    <s v="OK"/>
    <n v="50"/>
    <s v="21.91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35"/>
    <x v="46"/>
    <n v="50"/>
    <s v="21752292"/>
    <n v="50"/>
    <s v="16/02/2026"/>
    <n v="50"/>
    <s v="Paul Hartmann B.V."/>
    <n v="50"/>
    <s v="Hospital Logistics Nederland B.V."/>
    <n v="50"/>
    <x v="0"/>
    <n v="50"/>
    <x v="49"/>
    <n v="50"/>
    <s v="1652722"/>
    <n v="50"/>
    <s v="MoliCare Elastic 6dr mt M"/>
    <n v="50"/>
    <n v="9"/>
    <n v="50"/>
    <s v="OK"/>
    <n v="50"/>
    <s v="31.00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36"/>
    <x v="46"/>
    <n v="50"/>
    <s v="21752292"/>
    <n v="50"/>
    <s v="16/02/2026"/>
    <n v="50"/>
    <s v="Paul Hartmann B.V."/>
    <n v="50"/>
    <s v="Hospital Logistics Nederland B.V."/>
    <n v="50"/>
    <x v="0"/>
    <n v="50"/>
    <x v="50"/>
    <n v="50"/>
    <s v="9816992"/>
    <n v="50"/>
    <s v="Bacillol 30 Sensitive Foam 50 ml"/>
    <n v="50"/>
    <n v="2"/>
    <n v="50"/>
    <s v="OK"/>
    <n v="50"/>
    <s v="67.06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37"/>
    <x v="46"/>
    <n v="50"/>
    <s v="21752292"/>
    <n v="50"/>
    <s v="16/02/2026"/>
    <n v="50"/>
    <s v="Paul Hartmann B.V."/>
    <n v="50"/>
    <s v="Hospital Logistics Nederland B.V."/>
    <n v="50"/>
    <x v="0"/>
    <n v="50"/>
    <x v="51"/>
    <n v="50"/>
    <s v="9819871"/>
    <n v="50"/>
    <s v="Bacillol 30 Sens. Tiss.green 120st"/>
    <n v="50"/>
    <n v="43"/>
    <n v="50"/>
    <s v="OK"/>
    <n v="50"/>
    <s v="36.72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38"/>
    <x v="46"/>
    <n v="50"/>
    <s v="21752292"/>
    <n v="50"/>
    <s v="16/02/2026"/>
    <n v="50"/>
    <s v="Paul Hartmann B.V."/>
    <n v="50"/>
    <s v="Hospital Logistics Nederland B.V."/>
    <n v="50"/>
    <x v="0"/>
    <n v="50"/>
    <x v="52"/>
    <n v="50"/>
    <s v="4110642"/>
    <n v="50"/>
    <s v="Medicomp 10x10cm s"/>
    <n v="50"/>
    <n v="120"/>
    <n v="50"/>
    <s v="FS"/>
    <n v="50"/>
    <s v="1.75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39"/>
    <x v="46"/>
    <n v="50"/>
    <s v="21752292"/>
    <n v="50"/>
    <s v="16/02/2026"/>
    <n v="50"/>
    <s v="Paul Hartmann B.V."/>
    <n v="50"/>
    <s v="Hospital Logistics Nederland B.V."/>
    <n v="50"/>
    <x v="0"/>
    <n v="50"/>
    <x v="53"/>
    <n v="50"/>
    <s v="5355481"/>
    <n v="50"/>
    <s v="DermaPlast aqua strips 3 mt."/>
    <n v="50"/>
    <n v="6"/>
    <n v="50"/>
    <s v="FS"/>
    <n v="50"/>
    <s v="0.48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40"/>
    <x v="46"/>
    <n v="50"/>
    <s v="21752292"/>
    <n v="50"/>
    <s v="16/02/2026"/>
    <n v="50"/>
    <s v="Paul Hartmann B.V."/>
    <n v="50"/>
    <s v="Hospital Logistics Nederland B.V."/>
    <n v="50"/>
    <x v="0"/>
    <n v="50"/>
    <x v="54"/>
    <n v="50"/>
    <s v="3101112"/>
    <n v="50"/>
    <s v="Peha-lastotel 4mx6cm ongecel"/>
    <n v="50"/>
    <n v="1"/>
    <n v="50"/>
    <s v="OK"/>
    <n v="50"/>
    <s v="19.85 EUR"/>
    <n v="50"/>
    <s v="20/02/2026"/>
    <n v="50"/>
  </r>
  <r>
    <x v="62"/>
    <x v="0"/>
    <x v="0"/>
    <d v="2026-02-27T12:44:18"/>
    <n v="64"/>
    <n v="546"/>
    <n v="0"/>
    <m/>
    <s v="mail - orders.NL@hartmann.info — HARTMANN: ORDERBEVESTIGING0021752292"/>
    <s v="Dutch"/>
    <x v="41"/>
    <x v="46"/>
    <n v="50"/>
    <s v="21752292"/>
    <n v="50"/>
    <s v="16/02/2026"/>
    <n v="50"/>
    <s v="Paul Hartmann B.V."/>
    <n v="50"/>
    <s v="Hospital Logistics Nederland B.V."/>
    <n v="50"/>
    <x v="0"/>
    <n v="50"/>
    <x v="55"/>
    <n v="50"/>
    <s v="4710010"/>
    <n v="50"/>
    <s v="Mediset nietjesverwijderaar"/>
    <n v="50"/>
    <n v="1"/>
    <n v="50"/>
    <s v="OK"/>
    <n v="50"/>
    <s v="71.52 EUR"/>
    <n v="50"/>
    <s v="20/02/2026"/>
    <n v="50"/>
  </r>
  <r>
    <x v="63"/>
    <x v="0"/>
    <x v="0"/>
    <d v="2026-02-27T12:44:18"/>
    <n v="67.62"/>
    <n v="169"/>
    <n v="0"/>
    <m/>
    <s v="mail - orders.NL@hartmann.info — HARTMANN: ORDERBEVESTIGING0021752293"/>
    <s v="Dutch"/>
    <x v="0"/>
    <x v="47"/>
    <n v="95"/>
    <s v="21752293"/>
    <n v="95"/>
    <s v="16/02/2026"/>
    <n v="95"/>
    <s v="Paul Hartmann B.V."/>
    <n v="98"/>
    <s v="Hospital Logistics Nederland B.V."/>
    <n v="95"/>
    <x v="0"/>
    <n v="95"/>
    <x v="9"/>
    <n v="98"/>
    <s v="3030722"/>
    <n v="88"/>
    <s v="Peha-Fix 4mx8cm cell"/>
    <n v="85"/>
    <n v="2"/>
    <n v="95"/>
    <s v="OK"/>
    <n v="82"/>
    <s v="21,00 EUR"/>
    <n v="92"/>
    <s v="20/02/2026"/>
    <n v="90"/>
  </r>
  <r>
    <x v="63"/>
    <x v="0"/>
    <x v="0"/>
    <d v="2026-02-27T12:44:18"/>
    <n v="67.62"/>
    <n v="169"/>
    <n v="0"/>
    <m/>
    <s v="mail - orders.NL@hartmann.info — HARTMANN: ORDERBEVESTIGING0021752293"/>
    <s v="Dutch"/>
    <x v="1"/>
    <x v="47"/>
    <n v="50"/>
    <s v="21752293"/>
    <n v="50"/>
    <s v="16/02/2026"/>
    <n v="50"/>
    <s v="Paul Hartmann B.V."/>
    <n v="50"/>
    <s v="Hospital Logistics Nederland B.V."/>
    <n v="50"/>
    <x v="0"/>
    <n v="50"/>
    <x v="16"/>
    <n v="50"/>
    <s v="4137020"/>
    <n v="90"/>
    <s v="Zetuvit st 10x20cm (doos 25x1)"/>
    <n v="50"/>
    <n v="3"/>
    <n v="50"/>
    <s v="OK"/>
    <n v="50"/>
    <s v="43,75 EUR"/>
    <n v="50"/>
    <s v="20/02/2026"/>
    <n v="50"/>
  </r>
  <r>
    <x v="63"/>
    <x v="0"/>
    <x v="0"/>
    <d v="2026-02-27T12:44:18"/>
    <n v="67.62"/>
    <n v="169"/>
    <n v="0"/>
    <m/>
    <s v="mail - orders.NL@hartmann.info — HARTMANN: ORDERBEVESTIGING0021752293"/>
    <s v="Dutch"/>
    <x v="2"/>
    <x v="47"/>
    <n v="50"/>
    <s v="21752293"/>
    <n v="50"/>
    <s v="16/02/2026"/>
    <n v="50"/>
    <s v="Paul Hartmann B.V."/>
    <n v="50"/>
    <s v="Hospital Logistics Nederland B.V."/>
    <n v="50"/>
    <x v="0"/>
    <n v="50"/>
    <x v="17"/>
    <n v="50"/>
    <s v="4540131"/>
    <n v="90"/>
    <s v="Telasorb s 45x45cm 20dr 4lg (doos 12x5)"/>
    <n v="50"/>
    <n v="6"/>
    <n v="50"/>
    <s v="FS"/>
    <n v="50"/>
    <s v="32,31 EUR"/>
    <n v="50"/>
    <s v="20/02/2026"/>
    <n v="50"/>
  </r>
  <r>
    <x v="63"/>
    <x v="0"/>
    <x v="0"/>
    <d v="2026-02-27T12:44:18"/>
    <n v="67.62"/>
    <n v="169"/>
    <n v="0"/>
    <m/>
    <s v="mail - orders.NL@hartmann.info — HARTMANN: ORDERBEVESTIGING0021752293"/>
    <s v="Dutch"/>
    <x v="3"/>
    <x v="47"/>
    <n v="50"/>
    <s v="21752293"/>
    <n v="50"/>
    <s v="16/02/2026"/>
    <n v="50"/>
    <s v="Paul Hartmann B.V."/>
    <n v="50"/>
    <s v="Hospital Logistics Nederland B.V."/>
    <n v="50"/>
    <x v="0"/>
    <n v="50"/>
    <x v="18"/>
    <n v="50"/>
    <s v="3320660"/>
    <n v="90"/>
    <s v="Idealast 5mx12cm cell (zwachtel)"/>
    <n v="50"/>
    <n v="1"/>
    <n v="50"/>
    <s v="OK"/>
    <n v="50"/>
    <s v="80,64 EUR"/>
    <n v="50"/>
    <s v="20/02/2026"/>
    <n v="50"/>
  </r>
  <r>
    <x v="63"/>
    <x v="0"/>
    <x v="0"/>
    <d v="2026-02-27T12:44:18"/>
    <n v="67.62"/>
    <n v="169"/>
    <n v="0"/>
    <m/>
    <s v="mail - orders.NL@hartmann.info — HARTMANN: ORDERBEVESTIGING0021752293"/>
    <s v="Dutch"/>
    <x v="4"/>
    <x v="47"/>
    <n v="50"/>
    <s v="21752293"/>
    <n v="50"/>
    <s v="16/02/2026"/>
    <n v="50"/>
    <s v="Paul Hartmann B.V."/>
    <n v="50"/>
    <s v="Hospital Logistics Nederland B.V."/>
    <n v="50"/>
    <x v="0"/>
    <n v="50"/>
    <x v="19"/>
    <n v="50"/>
    <s v="9802861"/>
    <n v="88"/>
    <s v="Sterillium 500 ml"/>
    <n v="50"/>
    <n v="800"/>
    <n v="50"/>
    <s v="ST"/>
    <n v="50"/>
    <s v="3,25 EUR"/>
    <n v="50"/>
    <s v="20/02/2026"/>
    <n v="50"/>
  </r>
  <r>
    <x v="63"/>
    <x v="0"/>
    <x v="0"/>
    <d v="2026-02-27T12:44:18"/>
    <n v="67.62"/>
    <n v="169"/>
    <n v="0"/>
    <m/>
    <s v="mail - orders.NL@hartmann.info — HARTMANN: ORDERBEVESTIGING0021752293"/>
    <s v="Dutch"/>
    <x v="5"/>
    <x v="47"/>
    <n v="50"/>
    <s v="21752293"/>
    <n v="50"/>
    <s v="16/02/2026"/>
    <n v="50"/>
    <s v="Paul Hartmann B.V."/>
    <n v="50"/>
    <s v="Hospital Logistics Nederland B.V."/>
    <n v="50"/>
    <x v="0"/>
    <n v="50"/>
    <x v="20"/>
    <n v="50"/>
    <s v="9325326"/>
    <n v="88"/>
    <s v="Verba gr. 2 br 25cm 75-85cm"/>
    <n v="50"/>
    <n v="4"/>
    <n v="50"/>
    <s v="ST"/>
    <n v="50"/>
    <s v="14,25 EUR"/>
    <n v="50"/>
    <s v="20/02/2026"/>
    <n v="50"/>
  </r>
  <r>
    <x v="63"/>
    <x v="0"/>
    <x v="0"/>
    <d v="2026-02-27T12:44:18"/>
    <n v="67.62"/>
    <n v="169"/>
    <n v="0"/>
    <m/>
    <s v="mail - orders.NL@hartmann.info — HARTMANN: ORDERBEVESTIGING0021752293"/>
    <s v="Dutch"/>
    <x v="6"/>
    <x v="47"/>
    <n v="50"/>
    <s v="21752293"/>
    <n v="50"/>
    <s v="16/02/2026"/>
    <n v="50"/>
    <s v="Paul Hartmann B.V."/>
    <n v="50"/>
    <s v="Hospital Logistics Nederland B.V."/>
    <n v="50"/>
    <x v="0"/>
    <n v="50"/>
    <x v="21"/>
    <n v="50"/>
    <s v="3320650"/>
    <n v="88"/>
    <s v="Idealast 5mx10cm cell (zwachtel)"/>
    <n v="50"/>
    <n v="1"/>
    <n v="50"/>
    <s v="OK"/>
    <n v="50"/>
    <s v="83,92 EUR"/>
    <n v="50"/>
    <s v="20/02/2026"/>
    <n v="50"/>
  </r>
  <r>
    <x v="63"/>
    <x v="0"/>
    <x v="0"/>
    <d v="2026-02-27T12:44:18"/>
    <n v="67.62"/>
    <n v="169"/>
    <n v="0"/>
    <m/>
    <s v="mail - orders.NL@hartmann.info — HARTMANN: ORDERBEVESTIGING0021752293"/>
    <s v="Dutch"/>
    <x v="7"/>
    <x v="47"/>
    <n v="50"/>
    <s v="21752293"/>
    <n v="50"/>
    <s v="16/02/2026"/>
    <n v="50"/>
    <s v="Paul Hartmann B.V."/>
    <n v="50"/>
    <s v="Hospital Logistics Nederland B.V."/>
    <n v="50"/>
    <x v="0"/>
    <n v="50"/>
    <x v="22"/>
    <n v="50"/>
    <s v="5356481"/>
    <n v="90"/>
    <s v="DermaPlast Kids strips 2 mt. (doos 20)"/>
    <n v="50"/>
    <n v="4"/>
    <n v="50"/>
    <s v="FS"/>
    <n v="50"/>
    <s v="0,30 EUR"/>
    <n v="50"/>
    <s v="20/02/2026"/>
    <n v="50"/>
  </r>
  <r>
    <x v="63"/>
    <x v="0"/>
    <x v="0"/>
    <d v="2026-02-27T12:44:18"/>
    <n v="67.62"/>
    <n v="169"/>
    <n v="0"/>
    <m/>
    <s v="mail - orders.NL@hartmann.info — HARTMANN: ORDERBEVESTIGING0021752293"/>
    <s v="Dutch"/>
    <x v="8"/>
    <x v="47"/>
    <n v="50"/>
    <s v="21752293"/>
    <n v="50"/>
    <s v="16/02/2026"/>
    <n v="50"/>
    <s v="Paul Hartmann B.V."/>
    <n v="50"/>
    <s v="Hospital Logistics Nederland B.V."/>
    <n v="50"/>
    <x v="0"/>
    <n v="50"/>
    <x v="23"/>
    <n v="50"/>
    <s v="9802871"/>
    <n v="90"/>
    <s v="Sterillium 1000 ml"/>
    <n v="50"/>
    <n v="60"/>
    <n v="50"/>
    <s v="ST"/>
    <n v="50"/>
    <s v="5,88 EUR"/>
    <n v="50"/>
    <s v="20/02/2026"/>
    <n v="50"/>
  </r>
  <r>
    <x v="63"/>
    <x v="0"/>
    <x v="0"/>
    <d v="2026-02-27T12:44:18"/>
    <n v="67.62"/>
    <n v="169"/>
    <n v="0"/>
    <m/>
    <s v="mail - orders.NL@hartmann.info — HARTMANN: ORDERBEVESTIGING0021752293"/>
    <s v="Dutch"/>
    <x v="9"/>
    <x v="47"/>
    <n v="50"/>
    <s v="21752293"/>
    <n v="50"/>
    <s v="16/02/2026"/>
    <n v="50"/>
    <s v="Paul Hartmann B.V."/>
    <n v="50"/>
    <s v="Hospital Logistics Nederland B.V."/>
    <n v="50"/>
    <x v="0"/>
    <n v="50"/>
    <x v="24"/>
    <n v="50"/>
    <s v="9802861"/>
    <n v="90"/>
    <s v="Sterillium 500 ml (different pack)"/>
    <n v="50"/>
    <n v="3"/>
    <n v="50"/>
    <s v="OK"/>
    <n v="50"/>
    <s v="65,00 EUR"/>
    <n v="50"/>
    <s v="20/02/2026"/>
    <n v="50"/>
  </r>
  <r>
    <x v="63"/>
    <x v="0"/>
    <x v="0"/>
    <d v="2026-02-27T12:44:18"/>
    <n v="67.62"/>
    <n v="169"/>
    <n v="0"/>
    <m/>
    <s v="mail - orders.NL@hartmann.info — HARTMANN: ORDERBEVESTIGING0021752293"/>
    <s v="Dutch"/>
    <x v="10"/>
    <x v="47"/>
    <n v="50"/>
    <s v="21752293"/>
    <n v="50"/>
    <s v="16/02/2026"/>
    <n v="50"/>
    <s v="Paul Hartmann B.V."/>
    <n v="50"/>
    <s v="Hospital Logistics Nederland B.V."/>
    <n v="50"/>
    <x v="0"/>
    <n v="50"/>
    <x v="25"/>
    <n v="50"/>
    <s v="4501012"/>
    <n v="88"/>
    <s v="Telaprep tms middel nr.2 s (doos 30x10)"/>
    <n v="50"/>
    <n v="1"/>
    <n v="50"/>
    <s v="OK"/>
    <n v="50"/>
    <s v="42,50 EUR"/>
    <n v="50"/>
    <s v="20/02/2026"/>
    <n v="50"/>
  </r>
  <r>
    <x v="63"/>
    <x v="0"/>
    <x v="0"/>
    <d v="2026-02-27T12:44:18"/>
    <n v="67.62"/>
    <n v="169"/>
    <n v="0"/>
    <m/>
    <s v="mail - orders.NL@hartmann.info — HARTMANN: ORDERBEVESTIGING0021752293"/>
    <s v="Dutch"/>
    <x v="11"/>
    <x v="47"/>
    <n v="50"/>
    <s v="21752293"/>
    <n v="50"/>
    <s v="16/02/2026"/>
    <n v="50"/>
    <s v="Paul Hartmann B.V."/>
    <n v="50"/>
    <s v="Hospital Logistics Nederland B.V."/>
    <n v="50"/>
    <x v="0"/>
    <n v="50"/>
    <x v="26"/>
    <n v="50"/>
    <s v="4521353"/>
    <n v="90"/>
    <s v="Telacomp ES-K st 10x10 12lg (ds 16x10)"/>
    <n v="50"/>
    <n v="3"/>
    <n v="50"/>
    <s v="OK"/>
    <n v="50"/>
    <s v="68,04 EUR"/>
    <n v="50"/>
    <s v="20/02/2026"/>
    <n v="50"/>
  </r>
  <r>
    <x v="63"/>
    <x v="0"/>
    <x v="0"/>
    <d v="2026-02-27T12:44:18"/>
    <n v="67.62"/>
    <n v="169"/>
    <n v="0"/>
    <m/>
    <s v="mail - orders.NL@hartmann.info — HARTMANN: ORDERBEVESTIGING0021752293"/>
    <s v="Dutch"/>
    <x v="12"/>
    <x v="47"/>
    <n v="50"/>
    <s v="21752293"/>
    <n v="50"/>
    <s v="16/02/2026"/>
    <n v="50"/>
    <s v="Paul Hartmann B.V."/>
    <n v="50"/>
    <s v="Hospital Logistics Nederland B.V."/>
    <n v="50"/>
    <x v="0"/>
    <n v="50"/>
    <x v="27"/>
    <n v="50"/>
    <s v="4218218"/>
    <n v="90"/>
    <s v="Medicomp 5x5cm (zak 100)"/>
    <n v="50"/>
    <n v="8"/>
    <n v="50"/>
    <s v="OK"/>
    <n v="50"/>
    <s v="8,57 EUR"/>
    <n v="50"/>
    <s v="20/02/2026"/>
    <n v="50"/>
  </r>
  <r>
    <x v="64"/>
    <x v="0"/>
    <x v="0"/>
    <d v="2026-02-27T12:44:18"/>
    <n v="93.45"/>
    <n v="26"/>
    <n v="0"/>
    <m/>
    <s v="mail - CSZiekenhuizen@mediq.com — Mediq orderbevestiging: 3507009731"/>
    <s v="Dutch"/>
    <x v="0"/>
    <x v="48"/>
    <n v="95"/>
    <s v="4381872"/>
    <n v="95"/>
    <s v="16/02/2026"/>
    <n v="95"/>
    <s v="Mediq Nederland B.V."/>
    <n v="95"/>
    <s v="Hospital Logistics Nederland B.V."/>
    <n v="90"/>
    <x v="0"/>
    <n v="95"/>
    <x v="0"/>
    <n v="90"/>
    <s v="3038183"/>
    <n v="95"/>
    <s v="NUTRICIA FLOCARE PUR TUBE CH10 110CM 94570"/>
    <n v="92"/>
    <n v="10"/>
    <n v="90"/>
    <s v="BD"/>
    <n v="85"/>
    <s v="6,87 EUR"/>
    <n v="95"/>
    <s v="19/02/2026"/>
    <n v="95"/>
  </r>
  <r>
    <x v="64"/>
    <x v="0"/>
    <x v="0"/>
    <d v="2026-02-27T12:44:18"/>
    <n v="93.45"/>
    <n v="26"/>
    <n v="0"/>
    <m/>
    <s v="mail - CSZiekenhuizen@mediq.com — Mediq orderbevestiging: 3507009731"/>
    <s v="Dutch"/>
    <x v="1"/>
    <x v="48"/>
    <n v="95"/>
    <s v="4381872"/>
    <n v="95"/>
    <s v="16/02/2026"/>
    <n v="95"/>
    <s v="Mediq Nederland B.V."/>
    <n v="95"/>
    <s v="Hospital Logistics Nederland B.V."/>
    <n v="90"/>
    <x v="0"/>
    <n v="95"/>
    <x v="1"/>
    <n v="90"/>
    <s v="3052501"/>
    <n v="95"/>
    <s v="KLINION ENGELS PLUKSEL 10CMX5M 40170060"/>
    <n v="92"/>
    <n v="5"/>
    <n v="95"/>
    <s v="ST"/>
    <n v="95"/>
    <s v="3,72 EUR"/>
    <n v="95"/>
    <s v="19/02/2026"/>
    <n v="95"/>
  </r>
  <r>
    <x v="65"/>
    <x v="0"/>
    <x v="0"/>
    <d v="2026-02-27T12:44:18"/>
    <n v="93.11"/>
    <n v="26"/>
    <n v="0"/>
    <m/>
    <s v="mail - orders.be@duomed.com — Orderbevestiging C007-S2607622-1"/>
    <s v="Dutch"/>
    <x v="0"/>
    <x v="49"/>
    <n v="98"/>
    <s v="C007-S2607622-1"/>
    <n v="95"/>
    <s v="16/02/2026"/>
    <n v="98"/>
    <s v="Duomed Belgium NV/SA"/>
    <n v="90"/>
    <s v="Hospital Logistics N.V."/>
    <n v="95"/>
    <x v="0"/>
    <n v="95"/>
    <x v="0"/>
    <n v="90"/>
    <s v="CJ-PAT-23-160-A"/>
    <n v="98"/>
    <s v="Biopsy Forceps Standard Cup with Needle; Catheter Diam 2.3mm - Length 160cm / PTFE Coated"/>
    <n v="90"/>
    <n v="3"/>
    <n v="95"/>
    <s v="BIO"/>
    <n v="85"/>
    <s v="38,08 EUR"/>
    <n v="95"/>
    <s v="19/02/2026"/>
    <n v="95"/>
  </r>
  <r>
    <x v="65"/>
    <x v="0"/>
    <x v="0"/>
    <d v="2026-02-27T12:44:18"/>
    <n v="93.11"/>
    <n v="26"/>
    <n v="0"/>
    <m/>
    <s v="mail - orders.be@duomed.com — Orderbevestiging C007-S2607622-1"/>
    <s v="Dutch"/>
    <x v="1"/>
    <x v="49"/>
    <n v="98"/>
    <s v="C007-S2607622-1"/>
    <n v="95"/>
    <s v="16/02/2026"/>
    <n v="98"/>
    <s v="Duomed Belgium NV/SA"/>
    <n v="90"/>
    <s v="Hospital Logistics N.V."/>
    <n v="95"/>
    <x v="0"/>
    <n v="95"/>
    <x v="1"/>
    <n v="90"/>
    <s v="CJ-PAT-23-230-A"/>
    <n v="98"/>
    <s v="Biopsy Forceps Standard Cup with Needle; Catheter Diam 2.3mm - Length 230cm / PTFE Coated"/>
    <n v="90"/>
    <n v="2"/>
    <n v="95"/>
    <s v="BIO"/>
    <n v="85"/>
    <s v="38,08 EUR"/>
    <n v="95"/>
    <s v="19/02/2026"/>
    <n v="95"/>
  </r>
  <r>
    <x v="66"/>
    <x v="1"/>
    <x v="1"/>
    <d v="2026-02-27T12:44:18"/>
    <n v="32"/>
    <n v="0"/>
    <n v="0"/>
    <m/>
    <s v="mail - intraorder@brocacef.nl — RE: Verwachte LT "/>
    <m/>
    <x v="88"/>
    <x v="5"/>
    <m/>
    <m/>
    <m/>
    <m/>
    <m/>
    <m/>
    <m/>
    <m/>
    <m/>
    <x v="1"/>
    <m/>
    <x v="98"/>
    <m/>
    <m/>
    <m/>
    <m/>
    <m/>
    <m/>
    <m/>
    <m/>
    <m/>
    <m/>
    <m/>
    <m/>
    <m/>
  </r>
  <r>
    <x v="67"/>
    <x v="0"/>
    <x v="0"/>
    <d v="2026-02-27T12:44:18"/>
    <n v="93.11"/>
    <n v="26"/>
    <n v="0"/>
    <m/>
    <s v="mail - orders.be@duomed.com — Orderbevestiging C007-S2607619-1"/>
    <s v="Dutch"/>
    <x v="0"/>
    <x v="50"/>
    <n v="95"/>
    <s v="C007-S2607619-1"/>
    <n v="92"/>
    <s v="16/02/2026"/>
    <n v="96"/>
    <s v="Duomed Belgium NV/SA"/>
    <n v="90"/>
    <s v="Hospital Logistics"/>
    <n v="92"/>
    <x v="0"/>
    <n v="95"/>
    <x v="0"/>
    <n v="90"/>
    <s v="330048075"/>
    <n v="94"/>
    <s v="Gammex Latex 7,5"/>
    <n v="93"/>
    <n v="2"/>
    <n v="94"/>
    <s v="B200"/>
    <n v="70"/>
    <s v="140,54 EUR"/>
    <n v="95"/>
    <s v="19/02/2026"/>
    <n v="96"/>
  </r>
  <r>
    <x v="67"/>
    <x v="0"/>
    <x v="0"/>
    <d v="2026-02-27T12:44:18"/>
    <n v="93.11"/>
    <n v="26"/>
    <n v="0"/>
    <m/>
    <s v="mail - orders.be@duomed.com — Orderbevestiging C007-S2607619-1"/>
    <s v="Dutch"/>
    <x v="1"/>
    <x v="50"/>
    <n v="95"/>
    <s v="C007-S2607619-1"/>
    <n v="92"/>
    <s v="16/02/2026"/>
    <n v="96"/>
    <s v="Duomed Belgium NV/SA"/>
    <n v="90"/>
    <s v="Hospital Logistics"/>
    <n v="92"/>
    <x v="0"/>
    <n v="95"/>
    <x v="1"/>
    <n v="90"/>
    <s v="1644748HD"/>
    <n v="90"/>
    <s v="Aniosgel 85 Npc Fles 500ml+3 ml Pomp - Notif 093"/>
    <n v="92"/>
    <n v="10"/>
    <n v="94"/>
    <s v="B12"/>
    <n v="70"/>
    <s v="36,85 EUR"/>
    <n v="95"/>
    <s v="19/02/2026"/>
    <n v="96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0"/>
    <x v="51"/>
    <n v="99"/>
    <s v="NL327171"/>
    <n v="98"/>
    <s v="16/02/2026"/>
    <n v="98"/>
    <s v="Medline International Netherlands B.V."/>
    <n v="99"/>
    <s v="Hosp.Log NL"/>
    <n v="95"/>
    <x v="0"/>
    <n v="98"/>
    <x v="0"/>
    <n v="50"/>
    <s v="8371ICEB"/>
    <n v="90"/>
    <s v="Tafelveld Versterkt 140x190cm"/>
    <n v="88"/>
    <n v="1"/>
    <n v="98"/>
    <s v="St."/>
    <n v="50"/>
    <s v="39,95"/>
    <n v="97"/>
    <s v="17/02/2026"/>
    <n v="95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1"/>
    <x v="51"/>
    <n v="50"/>
    <s v="NL327171"/>
    <n v="50"/>
    <s v="16/02/2026"/>
    <n v="50"/>
    <s v="Medline International Netherlands B.V."/>
    <n v="50"/>
    <s v="Hosp.Log NL"/>
    <n v="50"/>
    <x v="0"/>
    <n v="50"/>
    <x v="1"/>
    <n v="50"/>
    <s v="91051482"/>
    <n v="95"/>
    <s v="CIL FLEX, 122CM, FLL, MLL, 1200PSI"/>
    <n v="50"/>
    <n v="4"/>
    <n v="50"/>
    <s v="St."/>
    <n v="50"/>
    <s v="234,90"/>
    <n v="50"/>
    <s v="17/02/2026"/>
    <n v="50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2"/>
    <x v="51"/>
    <n v="50"/>
    <s v="NL327171"/>
    <n v="50"/>
    <s v="16/02/2026"/>
    <n v="50"/>
    <s v="Medline International Netherlands B.V."/>
    <n v="50"/>
    <s v="Hosp.Log NL"/>
    <n v="50"/>
    <x v="0"/>
    <n v="50"/>
    <x v="2"/>
    <n v="50"/>
    <s v="WGHBA031NL"/>
    <n v="95"/>
    <s v="Laparosc, Tray, Abd/Rectal"/>
    <n v="50"/>
    <n v="4"/>
    <n v="50"/>
    <s v="St."/>
    <n v="50"/>
    <s v="108,12"/>
    <n v="50"/>
    <s v="17/02/2026"/>
    <n v="50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3"/>
    <x v="51"/>
    <n v="50"/>
    <s v="NL327171"/>
    <n v="50"/>
    <s v="16/02/2026"/>
    <n v="50"/>
    <s v="Medline International Netherlands B.V."/>
    <n v="50"/>
    <s v="Hosp.Log NL"/>
    <n v="50"/>
    <x v="0"/>
    <n v="50"/>
    <x v="3"/>
    <n v="50"/>
    <s v="9358CECA"/>
    <n v="88"/>
    <s v="Afdekaken, 112 x 145cm, ECL"/>
    <n v="50"/>
    <n v="1"/>
    <n v="50"/>
    <s v="St."/>
    <n v="50"/>
    <s v="44,22"/>
    <n v="50"/>
    <s v="17/02/2026"/>
    <n v="50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4"/>
    <x v="51"/>
    <n v="50"/>
    <s v="NL327171"/>
    <n v="50"/>
    <s v="16/02/2026"/>
    <n v="50"/>
    <s v="Medline International Netherlands B.V."/>
    <n v="50"/>
    <s v="Hosp.Log NL"/>
    <n v="50"/>
    <x v="0"/>
    <n v="50"/>
    <x v="4"/>
    <n v="50"/>
    <s v="WGHBA068EVNUS"/>
    <n v="90"/>
    <s v="Tray (WGHBA068EVNUS)"/>
    <n v="50"/>
    <n v="3"/>
    <n v="50"/>
    <s v="St."/>
    <n v="50"/>
    <s v="93,38"/>
    <n v="50"/>
    <s v="17/02/2026"/>
    <n v="50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5"/>
    <x v="51"/>
    <n v="50"/>
    <s v="NL327171"/>
    <n v="50"/>
    <s v="16/02/2026"/>
    <n v="50"/>
    <s v="Medline International Netherlands B.V."/>
    <n v="50"/>
    <s v="Hosp.Log NL"/>
    <n v="50"/>
    <x v="0"/>
    <n v="50"/>
    <x v="5"/>
    <n v="50"/>
    <s v="IDE1016"/>
    <n v="85"/>
    <s v="VUCHTOPVANGZAK, 51X51CM, ADH, FRST"/>
    <n v="50"/>
    <n v="1"/>
    <n v="50"/>
    <s v="St."/>
    <n v="50"/>
    <s v="112,31"/>
    <n v="50"/>
    <s v="17/02/2026"/>
    <n v="50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6"/>
    <x v="51"/>
    <n v="50"/>
    <s v="NL327171"/>
    <n v="50"/>
    <s v="16/02/2026"/>
    <n v="50"/>
    <s v="Medline International Netherlands B.V."/>
    <n v="50"/>
    <s v="Hosp.Log NL"/>
    <n v="50"/>
    <x v="0"/>
    <n v="50"/>
    <x v="6"/>
    <n v="50"/>
    <s v="WGHEN048A"/>
    <n v="92"/>
    <s v="Kaak, Tray (WGHEN048A)"/>
    <n v="50"/>
    <n v="3"/>
    <n v="50"/>
    <s v="St."/>
    <n v="50"/>
    <s v="95,91"/>
    <n v="50"/>
    <s v="17/02/2026"/>
    <n v="50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7"/>
    <x v="51"/>
    <n v="50"/>
    <s v="NL327171"/>
    <n v="50"/>
    <s v="16/02/2026"/>
    <n v="50"/>
    <s v="Medline International Netherlands B.V."/>
    <n v="50"/>
    <s v="Hosp.Log NL"/>
    <n v="50"/>
    <x v="0"/>
    <n v="50"/>
    <x v="7"/>
    <n v="50"/>
    <s v="WGHBS123E"/>
    <n v="92"/>
    <s v="Schouderscopie, Tray"/>
    <n v="50"/>
    <n v="2"/>
    <n v="50"/>
    <s v="St."/>
    <n v="50"/>
    <s v="118,79"/>
    <n v="50"/>
    <s v="17/02/2026"/>
    <n v="50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8"/>
    <x v="51"/>
    <n v="50"/>
    <s v="NL327171"/>
    <n v="50"/>
    <s v="16/02/2026"/>
    <n v="50"/>
    <s v="Medline International Netherlands B.V."/>
    <n v="50"/>
    <s v="Hosp.Log NL"/>
    <n v="50"/>
    <x v="0"/>
    <n v="50"/>
    <x v="8"/>
    <n v="50"/>
    <s v="WGHAN023J"/>
    <n v="92"/>
    <s v="Angiografie, Tray"/>
    <n v="50"/>
    <n v="20"/>
    <n v="50"/>
    <s v="St."/>
    <n v="50"/>
    <s v="166,56"/>
    <n v="50"/>
    <s v="17/02/2026"/>
    <n v="50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9"/>
    <x v="51"/>
    <n v="50"/>
    <s v="NL327171"/>
    <n v="50"/>
    <s v="16/02/2026"/>
    <n v="50"/>
    <s v="Medline International Netherlands B.V."/>
    <n v="50"/>
    <s v="Hosp.Log NL"/>
    <n v="50"/>
    <x v="0"/>
    <n v="50"/>
    <x v="9"/>
    <n v="50"/>
    <s v="WGHAN119BPICC"/>
    <n v="92"/>
    <s v="BPICC, Tray"/>
    <n v="50"/>
    <n v="20"/>
    <n v="50"/>
    <s v="St."/>
    <n v="50"/>
    <s v="128,20"/>
    <n v="50"/>
    <s v="17/02/2026"/>
    <n v="50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10"/>
    <x v="51"/>
    <n v="50"/>
    <s v="NL327171"/>
    <n v="50"/>
    <s v="16/02/2026"/>
    <n v="50"/>
    <s v="Medline International Netherlands B.V."/>
    <n v="50"/>
    <s v="Hosp.Log NL"/>
    <n v="50"/>
    <x v="0"/>
    <n v="50"/>
    <x v="10"/>
    <n v="50"/>
    <s v="KER70211"/>
    <n v="92"/>
    <s v="Washandje tbv Joderen P2, MP"/>
    <n v="50"/>
    <n v="2"/>
    <n v="50"/>
    <s v="St."/>
    <n v="50"/>
    <s v="72,41"/>
    <n v="50"/>
    <s v="17/02/2026"/>
    <n v="50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11"/>
    <x v="51"/>
    <n v="50"/>
    <s v="NL327171"/>
    <n v="50"/>
    <s v="16/02/2026"/>
    <n v="50"/>
    <s v="Medline International Netherlands B.V."/>
    <n v="50"/>
    <s v="Hosp.Log NL"/>
    <n v="50"/>
    <x v="0"/>
    <n v="50"/>
    <x v="99"/>
    <n v="50"/>
    <s v="TB9650CE"/>
    <n v="92"/>
    <s v="Splitlaken 196x274cm set"/>
    <n v="50"/>
    <n v="2"/>
    <n v="50"/>
    <s v="St."/>
    <n v="50"/>
    <s v="70,63"/>
    <n v="50"/>
    <s v="17/02/2026"/>
    <n v="50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12"/>
    <x v="51"/>
    <n v="50"/>
    <s v="NL327171"/>
    <n v="50"/>
    <s v="16/02/2026"/>
    <n v="50"/>
    <s v="Medline International Netherlands B.V."/>
    <n v="50"/>
    <s v="Hosp.Log NL"/>
    <n v="50"/>
    <x v="0"/>
    <n v="50"/>
    <x v="100"/>
    <n v="50"/>
    <s v="TB29960CE"/>
    <n v="92"/>
    <s v="Gynaecologie, Set"/>
    <n v="50"/>
    <n v="2"/>
    <n v="50"/>
    <s v="St."/>
    <n v="50"/>
    <s v="56,94"/>
    <n v="50"/>
    <s v="17/02/2026"/>
    <n v="50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13"/>
    <x v="51"/>
    <n v="50"/>
    <s v="NL327171"/>
    <n v="50"/>
    <s v="16/02/2026"/>
    <n v="50"/>
    <s v="Medline International Netherlands B.V."/>
    <n v="50"/>
    <s v="Hosp.Log NL"/>
    <n v="50"/>
    <x v="0"/>
    <n v="50"/>
    <x v="101"/>
    <n v="50"/>
    <s v="TB31600CE"/>
    <n v="92"/>
    <s v="Voetlaken 196x200cm"/>
    <n v="50"/>
    <n v="1"/>
    <n v="50"/>
    <s v="St."/>
    <n v="50"/>
    <s v="92,42"/>
    <n v="50"/>
    <s v="17/02/2026"/>
    <n v="50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14"/>
    <x v="51"/>
    <n v="50"/>
    <s v="NL327171"/>
    <n v="50"/>
    <s v="16/02/2026"/>
    <n v="50"/>
    <s v="Medline International Netherlands B.V."/>
    <n v="50"/>
    <s v="Hosp.Log NL"/>
    <n v="50"/>
    <x v="0"/>
    <n v="50"/>
    <x v="102"/>
    <n v="50"/>
    <s v="9512CEA0K"/>
    <n v="90"/>
    <s v="Jas Spunlace Versterkt 150cm"/>
    <n v="50"/>
    <n v="24"/>
    <n v="50"/>
    <s v="St."/>
    <n v="50"/>
    <s v="63,62"/>
    <n v="50"/>
    <s v="17/02/2026"/>
    <n v="50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15"/>
    <x v="51"/>
    <n v="50"/>
    <s v="NL327171"/>
    <n v="50"/>
    <s v="16/02/2026"/>
    <n v="50"/>
    <s v="Medline International Netherlands B.V."/>
    <n v="50"/>
    <s v="Hosp.Log NL"/>
    <n v="50"/>
    <x v="0"/>
    <n v="50"/>
    <x v="103"/>
    <n v="50"/>
    <s v="WGHMA034D"/>
    <n v="92"/>
    <s v="Vaginaal, Tray"/>
    <n v="50"/>
    <n v="2"/>
    <n v="50"/>
    <s v="St."/>
    <n v="50"/>
    <s v="153,75"/>
    <n v="50"/>
    <s v="17/02/2026"/>
    <n v="50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16"/>
    <x v="51"/>
    <n v="50"/>
    <s v="NL327171"/>
    <n v="50"/>
    <s v="16/02/2026"/>
    <n v="50"/>
    <s v="Medline International Netherlands B.V."/>
    <n v="50"/>
    <s v="Hosp.Log NL"/>
    <n v="50"/>
    <x v="0"/>
    <n v="50"/>
    <x v="104"/>
    <n v="50"/>
    <s v="PC1290EU"/>
    <n v="92"/>
    <s v="Sondehoes 15x122cm Gel"/>
    <n v="50"/>
    <n v="4"/>
    <n v="50"/>
    <s v="St."/>
    <n v="50"/>
    <s v="81,39"/>
    <n v="50"/>
    <s v="17/02/2026"/>
    <n v="50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17"/>
    <x v="51"/>
    <n v="50"/>
    <s v="NL327171"/>
    <n v="50"/>
    <s v="16/02/2026"/>
    <n v="50"/>
    <s v="Medline International Netherlands B.V."/>
    <n v="50"/>
    <s v="Hosp.Log NL"/>
    <n v="50"/>
    <x v="0"/>
    <n v="50"/>
    <x v="105"/>
    <n v="50"/>
    <s v="KER71070AOOG"/>
    <n v="90"/>
    <s v="Oog, Tray-MP"/>
    <n v="50"/>
    <n v="2"/>
    <n v="50"/>
    <s v="St."/>
    <n v="50"/>
    <s v="352,32"/>
    <n v="50"/>
    <s v="17/02/2026"/>
    <n v="50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18"/>
    <x v="51"/>
    <n v="50"/>
    <s v="NL327171"/>
    <n v="50"/>
    <s v="16/02/2026"/>
    <n v="50"/>
    <s v="Medline International Netherlands B.V."/>
    <n v="50"/>
    <s v="Hosp.Log NL"/>
    <n v="50"/>
    <x v="0"/>
    <n v="50"/>
    <x v="106"/>
    <n v="50"/>
    <s v="4765IM-BOORHOES"/>
    <n v="92"/>
    <s v="8x120cm + 2 kleefstripjes"/>
    <n v="50"/>
    <n v="3"/>
    <n v="50"/>
    <s v="St."/>
    <n v="50"/>
    <s v="115,15"/>
    <n v="50"/>
    <s v="17/02/2026"/>
    <n v="50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19"/>
    <x v="51"/>
    <n v="50"/>
    <s v="NL327171"/>
    <n v="50"/>
    <s v="16/02/2026"/>
    <n v="50"/>
    <s v="Medline International Netherlands B.V."/>
    <n v="50"/>
    <s v="Hosp.Log NL"/>
    <n v="50"/>
    <x v="0"/>
    <n v="50"/>
    <x v="16"/>
    <n v="50"/>
    <s v="MSG9665"/>
    <n v="92"/>
    <s v="SensiCare PI Micro 6,5"/>
    <n v="50"/>
    <n v="4"/>
    <n v="50"/>
    <s v="St."/>
    <n v="50"/>
    <s v="203,91"/>
    <n v="50"/>
    <s v="17/02/2026"/>
    <n v="50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20"/>
    <x v="51"/>
    <n v="50"/>
    <s v="NL327171"/>
    <n v="50"/>
    <s v="16/02/2026"/>
    <n v="50"/>
    <s v="Medline International Netherlands B.V."/>
    <n v="50"/>
    <s v="Hosp.Log NL"/>
    <n v="50"/>
    <x v="0"/>
    <n v="50"/>
    <x v="107"/>
    <n v="50"/>
    <s v="MSG9670"/>
    <n v="92"/>
    <s v="SensiCare PI Micro 7,0"/>
    <n v="50"/>
    <n v="3"/>
    <n v="50"/>
    <s v="St."/>
    <n v="50"/>
    <s v="203,91"/>
    <n v="50"/>
    <s v="17/02/2026"/>
    <n v="50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21"/>
    <x v="51"/>
    <n v="50"/>
    <s v="NL327171"/>
    <n v="50"/>
    <s v="16/02/2026"/>
    <n v="50"/>
    <s v="Medline International Netherlands B.V."/>
    <n v="50"/>
    <s v="Hosp.Log NL"/>
    <n v="50"/>
    <x v="0"/>
    <n v="50"/>
    <x v="108"/>
    <n v="50"/>
    <s v="MSG9680"/>
    <n v="92"/>
    <s v="SensiCare PI Micro 8,0"/>
    <n v="50"/>
    <n v="2"/>
    <n v="50"/>
    <s v="St."/>
    <n v="50"/>
    <s v="203,91"/>
    <n v="50"/>
    <s v="17/02/2026"/>
    <n v="50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22"/>
    <x v="51"/>
    <n v="50"/>
    <s v="NL327171"/>
    <n v="50"/>
    <s v="16/02/2026"/>
    <n v="50"/>
    <s v="Medline International Netherlands B.V."/>
    <n v="50"/>
    <s v="Hosp.Log NL"/>
    <n v="50"/>
    <x v="0"/>
    <n v="50"/>
    <x v="109"/>
    <n v="50"/>
    <s v="NONECVL"/>
    <n v="92"/>
    <s v="VISITOR COVERALL, BLUE, SMS, L (backorder)"/>
    <n v="50"/>
    <n v="1"/>
    <n v="50"/>
    <s v="St."/>
    <n v="50"/>
    <s v="21,50"/>
    <n v="50"/>
    <s v="17/02/2026"/>
    <n v="50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23"/>
    <x v="51"/>
    <n v="50"/>
    <s v="NL327171"/>
    <n v="50"/>
    <s v="16/02/2026"/>
    <n v="50"/>
    <s v="Medline International Netherlands B.V."/>
    <n v="50"/>
    <s v="Hosp.Log NL"/>
    <n v="50"/>
    <x v="0"/>
    <n v="50"/>
    <x v="110"/>
    <n v="50"/>
    <s v="WGHBS181DTKP"/>
    <n v="95"/>
    <s v="Tray (WGHBS181DTKP)"/>
    <n v="50"/>
    <n v="4"/>
    <n v="50"/>
    <s v="St."/>
    <n v="50"/>
    <s v="135,34"/>
    <n v="50"/>
    <s v="17/02/2026"/>
    <n v="50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24"/>
    <x v="51"/>
    <n v="50"/>
    <s v="NL327171"/>
    <n v="50"/>
    <s v="16/02/2026"/>
    <n v="50"/>
    <s v="Medline International Netherlands B.V."/>
    <n v="50"/>
    <s v="Hosp.Log NL"/>
    <n v="50"/>
    <x v="0"/>
    <n v="50"/>
    <x v="111"/>
    <n v="50"/>
    <s v="486802"/>
    <n v="92"/>
    <s v="SensiCare Ice M Nitrile Blauw"/>
    <n v="50"/>
    <n v="63"/>
    <n v="50"/>
    <s v="St."/>
    <n v="50"/>
    <s v="74,24"/>
    <n v="50"/>
    <s v="17/02/2026"/>
    <n v="50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25"/>
    <x v="51"/>
    <n v="50"/>
    <s v="NL327171"/>
    <n v="50"/>
    <s v="16/02/2026"/>
    <n v="50"/>
    <s v="Medline International Netherlands B.V."/>
    <n v="50"/>
    <s v="Hosp.Log NL"/>
    <n v="50"/>
    <x v="0"/>
    <n v="50"/>
    <x v="112"/>
    <n v="50"/>
    <s v="MDTEDBTRD3XL"/>
    <n v="95"/>
    <s v="Antislipkousen Dubbel Grijs Bariatrisch &gt;46 (backorder)"/>
    <n v="50"/>
    <n v="1"/>
    <n v="50"/>
    <s v="St."/>
    <n v="50"/>
    <s v="72,25"/>
    <n v="50"/>
    <s v="17/02/2026"/>
    <n v="50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26"/>
    <x v="51"/>
    <n v="50"/>
    <s v="NL327171"/>
    <n v="50"/>
    <s v="16/02/2026"/>
    <n v="50"/>
    <s v="Medline International Netherlands B.V."/>
    <n v="50"/>
    <s v="Hosp.Log NL"/>
    <n v="50"/>
    <x v="0"/>
    <n v="50"/>
    <x v="113"/>
    <n v="50"/>
    <s v="CRIE404IC"/>
    <n v="90"/>
    <s v="Isolatieschort Bilaminaat Manchet Geel XL"/>
    <n v="50"/>
    <n v="24"/>
    <n v="50"/>
    <s v="St."/>
    <n v="50"/>
    <s v="77,69"/>
    <n v="50"/>
    <s v="17/02/2026"/>
    <n v="50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27"/>
    <x v="51"/>
    <n v="50"/>
    <s v="NL327171"/>
    <n v="50"/>
    <s v="16/02/2026"/>
    <n v="50"/>
    <s v="Medline International Netherlands B.V."/>
    <n v="50"/>
    <s v="Hosp.Log NL"/>
    <n v="50"/>
    <x v="0"/>
    <n v="50"/>
    <x v="114"/>
    <n v="50"/>
    <s v="CUB1"/>
    <n v="92"/>
    <s v="Clippersmesje Universeel Grijs"/>
    <n v="50"/>
    <n v="3"/>
    <n v="50"/>
    <s v="St."/>
    <n v="50"/>
    <s v="76,18"/>
    <n v="50"/>
    <s v="17/02/2026"/>
    <n v="50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28"/>
    <x v="51"/>
    <n v="50"/>
    <s v="NL327171"/>
    <n v="50"/>
    <s v="16/02/2026"/>
    <n v="50"/>
    <s v="Medline International Netherlands B.V."/>
    <n v="50"/>
    <s v="Hosp.Log NL"/>
    <n v="50"/>
    <x v="0"/>
    <n v="50"/>
    <x v="115"/>
    <n v="50"/>
    <s v="CUB1"/>
    <n v="92"/>
    <s v="Clippersmesje Universeel Grijs"/>
    <n v="50"/>
    <n v="1"/>
    <n v="50"/>
    <s v="St."/>
    <n v="50"/>
    <s v="76,18"/>
    <n v="50"/>
    <s v="17/02/2026"/>
    <n v="50"/>
  </r>
  <r>
    <x v="68"/>
    <x v="0"/>
    <x v="0"/>
    <d v="2026-02-27T12:44:18"/>
    <n v="68.62"/>
    <n v="391"/>
    <n v="1"/>
    <m/>
    <s v="mail - nl-customerservice@medline.com — FW: ORDERBEVESTIGING NL327171, Deb.nr. 110890HE,  Uw order: 3507009725"/>
    <s v="Dutch"/>
    <x v="29"/>
    <x v="51"/>
    <n v="50"/>
    <s v="NL327171"/>
    <n v="50"/>
    <s v="16/02/2026"/>
    <n v="50"/>
    <s v="Medline International Netherlands B.V."/>
    <n v="50"/>
    <s v="Hosp.Log NL"/>
    <n v="50"/>
    <x v="0"/>
    <n v="50"/>
    <x v="17"/>
    <n v="50"/>
    <s v="NONECVL"/>
    <n v="92"/>
    <s v="VISITOR COVERALL, BLUE, SMS, L (backorder batch)"/>
    <n v="50"/>
    <n v="8"/>
    <n v="50"/>
    <s v="St."/>
    <n v="50"/>
    <s v="21,50"/>
    <n v="50"/>
    <s v="17/02/2026"/>
    <n v="50"/>
  </r>
  <r>
    <x v="27"/>
    <x v="0"/>
    <x v="0"/>
    <d v="2026-02-27T12:44:17"/>
    <n v="93.11"/>
    <n v="26"/>
    <n v="0"/>
    <m/>
    <s v="mail - CustomerCareNL@fresenius-kabi.com — ORDERBEVESTIGING 2364067490"/>
    <s v="Dutch"/>
    <x v="0"/>
    <x v="17"/>
    <n v="95"/>
    <s v="2364067490"/>
    <n v="95"/>
    <s v="16/02/2026"/>
    <n v="95"/>
    <s v="Fresenius Kabi Nederland B.V."/>
    <n v="95"/>
    <s v="Hospital Logistics Nederland"/>
    <n v="90"/>
    <x v="0"/>
    <n v="95"/>
    <x v="9"/>
    <n v="95"/>
    <s v="8189601"/>
    <n v="92"/>
    <s v="F THICK LEV 3 W Straw D(CH/B)-F(CH/B)-NL 1 X 200 ML EASYBOTTLE"/>
    <n v="88"/>
    <n v="24"/>
    <n v="95"/>
    <s v="ST"/>
    <n v="90"/>
    <s v="2,17 EUR"/>
    <n v="93"/>
    <s v="20/02/2026"/>
    <n v="90"/>
  </r>
  <r>
    <x v="27"/>
    <x v="0"/>
    <x v="0"/>
    <d v="2026-02-27T12:44:17"/>
    <n v="93.11"/>
    <n v="26"/>
    <n v="0"/>
    <m/>
    <s v="mail - CustomerCareNL@fresenius-kabi.com — ORDERBEVESTIGING 2364067490"/>
    <s v="Dutch"/>
    <x v="1"/>
    <x v="17"/>
    <n v="95"/>
    <s v="2364067490"/>
    <n v="95"/>
    <s v="16/02/2026"/>
    <n v="95"/>
    <s v="Fresenius Kabi Nederland B.V."/>
    <n v="95"/>
    <s v="Hospital Logistics Nederland"/>
    <n v="90"/>
    <x v="0"/>
    <n v="95"/>
    <x v="16"/>
    <n v="95"/>
    <s v="7162701"/>
    <n v="92"/>
    <s v="F. 2 KCAL CREME Capp. D-F-S-DK/N-NL-HR 1 X 125 GRAMM BECHER"/>
    <n v="87"/>
    <n v="24"/>
    <n v="95"/>
    <s v="ST"/>
    <n v="90"/>
    <s v="1,61 EUR"/>
    <n v="93"/>
    <s v="20/02/2026"/>
    <n v="90"/>
  </r>
  <r>
    <x v="69"/>
    <x v="0"/>
    <x v="0"/>
    <d v="2026-02-27T12:44:17"/>
    <n v="77.180000000000007"/>
    <n v="169"/>
    <n v="0"/>
    <m/>
    <s v="mail - orders.be@duomed.com — Orderbevestiging C007-S2607623-1"/>
    <s v="Dutch"/>
    <x v="0"/>
    <x v="49"/>
    <n v="98"/>
    <s v="C007-S2607623-1"/>
    <n v="50"/>
    <s v="16/02/2026"/>
    <n v="50"/>
    <s v="Duomed Belgium NV/SA"/>
    <n v="50"/>
    <s v="Hospital Logistics"/>
    <n v="50"/>
    <x v="0"/>
    <n v="50"/>
    <x v="0"/>
    <n v="50"/>
    <s v="EUCS270C"/>
    <n v="95"/>
    <s v="Chirurgische Borstel Met Chlohexidine 4%"/>
    <n v="50"/>
    <n v="36"/>
    <n v="96"/>
    <s v="B30"/>
    <n v="50"/>
    <s v="11,43 EUR"/>
    <n v="95"/>
    <s v="19/02/2026"/>
    <n v="97"/>
  </r>
  <r>
    <x v="69"/>
    <x v="0"/>
    <x v="0"/>
    <d v="2026-02-27T12:44:17"/>
    <n v="77.180000000000007"/>
    <n v="169"/>
    <n v="0"/>
    <m/>
    <s v="mail - orders.be@duomed.com — Orderbevestiging C007-S2607623-1"/>
    <s v="Dutch"/>
    <x v="1"/>
    <x v="49"/>
    <n v="98"/>
    <s v="C007-S2607623-1"/>
    <n v="50"/>
    <s v="16/02/2026"/>
    <n v="50"/>
    <s v="Duomed Belgium NV/SA"/>
    <n v="50"/>
    <s v="Hospital Logistics"/>
    <n v="50"/>
    <x v="0"/>
    <n v="50"/>
    <x v="1"/>
    <n v="50"/>
    <s v="TPI102"/>
    <n v="95"/>
    <s v="Zakje Suture Strips 6mmx102mm (10 Strips)"/>
    <n v="50"/>
    <n v="5"/>
    <n v="96"/>
    <s v="B50"/>
    <n v="50"/>
    <s v="55,56 EUR"/>
    <n v="94"/>
    <s v="19/02/2026"/>
    <n v="97"/>
  </r>
  <r>
    <x v="69"/>
    <x v="0"/>
    <x v="0"/>
    <d v="2026-02-27T12:44:17"/>
    <n v="77.180000000000007"/>
    <n v="169"/>
    <n v="0"/>
    <m/>
    <s v="mail - orders.be@duomed.com — Orderbevestiging C007-S2607623-1"/>
    <s v="Dutch"/>
    <x v="2"/>
    <x v="49"/>
    <n v="98"/>
    <s v="C007-S2607623-1"/>
    <n v="50"/>
    <s v="16/02/2026"/>
    <n v="50"/>
    <s v="Duomed Belgium NV/SA"/>
    <n v="50"/>
    <s v="Hospital Logistics"/>
    <n v="50"/>
    <x v="0"/>
    <n v="50"/>
    <x v="2"/>
    <n v="50"/>
    <s v="3115790"/>
    <n v="95"/>
    <s v="Incidin OxyFoam S 750 ml"/>
    <n v="50"/>
    <n v="18"/>
    <n v="96"/>
    <s v="B6"/>
    <n v="50"/>
    <s v="34,28 EUR"/>
    <n v="95"/>
    <s v="19/02/2026"/>
    <n v="97"/>
  </r>
  <r>
    <x v="69"/>
    <x v="0"/>
    <x v="0"/>
    <d v="2026-02-27T12:44:17"/>
    <n v="77.180000000000007"/>
    <n v="169"/>
    <n v="0"/>
    <m/>
    <s v="mail - orders.be@duomed.com — Orderbevestiging C007-S2607623-1"/>
    <s v="Dutch"/>
    <x v="3"/>
    <x v="49"/>
    <n v="98"/>
    <s v="C007-S2607623-1"/>
    <n v="50"/>
    <s v="16/02/2026"/>
    <n v="50"/>
    <s v="Duomed Belgium NV/SA"/>
    <n v="50"/>
    <s v="Hospital Logistics"/>
    <n v="50"/>
    <x v="0"/>
    <n v="50"/>
    <x v="3"/>
    <n v="50"/>
    <s v="23810366C"/>
    <n v="94"/>
    <s v="Aniosyme xl3 Bus Van 5 Liter + Doseerpomp"/>
    <n v="50"/>
    <n v="5"/>
    <n v="95"/>
    <s v="B4"/>
    <n v="50"/>
    <s v="332,68 EUR"/>
    <n v="95"/>
    <s v="19/02/2026"/>
    <n v="96"/>
  </r>
  <r>
    <x v="69"/>
    <x v="0"/>
    <x v="0"/>
    <d v="2026-02-27T12:44:17"/>
    <n v="77.180000000000007"/>
    <n v="169"/>
    <n v="0"/>
    <m/>
    <s v="mail - orders.be@duomed.com — Orderbevestiging C007-S2607623-1"/>
    <s v="Dutch"/>
    <x v="4"/>
    <x v="49"/>
    <n v="98"/>
    <s v="C007-S2607623-1"/>
    <n v="50"/>
    <s v="16/02/2026"/>
    <n v="50"/>
    <s v="Duomed Belgium NV/SA"/>
    <n v="50"/>
    <s v="Hospital Logistics"/>
    <n v="50"/>
    <x v="0"/>
    <n v="50"/>
    <x v="4"/>
    <n v="50"/>
    <s v="7506"/>
    <n v="95"/>
    <s v="Kimtech Absorberende Handdoek"/>
    <n v="50"/>
    <n v="4"/>
    <n v="96"/>
    <s v="B16"/>
    <n v="50"/>
    <s v="228,72 EUR"/>
    <n v="95"/>
    <s v="19/02/2026"/>
    <n v="96"/>
  </r>
  <r>
    <x v="69"/>
    <x v="0"/>
    <x v="0"/>
    <d v="2026-02-27T12:44:17"/>
    <n v="77.180000000000007"/>
    <n v="169"/>
    <n v="0"/>
    <m/>
    <s v="mail - orders.be@duomed.com — Orderbevestiging C007-S2607623-1"/>
    <s v="Dutch"/>
    <x v="5"/>
    <x v="49"/>
    <n v="98"/>
    <s v="C007-S2607623-1"/>
    <n v="50"/>
    <s v="16/02/2026"/>
    <n v="50"/>
    <s v="Duomed Belgium NV/SA"/>
    <n v="50"/>
    <s v="Hospital Logistics"/>
    <n v="50"/>
    <x v="0"/>
    <n v="50"/>
    <x v="5"/>
    <n v="50"/>
    <s v="OP-1125-8"/>
    <n v="95"/>
    <s v="Oxypuls over Sized Mask+7&quot; Tube"/>
    <n v="50"/>
    <n v="4"/>
    <n v="96"/>
    <s v="B25"/>
    <n v="50"/>
    <s v="134,94 EUR"/>
    <n v="95"/>
    <s v="19/02/2026"/>
    <n v="96"/>
  </r>
  <r>
    <x v="69"/>
    <x v="0"/>
    <x v="0"/>
    <d v="2026-02-27T12:44:17"/>
    <n v="77.180000000000007"/>
    <n v="169"/>
    <n v="0"/>
    <m/>
    <s v="mail - orders.be@duomed.com — Orderbevestiging C007-S2607623-1"/>
    <s v="Dutch"/>
    <x v="6"/>
    <x v="49"/>
    <n v="98"/>
    <s v="C007-S2607623-1"/>
    <n v="50"/>
    <s v="16/02/2026"/>
    <n v="50"/>
    <s v="Duomed Belgium NV/SA"/>
    <n v="50"/>
    <s v="Hospital Logistics"/>
    <n v="50"/>
    <x v="0"/>
    <n v="50"/>
    <x v="6"/>
    <n v="50"/>
    <s v="423281"/>
    <n v="95"/>
    <s v="Esenta Adhesive Remover Wipes (30 Wipes/Box)"/>
    <n v="50"/>
    <n v="2"/>
    <n v="96"/>
    <s v="B20"/>
    <n v="50"/>
    <s v="391,73 EUR"/>
    <n v="95"/>
    <s v="19/02/2026"/>
    <n v="96"/>
  </r>
  <r>
    <x v="69"/>
    <x v="0"/>
    <x v="0"/>
    <d v="2026-02-27T12:44:17"/>
    <n v="77.180000000000007"/>
    <n v="169"/>
    <n v="0"/>
    <m/>
    <s v="mail - orders.be@duomed.com — Orderbevestiging C007-S2607623-1"/>
    <s v="Dutch"/>
    <x v="7"/>
    <x v="49"/>
    <n v="98"/>
    <s v="C007-S2607623-1"/>
    <n v="50"/>
    <s v="16/02/2026"/>
    <n v="50"/>
    <s v="Duomed Belgium NV/SA"/>
    <n v="50"/>
    <s v="Hospital Logistics"/>
    <n v="50"/>
    <x v="0"/>
    <n v="50"/>
    <x v="7"/>
    <n v="50"/>
    <s v="34186"/>
    <n v="95"/>
    <s v="Halyard Quick Check H200 101x101cm"/>
    <n v="50"/>
    <n v="15"/>
    <n v="96"/>
    <s v="B120"/>
    <n v="50"/>
    <s v="66,00 EUR"/>
    <n v="95"/>
    <s v="19/02/2026"/>
    <n v="96"/>
  </r>
  <r>
    <x v="69"/>
    <x v="0"/>
    <x v="0"/>
    <d v="2026-02-27T12:44:17"/>
    <n v="77.180000000000007"/>
    <n v="169"/>
    <n v="0"/>
    <m/>
    <s v="mail - orders.be@duomed.com — Orderbevestiging C007-S2607623-1"/>
    <s v="Dutch"/>
    <x v="8"/>
    <x v="49"/>
    <n v="98"/>
    <s v="C007-S2607623-1"/>
    <n v="50"/>
    <s v="16/02/2026"/>
    <n v="50"/>
    <s v="Duomed Belgium NV/SA"/>
    <n v="50"/>
    <s v="Hospital Logistics"/>
    <n v="50"/>
    <x v="0"/>
    <n v="50"/>
    <x v="8"/>
    <n v="50"/>
    <s v="34181"/>
    <n v="95"/>
    <s v="Halyard Quick Check H300 121x121cm"/>
    <n v="50"/>
    <n v="30"/>
    <n v="96"/>
    <s v="B96"/>
    <n v="50"/>
    <s v="82,65 EUR"/>
    <n v="95"/>
    <s v="19/02/2026"/>
    <n v="96"/>
  </r>
  <r>
    <x v="69"/>
    <x v="0"/>
    <x v="0"/>
    <d v="2026-02-27T12:44:17"/>
    <n v="77.180000000000007"/>
    <n v="169"/>
    <n v="0"/>
    <m/>
    <s v="mail - orders.be@duomed.com — Orderbevestiging C007-S2607623-1"/>
    <s v="Dutch"/>
    <x v="9"/>
    <x v="49"/>
    <n v="98"/>
    <s v="C007-S2607623-1"/>
    <n v="50"/>
    <s v="16/02/2026"/>
    <n v="50"/>
    <s v="Duomed Belgium NV/SA"/>
    <n v="50"/>
    <s v="Hospital Logistics"/>
    <n v="50"/>
    <x v="0"/>
    <n v="50"/>
    <x v="9"/>
    <n v="50"/>
    <s v="S10-3P"/>
    <n v="95"/>
    <s v="Zakjes Papier/Tranparant 205x400mm + 3 Indicatoren"/>
    <n v="50"/>
    <n v="4"/>
    <n v="96"/>
    <s v="B600"/>
    <n v="50"/>
    <s v="46,41 EUR"/>
    <n v="95"/>
    <s v="19/02/2026"/>
    <n v="96"/>
  </r>
  <r>
    <x v="69"/>
    <x v="0"/>
    <x v="0"/>
    <d v="2026-02-27T12:44:17"/>
    <n v="77.180000000000007"/>
    <n v="169"/>
    <n v="0"/>
    <m/>
    <s v="mail - orders.be@duomed.com — Orderbevestiging C007-S2607623-1"/>
    <s v="Dutch"/>
    <x v="10"/>
    <x v="49"/>
    <n v="98"/>
    <s v="C007-S2607623-1"/>
    <n v="50"/>
    <s v="16/02/2026"/>
    <n v="50"/>
    <s v="Duomed Belgium NV/SA"/>
    <n v="50"/>
    <s v="Hospital Logistics"/>
    <n v="50"/>
    <x v="0"/>
    <n v="50"/>
    <x v="10"/>
    <n v="50"/>
    <s v="S9-3P"/>
    <n v="95"/>
    <s v="Zakjes Papier/Transparant 100x400mm+ 3 Indicatoren"/>
    <n v="50"/>
    <n v="2"/>
    <n v="96"/>
    <s v="B1200"/>
    <n v="50"/>
    <s v="50,89 EUR"/>
    <n v="95"/>
    <s v="19/02/2026"/>
    <n v="96"/>
  </r>
  <r>
    <x v="69"/>
    <x v="0"/>
    <x v="0"/>
    <d v="2026-02-27T12:44:17"/>
    <n v="77.180000000000007"/>
    <n v="169"/>
    <n v="0"/>
    <m/>
    <s v="mail - orders.be@duomed.com — Orderbevestiging C007-S2607623-1"/>
    <s v="Dutch"/>
    <x v="11"/>
    <x v="49"/>
    <n v="98"/>
    <s v="C007-S2607623-1"/>
    <n v="50"/>
    <s v="16/02/2026"/>
    <n v="50"/>
    <s v="Duomed Belgium NV/SA"/>
    <n v="50"/>
    <s v="Hospital Logistics"/>
    <n v="50"/>
    <x v="0"/>
    <n v="50"/>
    <x v="99"/>
    <n v="50"/>
    <s v="34175"/>
    <n v="95"/>
    <s v="Halyard Quick Check H200 76x76cm"/>
    <n v="50"/>
    <n v="17"/>
    <n v="96"/>
    <s v="B144"/>
    <n v="50"/>
    <s v="55,40 EUR"/>
    <n v="95"/>
    <s v="19/02/2026"/>
    <n v="96"/>
  </r>
  <r>
    <x v="69"/>
    <x v="0"/>
    <x v="0"/>
    <d v="2026-02-27T12:44:17"/>
    <n v="77.180000000000007"/>
    <n v="169"/>
    <n v="0"/>
    <m/>
    <s v="mail - orders.be@duomed.com — Orderbevestiging C007-S2607623-1"/>
    <s v="Dutch"/>
    <x v="12"/>
    <x v="49"/>
    <n v="98"/>
    <s v="C007-S2607623-1"/>
    <n v="50"/>
    <s v="16/02/2026"/>
    <n v="50"/>
    <s v="Duomed Belgium NV/SA"/>
    <n v="50"/>
    <s v="Hospital Logistics"/>
    <n v="50"/>
    <x v="0"/>
    <n v="50"/>
    <x v="100"/>
    <n v="50"/>
    <s v="DL 316"/>
    <n v="94"/>
    <s v="Hold-n-Place Cath. Holder-Leg Band Fits Up To 76 cm"/>
    <n v="50"/>
    <n v="100"/>
    <n v="96"/>
    <s v="PCS"/>
    <n v="50"/>
    <s v="7,55 EUR"/>
    <n v="95"/>
    <s v="19/02/2026"/>
    <n v="96"/>
  </r>
  <r>
    <x v="66"/>
    <x v="1"/>
    <x v="1"/>
    <d v="2026-02-27T12:44:17"/>
    <n v="20"/>
    <n v="0"/>
    <n v="0"/>
    <m/>
    <s v="mail - customerservice.nl@hartmann.info — RE: Verwachte LT"/>
    <m/>
    <x v="88"/>
    <x v="5"/>
    <m/>
    <m/>
    <m/>
    <m/>
    <m/>
    <m/>
    <m/>
    <m/>
    <m/>
    <x v="1"/>
    <m/>
    <x v="98"/>
    <m/>
    <m/>
    <m/>
    <m/>
    <m/>
    <m/>
    <m/>
    <m/>
    <m/>
    <m/>
    <m/>
    <m/>
    <m/>
  </r>
  <r>
    <x v="70"/>
    <x v="0"/>
    <x v="0"/>
    <d v="2026-02-27T12:44:17"/>
    <n v="80.66"/>
    <n v="13"/>
    <n v="2"/>
    <m/>
    <s v="mail - noreply@lyreco.com — Lyreco orderbevestiging 167924591-16022026-0006"/>
    <s v="Dutch"/>
    <x v="0"/>
    <x v="52"/>
    <n v="80"/>
    <s v="167924591"/>
    <n v="80"/>
    <s v="16/02/2026"/>
    <n v="95"/>
    <s v="Lyreco Belgium SA/NV"/>
    <n v="95"/>
    <s v="Hospital Logistics Aarschot"/>
    <n v="90"/>
    <x v="0"/>
    <n v="90"/>
    <x v="0"/>
    <n v="85"/>
    <s v="143.344"/>
    <n v="85"/>
    <s v="Besteld door Hospital Logistics DS2400 LY RECO ETIKET 70X36"/>
    <n v="90"/>
    <n v="1"/>
    <n v="95"/>
    <m/>
    <n v="30"/>
    <s v="3,40"/>
    <n v="90"/>
    <m/>
    <n v="30"/>
  </r>
  <r>
    <x v="71"/>
    <x v="1"/>
    <x v="1"/>
    <d v="2026-02-27T12:44:17"/>
    <n v="28"/>
    <n v="0"/>
    <n v="0"/>
    <m/>
    <s v="mail - infobenelux@bd.com — RE: Opvolging openstaande orders"/>
    <m/>
    <x v="88"/>
    <x v="5"/>
    <m/>
    <m/>
    <m/>
    <m/>
    <m/>
    <m/>
    <m/>
    <m/>
    <m/>
    <x v="1"/>
    <m/>
    <x v="98"/>
    <m/>
    <m/>
    <m/>
    <m/>
    <m/>
    <m/>
    <m/>
    <m/>
    <m/>
    <m/>
    <m/>
    <m/>
    <m/>
  </r>
  <r>
    <x v="72"/>
    <x v="0"/>
    <x v="0"/>
    <d v="2026-02-27T12:44:17"/>
    <n v="86.43"/>
    <n v="13"/>
    <n v="1"/>
    <m/>
    <s v="mail - tena.medical.cs.nl@essity.com — 6507004833 ESSITY Order Ontvangstbevestiging"/>
    <s v="Dutch"/>
    <x v="0"/>
    <x v="53"/>
    <n v="95"/>
    <s v="3004547003"/>
    <n v="95"/>
    <s v="16/02/2026"/>
    <n v="95"/>
    <s v="Essity Netherlands B.V."/>
    <n v="95"/>
    <s v="Hospital Logistics Nederland b.v."/>
    <n v="95"/>
    <x v="0"/>
    <n v="90"/>
    <x v="9"/>
    <n v="95"/>
    <s v="722394"/>
    <n v="95"/>
    <s v="TENA Flex Normal L 3x34p, INT/NEU, NSW"/>
    <n v="90"/>
    <n v="1"/>
    <n v="90"/>
    <s v="TRP"/>
    <n v="80"/>
    <s v="41,61 EUR / 100 PCS"/>
    <n v="85"/>
    <m/>
    <n v="40"/>
  </r>
  <r>
    <x v="73"/>
    <x v="0"/>
    <x v="0"/>
    <d v="2026-02-27T12:44:17"/>
    <n v="76.459999999999994"/>
    <n v="13"/>
    <n v="3"/>
    <m/>
    <s v="mail - sligroout_noreply@sligro.nl — Van Hoeckel order ontvangstbevestiging"/>
    <s v="Dutch"/>
    <x v="0"/>
    <x v="54"/>
    <n v="98"/>
    <m/>
    <n v="10"/>
    <s v="16/02/2026"/>
    <n v="95"/>
    <s v="Van Hoeckel"/>
    <n v="90"/>
    <s v="HOSPITAL LOGISTICS MDC (702665)"/>
    <n v="92"/>
    <x v="1"/>
    <n v="20"/>
    <x v="0"/>
    <n v="80"/>
    <s v="302135"/>
    <n v="96"/>
    <s v="640 GR KNORR C-A-S VEND.TOMAAT 40P"/>
    <n v="94"/>
    <n v="4"/>
    <n v="96"/>
    <s v="ZK"/>
    <n v="75"/>
    <m/>
    <n v="10"/>
    <s v="17/03/2026"/>
    <n v="95"/>
  </r>
  <r>
    <x v="74"/>
    <x v="0"/>
    <x v="0"/>
    <d v="2026-02-27T12:44:17"/>
    <n v="89.54"/>
    <n v="39"/>
    <n v="1"/>
    <m/>
    <s v="mail - orders.be@essity.com — 2508010179 ESSITY Orderbevestiging"/>
    <s v="Dutch"/>
    <x v="0"/>
    <x v="55"/>
    <n v="99"/>
    <s v="3004536001"/>
    <n v="98"/>
    <s v="13/02/2026"/>
    <n v="98"/>
    <s v="Essity Belgium NV"/>
    <n v="95"/>
    <s v="Hospital Logistics N.V."/>
    <n v="95"/>
    <x v="0"/>
    <n v="98"/>
    <x v="9"/>
    <n v="98"/>
    <s v="7146701"/>
    <n v="98"/>
    <s v="SOFF BAN 7.5CM X 2,7M /12"/>
    <n v="90"/>
    <n v="12"/>
    <n v="95"/>
    <s v="PC"/>
    <n v="95"/>
    <s v="2,94 EUR / 1 PC"/>
    <n v="95"/>
    <m/>
    <n v="40"/>
  </r>
  <r>
    <x v="74"/>
    <x v="0"/>
    <x v="0"/>
    <d v="2026-02-27T12:44:17"/>
    <n v="89.54"/>
    <n v="39"/>
    <n v="1"/>
    <m/>
    <s v="mail - orders.be@essity.com — 2508010179 ESSITY Orderbevestiging"/>
    <s v="Dutch"/>
    <x v="1"/>
    <x v="55"/>
    <n v="99"/>
    <s v="3004536001"/>
    <n v="98"/>
    <s v="13/02/2026"/>
    <n v="98"/>
    <s v="Essity Belgium NV"/>
    <n v="95"/>
    <s v="Hospital Logistics N.V."/>
    <n v="95"/>
    <x v="0"/>
    <n v="98"/>
    <x v="16"/>
    <n v="98"/>
    <s v="7645524"/>
    <n v="98"/>
    <s v="LP EL 19X75MM TA 100 INT."/>
    <n v="93"/>
    <n v="12"/>
    <n v="95"/>
    <s v="PC"/>
    <n v="95"/>
    <s v="3,76 EUR / 1 PC"/>
    <n v="95"/>
    <s v="18/02/2026"/>
    <n v="98"/>
  </r>
  <r>
    <x v="74"/>
    <x v="0"/>
    <x v="0"/>
    <d v="2026-02-27T12:44:17"/>
    <n v="89.54"/>
    <n v="39"/>
    <n v="1"/>
    <m/>
    <s v="mail - orders.be@essity.com — 2508010179 ESSITY Orderbevestiging"/>
    <s v="Dutch"/>
    <x v="2"/>
    <x v="55"/>
    <n v="99"/>
    <s v="3004536001"/>
    <n v="98"/>
    <s v="13/02/2026"/>
    <n v="98"/>
    <s v="Essity Belgium NV"/>
    <n v="95"/>
    <s v="Hospital Logistics N.V."/>
    <n v="95"/>
    <x v="0"/>
    <n v="98"/>
    <x v="17"/>
    <n v="98"/>
    <s v="7199400"/>
    <n v="98"/>
    <s v="GYPSONA S DISP. 10CMX20M /4L"/>
    <n v="93"/>
    <n v="6"/>
    <n v="95"/>
    <s v="PC"/>
    <n v="95"/>
    <s v="28,68 EUR / 1 PC"/>
    <n v="95"/>
    <s v="18/02/2026"/>
    <n v="98"/>
  </r>
  <r>
    <x v="75"/>
    <x v="0"/>
    <x v="0"/>
    <d v="2026-02-27T12:44:17"/>
    <n v="81.05"/>
    <n v="13"/>
    <n v="1"/>
    <m/>
    <s v="mail - mail@kingbelgium.be — Bevestiging bestelling  S09313926-1"/>
    <s v="Dutch"/>
    <x v="0"/>
    <x v="56"/>
    <n v="50"/>
    <s v="S09313926-IRIS"/>
    <n v="95"/>
    <s v="16/02/2026"/>
    <n v="95"/>
    <s v="King Belgium SA/NV"/>
    <n v="90"/>
    <s v="HOSPITAL LOGISTICS MAGAZIJN - AZ HERENTALS"/>
    <n v="90"/>
    <x v="0"/>
    <n v="95"/>
    <x v="98"/>
    <n v="20"/>
    <s v="090708/01"/>
    <n v="95"/>
    <s v="AFVALZAK LD RECYCLED T40 61X69CM GRIJS (30X20)"/>
    <n v="90"/>
    <n v="6"/>
    <n v="95"/>
    <s v="CS"/>
    <n v="85"/>
    <s v="36,85 / CS"/>
    <n v="90"/>
    <s v="18/02/2026"/>
    <n v="95"/>
  </r>
  <r>
    <x v="38"/>
    <x v="0"/>
    <x v="0"/>
    <d v="2026-02-27T12:44:17"/>
    <n v="75.569999999999993"/>
    <n v="143"/>
    <n v="0"/>
    <m/>
    <s v="mail - orders.be@hartmann.info — Hartmann : Order bevestiging"/>
    <s v="Dutch"/>
    <x v="0"/>
    <x v="57"/>
    <n v="50"/>
    <s v="42252052"/>
    <n v="50"/>
    <s v="02/02/2026"/>
    <n v="50"/>
    <s v="N.V. PAUL HARTMANN S.A."/>
    <n v="50"/>
    <s v="Hospital Logistics NV"/>
    <n v="50"/>
    <x v="0"/>
    <n v="50"/>
    <x v="9"/>
    <n v="50"/>
    <s v="4110742"/>
    <n v="85"/>
    <s v="MEDICOMP 5x5cm 4l. st."/>
    <n v="90"/>
    <n v="239"/>
    <n v="85"/>
    <s v="FS"/>
    <n v="80"/>
    <s v="0,55"/>
    <n v="90"/>
    <s v="06/02/2026"/>
    <n v="85"/>
  </r>
  <r>
    <x v="38"/>
    <x v="0"/>
    <x v="0"/>
    <d v="2026-02-27T12:44:17"/>
    <n v="75.569999999999993"/>
    <n v="143"/>
    <n v="0"/>
    <m/>
    <s v="mail - orders.be@hartmann.info — Hartmann : Order bevestiging"/>
    <s v="Dutch"/>
    <x v="1"/>
    <x v="57"/>
    <n v="50"/>
    <s v="42252052"/>
    <n v="50"/>
    <s v="02/02/2026"/>
    <n v="50"/>
    <s v="N.V. PAUL HARTMANN S.A."/>
    <n v="50"/>
    <s v="Hospital Logistics NV"/>
    <n v="50"/>
    <x v="0"/>
    <n v="50"/>
    <x v="16"/>
    <n v="50"/>
    <s v="4110722"/>
    <n v="85"/>
    <s v="MEDICOMP 7,5x7,5cm 4l. st."/>
    <n v="90"/>
    <n v="2"/>
    <n v="85"/>
    <s v="OK"/>
    <n v="80"/>
    <s v="36,31"/>
    <n v="90"/>
    <s v="06/02/2026"/>
    <n v="85"/>
  </r>
  <r>
    <x v="38"/>
    <x v="0"/>
    <x v="0"/>
    <d v="2026-02-27T12:44:17"/>
    <n v="75.569999999999993"/>
    <n v="143"/>
    <n v="0"/>
    <m/>
    <s v="mail - orders.be@hartmann.info — Hartmann : Order bevestiging"/>
    <s v="Dutch"/>
    <x v="2"/>
    <x v="57"/>
    <n v="50"/>
    <s v="42252052"/>
    <n v="50"/>
    <s v="02/02/2026"/>
    <n v="50"/>
    <s v="N.V. PAUL HARTMANN S.A."/>
    <n v="50"/>
    <s v="Hospital Logistics NV"/>
    <n v="50"/>
    <x v="0"/>
    <n v="50"/>
    <x v="17"/>
    <n v="50"/>
    <s v="4110515"/>
    <n v="85"/>
    <s v="MEDICOMP 5x5cm 4l. st."/>
    <n v="90"/>
    <n v="2"/>
    <n v="85"/>
    <s v="OK"/>
    <n v="80"/>
    <s v="26,76"/>
    <n v="90"/>
    <s v="06/02/2026"/>
    <n v="85"/>
  </r>
  <r>
    <x v="38"/>
    <x v="0"/>
    <x v="0"/>
    <d v="2026-02-27T12:44:17"/>
    <n v="75.569999999999993"/>
    <n v="143"/>
    <n v="0"/>
    <m/>
    <s v="mail - orders.be@hartmann.info — Hartmann : Order bevestiging"/>
    <s v="Dutch"/>
    <x v="3"/>
    <x v="57"/>
    <n v="50"/>
    <s v="42252052"/>
    <n v="50"/>
    <s v="02/02/2026"/>
    <n v="50"/>
    <s v="N.V. PAUL HARTMANN S.A."/>
    <n v="50"/>
    <s v="Hospital Logistics NV"/>
    <n v="50"/>
    <x v="0"/>
    <n v="50"/>
    <x v="18"/>
    <n v="50"/>
    <s v="4110525"/>
    <n v="85"/>
    <s v="MEDICOMP 7,5x7,5cm 4l. st."/>
    <n v="90"/>
    <n v="4"/>
    <n v="85"/>
    <s v="OK"/>
    <n v="80"/>
    <s v="46,61"/>
    <n v="90"/>
    <s v="06/02/2026"/>
    <n v="85"/>
  </r>
  <r>
    <x v="38"/>
    <x v="0"/>
    <x v="0"/>
    <d v="2026-02-27T12:44:17"/>
    <n v="75.569999999999993"/>
    <n v="143"/>
    <n v="0"/>
    <m/>
    <s v="mail - orders.be@hartmann.info — Hartmann : Order bevestiging"/>
    <s v="Dutch"/>
    <x v="4"/>
    <x v="57"/>
    <n v="50"/>
    <s v="42252052"/>
    <n v="50"/>
    <s v="02/02/2026"/>
    <n v="50"/>
    <s v="N.V. PAUL HARTMANN S.A."/>
    <n v="50"/>
    <s v="Hospital Logistics NV"/>
    <n v="50"/>
    <x v="0"/>
    <n v="50"/>
    <x v="19"/>
    <n v="50"/>
    <s v="4793304"/>
    <n v="85"/>
    <s v="Antisepsie en huidprep. 14"/>
    <n v="90"/>
    <n v="35"/>
    <n v="85"/>
    <s v="OK"/>
    <n v="80"/>
    <s v="33,49"/>
    <n v="90"/>
    <s v="06/02/2026"/>
    <n v="85"/>
  </r>
  <r>
    <x v="38"/>
    <x v="0"/>
    <x v="0"/>
    <d v="2026-02-27T12:44:17"/>
    <n v="75.569999999999993"/>
    <n v="143"/>
    <n v="0"/>
    <m/>
    <s v="mail - orders.be@hartmann.info — Hartmann : Order bevestiging"/>
    <s v="Dutch"/>
    <x v="5"/>
    <x v="57"/>
    <n v="50"/>
    <s v="42252052"/>
    <n v="50"/>
    <s v="02/02/2026"/>
    <n v="50"/>
    <s v="N.V. PAUL HARTMANN S.A."/>
    <n v="50"/>
    <s v="Hospital Logistics NV"/>
    <n v="50"/>
    <x v="0"/>
    <n v="50"/>
    <x v="20"/>
    <n v="50"/>
    <s v="9008708"/>
    <n v="85"/>
    <s v="COSMOPOR E latexfree 7,2x5cm"/>
    <n v="90"/>
    <n v="2"/>
    <n v="85"/>
    <s v="OK"/>
    <n v="80"/>
    <s v="88,51"/>
    <n v="90"/>
    <s v="06/02/2026"/>
    <n v="85"/>
  </r>
  <r>
    <x v="38"/>
    <x v="0"/>
    <x v="0"/>
    <d v="2026-02-27T12:44:17"/>
    <n v="75.569999999999993"/>
    <n v="143"/>
    <n v="0"/>
    <m/>
    <s v="mail - orders.be@hartmann.info — Hartmann : Order bevestiging"/>
    <s v="Dutch"/>
    <x v="6"/>
    <x v="57"/>
    <n v="50"/>
    <s v="42252052"/>
    <n v="50"/>
    <s v="02/02/2026"/>
    <n v="50"/>
    <s v="N.V. PAUL HARTMANN S.A."/>
    <n v="50"/>
    <s v="Hospital Logistics NV"/>
    <n v="50"/>
    <x v="0"/>
    <n v="50"/>
    <x v="21"/>
    <n v="50"/>
    <s v="900870"/>
    <n v="75"/>
    <s v="MediSet kl.verzorg.E/B compact"/>
    <n v="88"/>
    <n v="9"/>
    <n v="80"/>
    <s v="OK"/>
    <n v="75"/>
    <s v="45,20"/>
    <n v="88"/>
    <s v="06/02/2026"/>
    <n v="80"/>
  </r>
  <r>
    <x v="38"/>
    <x v="0"/>
    <x v="0"/>
    <d v="2026-02-27T12:44:17"/>
    <n v="75.569999999999993"/>
    <n v="143"/>
    <n v="0"/>
    <m/>
    <s v="mail - orders.be@hartmann.info — Hartmann : Order bevestiging"/>
    <s v="Dutch"/>
    <x v="7"/>
    <x v="57"/>
    <n v="50"/>
    <s v="42252052"/>
    <n v="50"/>
    <s v="02/02/2026"/>
    <n v="50"/>
    <s v="N.V. PAUL HARTMANN S.A."/>
    <n v="50"/>
    <s v="Hospital Logistics NV"/>
    <n v="50"/>
    <x v="0"/>
    <n v="50"/>
    <x v="22"/>
    <n v="50"/>
    <s v="4188006"/>
    <n v="85"/>
    <s v="STERILUX ES 5x5cm 8l.nst."/>
    <n v="90"/>
    <n v="1"/>
    <n v="88"/>
    <s v="OK"/>
    <n v="80"/>
    <s v="16,54"/>
    <n v="90"/>
    <s v="06/02/2026"/>
    <n v="85"/>
  </r>
  <r>
    <x v="38"/>
    <x v="0"/>
    <x v="0"/>
    <d v="2026-02-27T12:44:17"/>
    <n v="75.569999999999993"/>
    <n v="143"/>
    <n v="0"/>
    <m/>
    <s v="mail - orders.be@hartmann.info — Hartmann : Order bevestiging"/>
    <s v="Dutch"/>
    <x v="8"/>
    <x v="57"/>
    <n v="50"/>
    <s v="42252052"/>
    <n v="50"/>
    <s v="02/02/2026"/>
    <n v="50"/>
    <s v="N.V. PAUL HARTMANN S.A."/>
    <n v="50"/>
    <s v="Hospital Logistics NV"/>
    <n v="50"/>
    <x v="0"/>
    <n v="50"/>
    <x v="23"/>
    <n v="50"/>
    <s v="3000380"/>
    <n v="85"/>
    <s v="PEHA-HAFT latexfree 4cmx4m"/>
    <n v="90"/>
    <n v="280"/>
    <n v="85"/>
    <s v="FS"/>
    <n v="80"/>
    <s v="0,55"/>
    <n v="90"/>
    <s v="06/02/2026"/>
    <n v="85"/>
  </r>
  <r>
    <x v="38"/>
    <x v="0"/>
    <x v="0"/>
    <d v="2026-02-27T12:44:17"/>
    <n v="75.569999999999993"/>
    <n v="143"/>
    <n v="0"/>
    <m/>
    <s v="mail - orders.be@hartmann.info — Hartmann : Order bevestiging"/>
    <s v="Dutch"/>
    <x v="9"/>
    <x v="57"/>
    <n v="50"/>
    <s v="42252052"/>
    <n v="50"/>
    <s v="02/02/2026"/>
    <n v="50"/>
    <s v="N.V. PAUL HARTMANN S.A."/>
    <n v="50"/>
    <s v="Hospital Logistics NV"/>
    <n v="50"/>
    <x v="0"/>
    <n v="50"/>
    <x v="24"/>
    <n v="50"/>
    <s v="4218218"/>
    <n v="85"/>
    <s v="MEDICOMP 5x5cm 4l. nst."/>
    <n v="90"/>
    <n v="4"/>
    <n v="85"/>
    <s v="OK"/>
    <n v="80"/>
    <s v="10,93"/>
    <n v="90"/>
    <s v="06/02/2026"/>
    <n v="85"/>
  </r>
  <r>
    <x v="38"/>
    <x v="0"/>
    <x v="0"/>
    <d v="2026-02-27T12:44:17"/>
    <n v="75.569999999999993"/>
    <n v="143"/>
    <n v="0"/>
    <m/>
    <s v="mail - orders.be@hartmann.info — Hartmann : Order bevestiging"/>
    <s v="Dutch"/>
    <x v="10"/>
    <x v="57"/>
    <n v="50"/>
    <s v="42252052"/>
    <n v="50"/>
    <s v="02/02/2026"/>
    <n v="50"/>
    <s v="N.V. PAUL HARTMANN S.A."/>
    <n v="50"/>
    <s v="Hospital Logistics NV"/>
    <n v="50"/>
    <x v="0"/>
    <n v="50"/>
    <x v="25"/>
    <n v="50"/>
    <s v="6047054"/>
    <n v="85"/>
    <s v="FOLIODRESS Isolatieschort bl."/>
    <n v="90"/>
    <n v="56"/>
    <n v="85"/>
    <s v="OK"/>
    <n v="80"/>
    <s v="27,08"/>
    <n v="90"/>
    <s v="13/02/2026"/>
    <n v="85"/>
  </r>
  <r>
    <x v="76"/>
    <x v="0"/>
    <x v="0"/>
    <d v="2026-02-27T12:44:17"/>
    <n v="75.569999999999993"/>
    <n v="13"/>
    <n v="4"/>
    <m/>
    <s v="mail - sligroout_noreply@sligro.nl — Van Hoeckel orderinformatie"/>
    <s v="Dutch"/>
    <x v="0"/>
    <x v="54"/>
    <n v="98"/>
    <m/>
    <n v="10"/>
    <s v="16/02/2026"/>
    <n v="95"/>
    <s v="Van Hoeckel"/>
    <n v="90"/>
    <s v="Hospital Logistics Mdc"/>
    <n v="90"/>
    <x v="1"/>
    <n v="10"/>
    <x v="0"/>
    <n v="70"/>
    <s v="302135"/>
    <n v="95"/>
    <s v="1 zk 640 gr Knorr c-a-s vend.tomaat 40p"/>
    <n v="90"/>
    <n v="8"/>
    <n v="95"/>
    <m/>
    <n v="30"/>
    <m/>
    <n v="10"/>
    <s v="17/02/2026"/>
    <n v="95"/>
  </r>
  <r>
    <x v="77"/>
    <x v="0"/>
    <x v="1"/>
    <d v="2026-02-27T12:44:17"/>
    <n v="60"/>
    <n v="0"/>
    <n v="0"/>
    <m/>
    <s v="mail - INFO.NL@TELEFLEX.COM — Teleflex Verzendnotificatie 8015532636"/>
    <m/>
    <x v="88"/>
    <x v="5"/>
    <m/>
    <m/>
    <m/>
    <m/>
    <m/>
    <m/>
    <m/>
    <m/>
    <m/>
    <x v="1"/>
    <m/>
    <x v="98"/>
    <m/>
    <m/>
    <m/>
    <m/>
    <m/>
    <m/>
    <m/>
    <m/>
    <m/>
    <m/>
    <m/>
    <m/>
    <m/>
  </r>
  <r>
    <x v="78"/>
    <x v="0"/>
    <x v="1"/>
    <d v="2026-02-27T12:44:17"/>
    <n v="65"/>
    <n v="0"/>
    <n v="0"/>
    <m/>
    <s v="mail - INFO.NL@TELEFLEX.COM — Teleflex Verzendnotificatie 8015531328"/>
    <m/>
    <x v="88"/>
    <x v="5"/>
    <m/>
    <m/>
    <m/>
    <m/>
    <m/>
    <m/>
    <m/>
    <m/>
    <m/>
    <x v="1"/>
    <m/>
    <x v="98"/>
    <m/>
    <m/>
    <m/>
    <m/>
    <m/>
    <m/>
    <m/>
    <m/>
    <m/>
    <m/>
    <m/>
    <m/>
    <m/>
  </r>
  <r>
    <x v="74"/>
    <x v="0"/>
    <x v="0"/>
    <d v="2026-02-27T12:44:17"/>
    <n v="87.95"/>
    <n v="39"/>
    <n v="4"/>
    <m/>
    <s v="mail - orders.be@essity.com — 2508010179 ESSITY Orderbevestiging"/>
    <s v="Dutch"/>
    <x v="0"/>
    <x v="55"/>
    <n v="98"/>
    <s v="3004536001"/>
    <n v="96"/>
    <s v="13/02/2026"/>
    <n v="95"/>
    <s v="Essity Belgium NV Health &amp; Medical"/>
    <n v="93"/>
    <s v="Hospital Logistics N.V."/>
    <n v="94"/>
    <x v="0"/>
    <n v="90"/>
    <x v="9"/>
    <n v="97"/>
    <s v="7146701"/>
    <n v="96"/>
    <s v="SOFFBAN 7,5CM X 2,7M /12"/>
    <n v="90"/>
    <n v="12"/>
    <n v="95"/>
    <s v="PC"/>
    <n v="94"/>
    <m/>
    <n v="30"/>
    <m/>
    <n v="40"/>
  </r>
  <r>
    <x v="74"/>
    <x v="0"/>
    <x v="0"/>
    <d v="2026-02-27T12:44:17"/>
    <n v="87.95"/>
    <n v="39"/>
    <n v="4"/>
    <m/>
    <s v="mail - orders.be@essity.com — 2508010179 ESSITY Orderbevestiging"/>
    <s v="Dutch"/>
    <x v="1"/>
    <x v="55"/>
    <n v="98"/>
    <s v="3004536001"/>
    <n v="96"/>
    <s v="13/02/2026"/>
    <n v="95"/>
    <s v="Essity Belgium NV Health &amp; Medical"/>
    <n v="93"/>
    <s v="Hospital Logistics N.V."/>
    <n v="94"/>
    <x v="0"/>
    <n v="90"/>
    <x v="16"/>
    <n v="97"/>
    <s v="7645524"/>
    <n v="96"/>
    <s v="LP EL 19X75MM TA 100 INT."/>
    <n v="90"/>
    <n v="12"/>
    <n v="95"/>
    <s v="PC"/>
    <n v="94"/>
    <m/>
    <n v="30"/>
    <s v="18/02/2026"/>
    <n v="95"/>
  </r>
  <r>
    <x v="74"/>
    <x v="0"/>
    <x v="0"/>
    <d v="2026-02-27T12:44:17"/>
    <n v="87.95"/>
    <n v="39"/>
    <n v="4"/>
    <m/>
    <s v="mail - orders.be@essity.com — 2508010179 ESSITY Orderbevestiging"/>
    <s v="Dutch"/>
    <x v="2"/>
    <x v="55"/>
    <n v="98"/>
    <s v="3004536001"/>
    <n v="96"/>
    <s v="13/02/2026"/>
    <n v="95"/>
    <s v="Essity Belgium NV Health &amp; Medical"/>
    <n v="93"/>
    <s v="Hospital Logistics N.V."/>
    <n v="94"/>
    <x v="0"/>
    <n v="90"/>
    <x v="17"/>
    <n v="97"/>
    <s v="7199400"/>
    <n v="96"/>
    <s v="GYPSONA S DISP. 10CMX20M /4L"/>
    <n v="90"/>
    <n v="6"/>
    <n v="95"/>
    <s v="PC"/>
    <n v="94"/>
    <m/>
    <n v="30"/>
    <s v="18/02/2026"/>
    <n v="95"/>
  </r>
  <r>
    <x v="79"/>
    <x v="0"/>
    <x v="0"/>
    <d v="2026-02-27T12:44:17"/>
    <n v="90.92"/>
    <n v="26"/>
    <n v="0"/>
    <m/>
    <s v="mail - CSC.NL@MOLNLYCKE.COM — * Orderbevestiging 1505040022"/>
    <s v="Dutch"/>
    <x v="0"/>
    <x v="58"/>
    <n v="98"/>
    <s v="904372460"/>
    <n v="97"/>
    <s v="16/02/2026"/>
    <n v="96"/>
    <s v="Mölnlycke Health Care B.V."/>
    <n v="95"/>
    <s v="HOSPITAL LOGISTICS"/>
    <n v="93"/>
    <x v="0"/>
    <n v="95"/>
    <x v="0"/>
    <n v="85"/>
    <s v="97109957-06"/>
    <n v="96"/>
    <s v="HEUP TRAY"/>
    <n v="95"/>
    <n v="48"/>
    <n v="94"/>
    <s v="PC"/>
    <n v="92"/>
    <s v="3.484,32 EUR per 100"/>
    <n v="88"/>
    <s v="17/02/2026"/>
    <n v="96"/>
  </r>
  <r>
    <x v="79"/>
    <x v="0"/>
    <x v="0"/>
    <d v="2026-02-27T12:44:17"/>
    <n v="90.92"/>
    <n v="26"/>
    <n v="0"/>
    <m/>
    <s v="mail - CSC.NL@MOLNLYCKE.COM — * Orderbevestiging 1505040022"/>
    <s v="Dutch"/>
    <x v="1"/>
    <x v="58"/>
    <n v="98"/>
    <s v="904372460"/>
    <n v="97"/>
    <s v="16/02/2026"/>
    <n v="96"/>
    <s v="Mölnlycke Health Care B.V."/>
    <n v="95"/>
    <s v="HOSPITAL LOGISTICS"/>
    <n v="93"/>
    <x v="0"/>
    <n v="95"/>
    <x v="1"/>
    <n v="80"/>
    <s v="97109957-06"/>
    <n v="96"/>
    <s v="HEUP TRAY"/>
    <n v="95"/>
    <n v="16"/>
    <n v="90"/>
    <s v="TRP"/>
    <n v="88"/>
    <s v="279,48 EUR"/>
    <n v="70"/>
    <s v="17/02/2026"/>
    <n v="88"/>
  </r>
  <r>
    <x v="80"/>
    <x v="0"/>
    <x v="0"/>
    <d v="2026-02-27T12:44:17"/>
    <n v="81.569999999999993"/>
    <n v="13"/>
    <n v="2"/>
    <m/>
    <s v="mail - be-customerservice@medline.com — BE356233 Order Hospital Logistics  1501037350"/>
    <s v="Dutch"/>
    <x v="0"/>
    <x v="59"/>
    <n v="95"/>
    <s v="BE356233"/>
    <n v="90"/>
    <s v="17/02/2026"/>
    <n v="95"/>
    <s v="Medline Int'l Belgium BV"/>
    <n v="90"/>
    <s v="Hospital Logistics BE SPRL AZH"/>
    <n v="80"/>
    <x v="0"/>
    <n v="85"/>
    <x v="0"/>
    <n v="60"/>
    <s v="KER70461VERLOSSET"/>
    <n v="95"/>
    <m/>
    <n v="30"/>
    <n v="6"/>
    <n v="90"/>
    <m/>
    <n v="20"/>
    <s v="119,29"/>
    <n v="90"/>
    <s v="17/02/2026"/>
    <n v="90"/>
  </r>
  <r>
    <x v="81"/>
    <x v="0"/>
    <x v="0"/>
    <d v="2026-02-27T10:44:53"/>
    <n v="92.42"/>
    <n v="13"/>
    <n v="0"/>
    <m/>
    <s v="mail - orders.be@duomed.com — Orderbevestiging C007-S2607720-1"/>
    <s v="Dutch"/>
    <x v="0"/>
    <x v="60"/>
    <n v="92"/>
    <s v="C007-S2607720-1"/>
    <n v="95"/>
    <s v="17/02/2026"/>
    <n v="98"/>
    <s v="Duomed Belgium NV/SA"/>
    <n v="90"/>
    <s v="Hospital Logistics"/>
    <n v="92"/>
    <x v="0"/>
    <n v="95"/>
    <x v="0"/>
    <n v="85"/>
    <s v="170161002"/>
    <n v="96"/>
    <s v="Nasal Prong for nCPAP-M"/>
    <n v="96"/>
    <n v="1"/>
    <n v="94"/>
    <s v="B5"/>
    <n v="88"/>
    <s v="120,15"/>
    <n v="96"/>
    <s v="17/02/2026"/>
    <n v="97"/>
  </r>
  <r>
    <x v="38"/>
    <x v="0"/>
    <x v="0"/>
    <d v="2026-02-27T10:12:24"/>
    <n v="80"/>
    <n v="195"/>
    <n v="0"/>
    <m/>
    <s v="mail - orders.be@hartmann.info — Hartmann : Order bevestiging"/>
    <s v="Dutch"/>
    <x v="0"/>
    <x v="61"/>
    <n v="50"/>
    <s v="42253639"/>
    <n v="50"/>
    <s v="16/02/2026"/>
    <n v="50"/>
    <s v="N.V. PAUL HARTMANN S.A."/>
    <n v="50"/>
    <s v="Hospital Logistics NV"/>
    <n v="50"/>
    <x v="0"/>
    <n v="50"/>
    <x v="9"/>
    <n v="95"/>
    <s v="4110742"/>
    <n v="92"/>
    <s v="MEDICOMP 5x5cm 4l. st."/>
    <n v="90"/>
    <n v="211"/>
    <n v="88"/>
    <s v="FS"/>
    <n v="80"/>
    <s v="0,55 EUR"/>
    <n v="90"/>
    <s v="20/02/2026"/>
    <n v="95"/>
  </r>
  <r>
    <x v="38"/>
    <x v="0"/>
    <x v="0"/>
    <d v="2026-02-27T10:12:24"/>
    <n v="80"/>
    <n v="195"/>
    <n v="0"/>
    <m/>
    <s v="mail - orders.be@hartmann.info — Hartmann : Order bevestiging"/>
    <s v="Dutch"/>
    <x v="1"/>
    <x v="61"/>
    <n v="50"/>
    <s v="42253639"/>
    <n v="50"/>
    <s v="16/02/2026"/>
    <n v="50"/>
    <s v="N.V. PAUL HARTMANN S.A."/>
    <n v="50"/>
    <s v="Hospital Logistics NV"/>
    <n v="50"/>
    <x v="0"/>
    <n v="50"/>
    <x v="16"/>
    <n v="95"/>
    <s v="4110722"/>
    <n v="92"/>
    <s v="MEDICOMP 7,5x7,5cm 4l. st."/>
    <n v="90"/>
    <n v="8"/>
    <n v="88"/>
    <s v="OK"/>
    <n v="80"/>
    <s v="36,31 EUR"/>
    <n v="90"/>
    <s v="20/02/2026"/>
    <n v="95"/>
  </r>
  <r>
    <x v="38"/>
    <x v="0"/>
    <x v="0"/>
    <d v="2026-02-27T10:12:24"/>
    <n v="80"/>
    <n v="195"/>
    <n v="0"/>
    <m/>
    <s v="mail - orders.be@hartmann.info — Hartmann : Order bevestiging"/>
    <s v="Dutch"/>
    <x v="2"/>
    <x v="61"/>
    <n v="50"/>
    <s v="42253639"/>
    <n v="50"/>
    <s v="16/02/2026"/>
    <n v="50"/>
    <s v="N.V. PAUL HARTMANN S.A."/>
    <n v="50"/>
    <s v="Hospital Logistics NV"/>
    <n v="50"/>
    <x v="0"/>
    <n v="50"/>
    <x v="17"/>
    <n v="95"/>
    <s v="4110515"/>
    <n v="92"/>
    <s v="MEDICOMP 5x5cm 4l. st."/>
    <n v="90"/>
    <n v="2"/>
    <n v="88"/>
    <s v="OK"/>
    <n v="80"/>
    <s v="26,76 EUR"/>
    <n v="90"/>
    <s v="20/02/2026"/>
    <n v="95"/>
  </r>
  <r>
    <x v="38"/>
    <x v="0"/>
    <x v="0"/>
    <d v="2026-02-27T10:12:24"/>
    <n v="80"/>
    <n v="195"/>
    <n v="0"/>
    <m/>
    <s v="mail - orders.be@hartmann.info — Hartmann : Order bevestiging"/>
    <s v="Dutch"/>
    <x v="3"/>
    <x v="61"/>
    <n v="50"/>
    <s v="42253639"/>
    <n v="50"/>
    <s v="16/02/2026"/>
    <n v="50"/>
    <s v="N.V. PAUL HARTMANN S.A."/>
    <n v="50"/>
    <s v="Hospital Logistics NV"/>
    <n v="50"/>
    <x v="0"/>
    <n v="50"/>
    <x v="18"/>
    <n v="95"/>
    <s v="4793304"/>
    <n v="92"/>
    <s v="Antisepsie en huidprep. 14"/>
    <n v="90"/>
    <n v="30"/>
    <n v="90"/>
    <s v="OK"/>
    <n v="80"/>
    <s v="33,49 EUR"/>
    <n v="90"/>
    <s v="20/02/2026"/>
    <n v="95"/>
  </r>
  <r>
    <x v="38"/>
    <x v="0"/>
    <x v="0"/>
    <d v="2026-02-27T10:12:24"/>
    <n v="80"/>
    <n v="195"/>
    <n v="0"/>
    <m/>
    <s v="mail - orders.be@hartmann.info — Hartmann : Order bevestiging"/>
    <s v="Dutch"/>
    <x v="4"/>
    <x v="61"/>
    <n v="50"/>
    <s v="42253639"/>
    <n v="50"/>
    <s v="16/02/2026"/>
    <n v="50"/>
    <s v="N.V. PAUL HARTMANN S.A."/>
    <n v="50"/>
    <s v="Hospital Logistics NV"/>
    <n v="50"/>
    <x v="0"/>
    <n v="50"/>
    <x v="19"/>
    <n v="95"/>
    <s v="9008708"/>
    <n v="90"/>
    <s v="COSMOPOR E latexfree 7,2x5cm"/>
    <n v="90"/>
    <n v="3"/>
    <n v="88"/>
    <s v="OK"/>
    <n v="80"/>
    <s v="72,37 EUR"/>
    <n v="90"/>
    <s v="20/02/2026"/>
    <n v="95"/>
  </r>
  <r>
    <x v="38"/>
    <x v="0"/>
    <x v="0"/>
    <d v="2026-02-27T10:12:24"/>
    <n v="80"/>
    <n v="195"/>
    <n v="0"/>
    <m/>
    <s v="mail - orders.be@hartmann.info — Hartmann : Order bevestiging"/>
    <s v="Dutch"/>
    <x v="5"/>
    <x v="61"/>
    <n v="50"/>
    <s v="42253639"/>
    <n v="50"/>
    <s v="16/02/2026"/>
    <n v="50"/>
    <s v="N.V. PAUL HARTMANN S.A."/>
    <n v="50"/>
    <s v="Hospital Logistics NV"/>
    <n v="50"/>
    <x v="0"/>
    <n v="50"/>
    <x v="20"/>
    <n v="95"/>
    <s v="9008746"/>
    <n v="90"/>
    <s v="COSMOPOR E latexfree 15x8cm"/>
    <n v="90"/>
    <n v="1"/>
    <n v="88"/>
    <s v="OK"/>
    <n v="80"/>
    <s v="47,25 EUR"/>
    <n v="90"/>
    <s v="20/02/2026"/>
    <n v="95"/>
  </r>
  <r>
    <x v="38"/>
    <x v="0"/>
    <x v="0"/>
    <d v="2026-02-27T10:12:24"/>
    <n v="80"/>
    <n v="195"/>
    <n v="0"/>
    <m/>
    <s v="mail - orders.be@hartmann.info — Hartmann : Order bevestiging"/>
    <s v="Dutch"/>
    <x v="6"/>
    <x v="61"/>
    <n v="50"/>
    <s v="42253639"/>
    <n v="50"/>
    <s v="16/02/2026"/>
    <n v="50"/>
    <s v="N.V. PAUL HARTMANN S.A."/>
    <n v="50"/>
    <s v="Hospital Logistics NV"/>
    <n v="50"/>
    <x v="0"/>
    <n v="50"/>
    <x v="21"/>
    <n v="95"/>
    <s v="4540131"/>
    <n v="90"/>
    <s v="TELASORB 45x45 4L 20dr. wit"/>
    <n v="90"/>
    <n v="17"/>
    <n v="88"/>
    <s v="FS"/>
    <n v="85"/>
    <s v="27,41 EUR"/>
    <n v="90"/>
    <s v="20/02/2026"/>
    <n v="95"/>
  </r>
  <r>
    <x v="38"/>
    <x v="0"/>
    <x v="0"/>
    <d v="2026-02-27T10:12:24"/>
    <n v="80"/>
    <n v="195"/>
    <n v="0"/>
    <m/>
    <s v="mail - orders.be@hartmann.info — Hartmann : Order bevestiging"/>
    <s v="Dutch"/>
    <x v="7"/>
    <x v="61"/>
    <n v="50"/>
    <s v="42253639"/>
    <n v="50"/>
    <s v="16/02/2026"/>
    <n v="50"/>
    <s v="N.V. PAUL HARTMANN S.A."/>
    <n v="50"/>
    <s v="Hospital Logistics NV"/>
    <n v="50"/>
    <x v="0"/>
    <n v="50"/>
    <x v="22"/>
    <n v="95"/>
    <s v="4755905"/>
    <n v="90"/>
    <s v="MediSet kl.verzorg.E/B compact"/>
    <n v="90"/>
    <n v="13"/>
    <n v="88"/>
    <s v="OK"/>
    <n v="85"/>
    <s v="45,20 EUR"/>
    <n v="90"/>
    <s v="20/02/2026"/>
    <n v="95"/>
  </r>
  <r>
    <x v="38"/>
    <x v="0"/>
    <x v="0"/>
    <d v="2026-02-27T10:12:24"/>
    <n v="80"/>
    <n v="195"/>
    <n v="0"/>
    <m/>
    <s v="mail - orders.be@hartmann.info — Hartmann : Order bevestiging"/>
    <s v="Dutch"/>
    <x v="8"/>
    <x v="61"/>
    <n v="50"/>
    <s v="42253639"/>
    <n v="50"/>
    <s v="16/02/2026"/>
    <n v="50"/>
    <s v="N.V. PAUL HARTMANN S.A."/>
    <n v="50"/>
    <s v="Hospital Logistics NV"/>
    <n v="50"/>
    <x v="0"/>
    <n v="50"/>
    <x v="23"/>
    <n v="95"/>
    <s v="4755915"/>
    <n v="90"/>
    <s v="MediSet kl.verzorg.F/B compact"/>
    <n v="90"/>
    <n v="9"/>
    <n v="88"/>
    <s v="OK"/>
    <n v="85"/>
    <s v="47,96 EUR"/>
    <n v="90"/>
    <s v="20/02/2026"/>
    <n v="95"/>
  </r>
  <r>
    <x v="38"/>
    <x v="0"/>
    <x v="0"/>
    <d v="2026-02-27T10:12:24"/>
    <n v="80"/>
    <n v="195"/>
    <n v="0"/>
    <m/>
    <s v="mail - orders.be@hartmann.info — Hartmann : Order bevestiging"/>
    <s v="Dutch"/>
    <x v="9"/>
    <x v="61"/>
    <n v="50"/>
    <s v="42253639"/>
    <n v="50"/>
    <s v="16/02/2026"/>
    <n v="50"/>
    <s v="N.V. PAUL HARTMANN S.A."/>
    <n v="50"/>
    <s v="Hospital Logistics NV"/>
    <n v="50"/>
    <x v="0"/>
    <n v="50"/>
    <x v="24"/>
    <n v="95"/>
    <s v="4137810"/>
    <n v="90"/>
    <s v="ZETUVIT E 10x10cm st."/>
    <n v="90"/>
    <n v="4"/>
    <n v="88"/>
    <s v="OK"/>
    <n v="85"/>
    <s v="23,46 EUR"/>
    <n v="90"/>
    <s v="20/02/2026"/>
    <n v="95"/>
  </r>
  <r>
    <x v="38"/>
    <x v="0"/>
    <x v="0"/>
    <d v="2026-02-27T10:12:24"/>
    <n v="80"/>
    <n v="195"/>
    <n v="0"/>
    <m/>
    <s v="mail - orders.be@hartmann.info — Hartmann : Order bevestiging"/>
    <s v="Dutch"/>
    <x v="10"/>
    <x v="61"/>
    <n v="50"/>
    <s v="42253639"/>
    <n v="50"/>
    <s v="16/02/2026"/>
    <n v="50"/>
    <s v="N.V. PAUL HARTMANN S.A."/>
    <n v="50"/>
    <s v="Hospital Logistics NV"/>
    <n v="50"/>
    <x v="0"/>
    <n v="50"/>
    <x v="25"/>
    <n v="95"/>
    <s v="4188006"/>
    <n v="90"/>
    <s v="STERILUX ES 5x5cm 8l.nst."/>
    <n v="90"/>
    <n v="1"/>
    <n v="88"/>
    <s v="OK"/>
    <n v="85"/>
    <s v="16,54 EUR"/>
    <n v="90"/>
    <s v="20/02/2026"/>
    <n v="95"/>
  </r>
  <r>
    <x v="38"/>
    <x v="0"/>
    <x v="0"/>
    <d v="2026-02-27T10:12:24"/>
    <n v="80"/>
    <n v="195"/>
    <n v="0"/>
    <m/>
    <s v="mail - orders.be@hartmann.info — Hartmann : Order bevestiging"/>
    <s v="Dutch"/>
    <x v="11"/>
    <x v="61"/>
    <n v="50"/>
    <s v="42253639"/>
    <n v="50"/>
    <s v="16/02/2026"/>
    <n v="50"/>
    <s v="N.V. PAUL HARTMANN S.A."/>
    <n v="50"/>
    <s v="Hospital Logistics NV"/>
    <n v="50"/>
    <x v="0"/>
    <n v="50"/>
    <x v="26"/>
    <n v="95"/>
    <s v="3000390"/>
    <n v="90"/>
    <s v="PEHA-HAFT latexfree 6cmx4m"/>
    <n v="90"/>
    <n v="1"/>
    <n v="88"/>
    <s v="OK"/>
    <n v="85"/>
    <s v="80,12 EUR"/>
    <n v="90"/>
    <s v="20/02/2026"/>
    <n v="95"/>
  </r>
  <r>
    <x v="38"/>
    <x v="0"/>
    <x v="0"/>
    <d v="2026-02-27T10:12:24"/>
    <n v="80"/>
    <n v="195"/>
    <n v="0"/>
    <m/>
    <s v="mail - orders.be@hartmann.info — Hartmann : Order bevestiging"/>
    <s v="Dutch"/>
    <x v="12"/>
    <x v="61"/>
    <n v="50"/>
    <s v="42253639"/>
    <n v="50"/>
    <s v="16/02/2026"/>
    <n v="50"/>
    <s v="N.V. PAUL HARTMANN S.A."/>
    <n v="50"/>
    <s v="Hospital Logistics NV"/>
    <n v="50"/>
    <x v="0"/>
    <n v="50"/>
    <x v="27"/>
    <n v="95"/>
    <s v="4218253"/>
    <n v="90"/>
    <s v="MEDICOMP 10x10cm 4l. nst."/>
    <n v="90"/>
    <n v="5"/>
    <n v="88"/>
    <s v="OK"/>
    <n v="85"/>
    <s v="14,23 EUR"/>
    <n v="90"/>
    <s v="20/02/2026"/>
    <n v="95"/>
  </r>
  <r>
    <x v="38"/>
    <x v="0"/>
    <x v="0"/>
    <d v="2026-02-27T10:12:24"/>
    <n v="80"/>
    <n v="195"/>
    <n v="0"/>
    <m/>
    <s v="mail - orders.be@hartmann.info — Hartmann : Order bevestiging"/>
    <s v="Dutch"/>
    <x v="13"/>
    <x v="61"/>
    <n v="50"/>
    <s v="42253639"/>
    <n v="50"/>
    <s v="16/02/2026"/>
    <n v="50"/>
    <s v="N.V. PAUL HARTMANN S.A."/>
    <n v="50"/>
    <s v="Hospital Logistics NV"/>
    <n v="50"/>
    <x v="0"/>
    <n v="50"/>
    <x v="28"/>
    <n v="95"/>
    <s v="6047054"/>
    <n v="90"/>
    <s v="FOLIODRESS Isolatieschort bl."/>
    <n v="90"/>
    <n v="46"/>
    <n v="88"/>
    <s v="OK"/>
    <n v="85"/>
    <s v="27,08 EUR"/>
    <n v="90"/>
    <s v="20/02/2026"/>
    <n v="95"/>
  </r>
  <r>
    <x v="38"/>
    <x v="0"/>
    <x v="0"/>
    <d v="2026-02-27T10:12:24"/>
    <n v="80"/>
    <n v="195"/>
    <n v="0"/>
    <m/>
    <s v="mail - orders.be@hartmann.info — Hartmann : Order bevestiging"/>
    <s v="Dutch"/>
    <x v="14"/>
    <x v="61"/>
    <n v="50"/>
    <s v="42253639"/>
    <n v="50"/>
    <s v="16/02/2026"/>
    <n v="50"/>
    <s v="N.V. PAUL HARTMANN S.A."/>
    <n v="50"/>
    <s v="Hospital Logistics NV"/>
    <n v="50"/>
    <x v="0"/>
    <n v="50"/>
    <x v="29"/>
    <n v="95"/>
    <s v="1432330"/>
    <n v="90"/>
    <s v="PUR-ZELLIN germ reduced 4x5cm"/>
    <n v="90"/>
    <n v="2"/>
    <n v="88"/>
    <s v="OK"/>
    <n v="85"/>
    <s v="24,42 EUR"/>
    <n v="90"/>
    <s v="20/02/2026"/>
    <n v="95"/>
  </r>
  <r>
    <x v="38"/>
    <x v="0"/>
    <x v="0"/>
    <d v="2026-02-27T10:03:40"/>
    <n v="87.66"/>
    <n v="104"/>
    <n v="0"/>
    <m/>
    <s v="mail - orders.be@hartmann.info — Hartmann : Order bevestiging"/>
    <s v="Dutch"/>
    <x v="88"/>
    <x v="5"/>
    <m/>
    <m/>
    <m/>
    <m/>
    <m/>
    <m/>
    <m/>
    <m/>
    <m/>
    <x v="1"/>
    <m/>
    <x v="98"/>
    <m/>
    <m/>
    <m/>
    <m/>
    <m/>
    <m/>
    <m/>
    <m/>
    <m/>
    <m/>
    <m/>
    <m/>
    <m/>
  </r>
  <r>
    <x v="82"/>
    <x v="0"/>
    <x v="0"/>
    <d v="2026-02-27T10:03:27"/>
    <n v="84.72"/>
    <n v="13"/>
    <n v="1"/>
    <m/>
    <s v="mail - no.reply.customer.service@medtronic.com — Order bevestiging 26-02889"/>
    <s v="Dutch"/>
    <x v="0"/>
    <x v="5"/>
    <n v="10"/>
    <s v="26-02889"/>
    <n v="92"/>
    <s v="17/02/2026"/>
    <n v="95"/>
    <s v="Medtronic Trading NL BV"/>
    <n v="95"/>
    <s v="Canisius Wilhelmina Ziekenhuis"/>
    <n v="95"/>
    <x v="0"/>
    <n v="90"/>
    <x v="0"/>
    <n v="95"/>
    <s v="00763000487065"/>
    <n v="85"/>
    <s v="TOOL MR8-10BA20 MR8 10CM BALL 2MM DIAM"/>
    <n v="90"/>
    <n v="1"/>
    <n v="95"/>
    <s v="EA"/>
    <n v="90"/>
    <s v="107,38 EUR"/>
    <n v="90"/>
    <s v="20/02/2026"/>
    <n v="95"/>
  </r>
  <r>
    <x v="83"/>
    <x v="0"/>
    <x v="0"/>
    <d v="2026-02-27T09:52:56"/>
    <n v="93.11"/>
    <n v="13"/>
    <n v="0"/>
    <m/>
    <s v="mail - orders.be@duomed.com — Orderbevestiging C007-S2607726-1"/>
    <s v="Dutch"/>
    <x v="88"/>
    <x v="5"/>
    <m/>
    <m/>
    <m/>
    <m/>
    <m/>
    <m/>
    <m/>
    <m/>
    <m/>
    <x v="1"/>
    <m/>
    <x v="98"/>
    <m/>
    <m/>
    <m/>
    <m/>
    <m/>
    <m/>
    <m/>
    <m/>
    <m/>
    <m/>
    <m/>
    <m/>
    <m/>
  </r>
  <r>
    <x v="84"/>
    <x v="0"/>
    <x v="0"/>
    <d v="2026-02-27T09:21:25"/>
    <n v="90.31"/>
    <n v="13"/>
    <n v="0"/>
    <m/>
    <s v="mail - BE-WI.Orders@fmc-ag.com — Re: [EXTERNAL EMAIL] Order Hospital Logistics  1508015191"/>
    <s v="Dutch"/>
    <x v="88"/>
    <x v="5"/>
    <m/>
    <m/>
    <m/>
    <m/>
    <m/>
    <m/>
    <m/>
    <m/>
    <m/>
    <x v="1"/>
    <m/>
    <x v="98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A7E3B4-F8E1-4EA8-B9CF-F8A999CABD07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P92" firstHeaderRow="0" firstDataRow="1" firstDataCol="3"/>
  <pivotFields count="38">
    <pivotField axis="axisRow" compact="0" outline="0" showAll="0" defaultSubtotal="0">
      <items count="85">
        <item x="44"/>
        <item x="42"/>
        <item x="79"/>
        <item x="43"/>
        <item x="41"/>
        <item x="49"/>
        <item x="35"/>
        <item x="54"/>
        <item x="53"/>
        <item x="74"/>
        <item x="5"/>
        <item x="7"/>
        <item x="55"/>
        <item x="9"/>
        <item x="56"/>
        <item x="72"/>
        <item x="30"/>
        <item x="32"/>
        <item x="26"/>
        <item x="80"/>
        <item x="8"/>
        <item x="34"/>
        <item x="33"/>
        <item x="11"/>
        <item x="37"/>
        <item x="75"/>
        <item x="21"/>
        <item x="28"/>
        <item x="39"/>
        <item x="29"/>
        <item x="68"/>
        <item x="38"/>
        <item x="60"/>
        <item x="62"/>
        <item x="63"/>
        <item x="40"/>
        <item x="12"/>
        <item x="10"/>
        <item x="18"/>
        <item x="51"/>
        <item x="70"/>
        <item x="23"/>
        <item x="64"/>
        <item x="25"/>
        <item x="6"/>
        <item x="50"/>
        <item x="82"/>
        <item x="52"/>
        <item x="27"/>
        <item x="19"/>
        <item x="61"/>
        <item x="67"/>
        <item x="65"/>
        <item x="69"/>
        <item x="81"/>
        <item x="83"/>
        <item x="20"/>
        <item x="3"/>
        <item x="84"/>
        <item x="4"/>
        <item x="59"/>
        <item x="36"/>
        <item x="71"/>
        <item x="22"/>
        <item x="17"/>
        <item x="45"/>
        <item x="66"/>
        <item x="78"/>
        <item x="77"/>
        <item x="0"/>
        <item x="58"/>
        <item x="57"/>
        <item x="31"/>
        <item x="73"/>
        <item x="76"/>
        <item x="2"/>
        <item x="1"/>
        <item x="47"/>
        <item x="15"/>
        <item x="14"/>
        <item x="13"/>
        <item x="16"/>
        <item x="48"/>
        <item x="46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62">
        <item x="32"/>
        <item x="52"/>
        <item x="30"/>
        <item x="59"/>
        <item x="28"/>
        <item x="39"/>
        <item x="58"/>
        <item x="0"/>
        <item x="19"/>
        <item x="7"/>
        <item x="2"/>
        <item x="14"/>
        <item x="25"/>
        <item x="56"/>
        <item x="13"/>
        <item x="23"/>
        <item x="10"/>
        <item x="35"/>
        <item x="38"/>
        <item x="54"/>
        <item x="44"/>
        <item x="34"/>
        <item x="55"/>
        <item x="26"/>
        <item x="49"/>
        <item x="11"/>
        <item x="45"/>
        <item x="33"/>
        <item x="50"/>
        <item x="40"/>
        <item x="41"/>
        <item x="42"/>
        <item x="29"/>
        <item x="20"/>
        <item x="3"/>
        <item x="47"/>
        <item x="15"/>
        <item x="4"/>
        <item x="6"/>
        <item x="27"/>
        <item x="36"/>
        <item x="43"/>
        <item x="46"/>
        <item x="1"/>
        <item x="12"/>
        <item x="51"/>
        <item x="16"/>
        <item x="31"/>
        <item x="17"/>
        <item x="48"/>
        <item x="57"/>
        <item x="61"/>
        <item x="18"/>
        <item x="22"/>
        <item x="21"/>
        <item x="9"/>
        <item x="24"/>
        <item x="60"/>
        <item x="8"/>
        <item x="37"/>
        <item x="5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16">
        <item x="0"/>
        <item x="1"/>
        <item x="2"/>
        <item x="3"/>
        <item x="4"/>
        <item x="5"/>
        <item x="6"/>
        <item x="7"/>
        <item x="8"/>
        <item x="9"/>
        <item x="10"/>
        <item x="99"/>
        <item x="100"/>
        <item x="101"/>
        <item x="102"/>
        <item x="103"/>
        <item x="104"/>
        <item x="105"/>
        <item x="106"/>
        <item x="16"/>
        <item x="107"/>
        <item x="108"/>
        <item x="109"/>
        <item x="110"/>
        <item x="111"/>
        <item x="112"/>
        <item x="113"/>
        <item x="114"/>
        <item x="115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11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12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13"/>
        <item x="78"/>
        <item x="79"/>
        <item x="80"/>
        <item x="81"/>
        <item x="82"/>
        <item x="83"/>
        <item x="14"/>
        <item x="84"/>
        <item x="85"/>
        <item x="86"/>
        <item x="87"/>
        <item x="88"/>
        <item x="89"/>
        <item x="90"/>
        <item x="15"/>
        <item x="91"/>
        <item x="92"/>
        <item x="93"/>
        <item x="94"/>
        <item x="95"/>
        <item x="96"/>
        <item x="97"/>
        <item x="9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89">
    <i>
      <x/>
      <x/>
      <x/>
    </i>
    <i>
      <x v="1"/>
      <x/>
      <x/>
    </i>
    <i>
      <x v="2"/>
      <x/>
      <x/>
    </i>
    <i>
      <x v="3"/>
      <x/>
      <x/>
    </i>
    <i>
      <x v="4"/>
      <x/>
      <x/>
    </i>
    <i>
      <x v="5"/>
      <x v="1"/>
      <x v="1"/>
    </i>
    <i>
      <x v="6"/>
      <x/>
      <x/>
    </i>
    <i>
      <x v="7"/>
      <x/>
      <x/>
    </i>
    <i>
      <x v="8"/>
      <x/>
      <x/>
    </i>
    <i>
      <x v="9"/>
      <x/>
      <x/>
    </i>
    <i>
      <x v="10"/>
      <x/>
      <x/>
    </i>
    <i>
      <x v="11"/>
      <x/>
      <x/>
    </i>
    <i>
      <x v="12"/>
      <x/>
      <x/>
    </i>
    <i>
      <x v="13"/>
      <x/>
      <x/>
    </i>
    <i>
      <x v="14"/>
      <x/>
      <x/>
    </i>
    <i>
      <x v="15"/>
      <x/>
      <x/>
    </i>
    <i>
      <x v="16"/>
      <x/>
      <x/>
    </i>
    <i>
      <x v="17"/>
      <x/>
      <x/>
    </i>
    <i>
      <x v="18"/>
      <x/>
      <x/>
    </i>
    <i>
      <x v="19"/>
      <x/>
      <x/>
    </i>
    <i>
      <x v="20"/>
      <x/>
      <x/>
    </i>
    <i r="2">
      <x v="1"/>
    </i>
    <i r="1">
      <x v="1"/>
      <x v="1"/>
    </i>
    <i>
      <x v="21"/>
      <x/>
      <x/>
    </i>
    <i>
      <x v="22"/>
      <x/>
      <x/>
    </i>
    <i>
      <x v="23"/>
      <x/>
      <x/>
    </i>
    <i>
      <x v="24"/>
      <x/>
      <x/>
    </i>
    <i>
      <x v="25"/>
      <x/>
      <x/>
    </i>
    <i>
      <x v="26"/>
      <x/>
      <x/>
    </i>
    <i>
      <x v="27"/>
      <x/>
      <x/>
    </i>
    <i>
      <x v="28"/>
      <x/>
      <x/>
    </i>
    <i>
      <x v="29"/>
      <x/>
      <x v="1"/>
    </i>
    <i>
      <x v="30"/>
      <x/>
      <x/>
    </i>
    <i>
      <x v="31"/>
      <x/>
      <x/>
    </i>
    <i>
      <x v="32"/>
      <x/>
      <x/>
    </i>
    <i>
      <x v="33"/>
      <x/>
      <x/>
    </i>
    <i>
      <x v="34"/>
      <x/>
      <x/>
    </i>
    <i>
      <x v="35"/>
      <x/>
      <x v="1"/>
    </i>
    <i r="1">
      <x v="1"/>
      <x v="1"/>
    </i>
    <i>
      <x v="36"/>
      <x/>
      <x/>
    </i>
    <i r="2">
      <x v="1"/>
    </i>
    <i>
      <x v="37"/>
      <x/>
      <x/>
    </i>
    <i>
      <x v="38"/>
      <x/>
      <x/>
    </i>
    <i>
      <x v="39"/>
      <x/>
      <x/>
    </i>
    <i>
      <x v="40"/>
      <x/>
      <x/>
    </i>
    <i>
      <x v="41"/>
      <x/>
      <x/>
    </i>
    <i>
      <x v="42"/>
      <x/>
      <x/>
    </i>
    <i>
      <x v="43"/>
      <x/>
      <x v="1"/>
    </i>
    <i>
      <x v="44"/>
      <x/>
      <x/>
    </i>
    <i>
      <x v="45"/>
      <x/>
      <x/>
    </i>
    <i>
      <x v="46"/>
      <x/>
      <x/>
    </i>
    <i>
      <x v="47"/>
      <x/>
      <x/>
    </i>
    <i>
      <x v="48"/>
      <x/>
      <x/>
    </i>
    <i>
      <x v="49"/>
      <x/>
      <x/>
    </i>
    <i>
      <x v="50"/>
      <x/>
      <x/>
    </i>
    <i>
      <x v="51"/>
      <x/>
      <x/>
    </i>
    <i>
      <x v="52"/>
      <x/>
      <x/>
    </i>
    <i>
      <x v="53"/>
      <x/>
      <x/>
    </i>
    <i>
      <x v="54"/>
      <x/>
      <x/>
    </i>
    <i>
      <x v="55"/>
      <x/>
      <x/>
    </i>
    <i>
      <x v="56"/>
      <x/>
      <x/>
    </i>
    <i>
      <x v="57"/>
      <x/>
      <x/>
    </i>
    <i>
      <x v="58"/>
      <x/>
      <x/>
    </i>
    <i>
      <x v="59"/>
      <x/>
      <x/>
    </i>
    <i>
      <x v="60"/>
      <x/>
      <x/>
    </i>
    <i>
      <x v="61"/>
      <x v="1"/>
      <x v="1"/>
    </i>
    <i>
      <x v="62"/>
      <x v="1"/>
      <x v="1"/>
    </i>
    <i>
      <x v="63"/>
      <x v="1"/>
      <x v="1"/>
    </i>
    <i>
      <x v="64"/>
      <x/>
      <x v="1"/>
    </i>
    <i>
      <x v="65"/>
      <x v="1"/>
      <x v="1"/>
    </i>
    <i>
      <x v="66"/>
      <x v="1"/>
      <x v="1"/>
    </i>
    <i>
      <x v="67"/>
      <x/>
      <x v="1"/>
    </i>
    <i>
      <x v="68"/>
      <x/>
      <x v="1"/>
    </i>
    <i>
      <x v="69"/>
      <x/>
      <x/>
    </i>
    <i>
      <x v="70"/>
      <x/>
      <x/>
    </i>
    <i>
      <x v="71"/>
      <x/>
      <x/>
    </i>
    <i>
      <x v="72"/>
      <x/>
      <x/>
    </i>
    <i>
      <x v="73"/>
      <x/>
      <x/>
    </i>
    <i>
      <x v="74"/>
      <x/>
      <x/>
    </i>
    <i>
      <x v="75"/>
      <x/>
      <x/>
    </i>
    <i>
      <x v="76"/>
      <x/>
      <x/>
    </i>
    <i>
      <x v="77"/>
      <x v="1"/>
      <x v="1"/>
    </i>
    <i>
      <x v="78"/>
      <x/>
      <x/>
    </i>
    <i>
      <x v="79"/>
      <x/>
      <x/>
    </i>
    <i>
      <x v="80"/>
      <x/>
      <x v="1"/>
    </i>
    <i>
      <x v="81"/>
      <x/>
      <x v="1"/>
    </i>
    <i>
      <x v="82"/>
      <x/>
      <x/>
    </i>
    <i>
      <x v="83"/>
      <x/>
      <x/>
    </i>
    <i>
      <x v="84"/>
      <x/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Count of Line Item #" fld="10" subtotal="count" baseField="0" baseItem="0"/>
    <dataField name="Count of Purchase Order Number" fld="11" subtotal="count" baseField="0" baseItem="0"/>
    <dataField name="Count of Supplier Order Number" fld="13" subtotal="count" baseField="0" baseItem="0"/>
    <dataField name="Count of Order Date" fld="15" subtotal="count" baseField="0" baseItem="0"/>
    <dataField name="Count of Supplier Name" fld="17" subtotal="count" baseField="0" baseItem="0"/>
    <dataField name="Count of Customer Name" fld="19" subtotal="count" baseField="0" baseItem="0"/>
    <dataField name="Count of Currency" fld="21" subtotal="count" baseField="0" baseItem="0"/>
    <dataField name="Count of Article Number" fld="25" subtotal="count" baseField="0" baseItem="0"/>
    <dataField name="Count of Item Description" fld="27" subtotal="count" baseField="0" baseItem="0"/>
    <dataField name="Count of Quantity" fld="29" subtotal="count" baseField="0" baseItem="4"/>
    <dataField name="Count of Unit of Measure" fld="31" subtotal="count" baseField="0" baseItem="0"/>
    <dataField name="Count of Unit Price" fld="33" subtotal="count" baseField="0" baseItem="0"/>
    <dataField name="Count of Item Planned Delivery Date" fld="3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838538-FB03-4CF8-85F5-B698B2D8419A}" name="Table326" displayName="Table326" ref="D6:Z105" totalsRowShown="0" headerRowDxfId="21">
  <autoFilter ref="D6:Z105" xr:uid="{BFD1EE5E-3D3A-4CC9-9D31-FE37D28EE3E6}"/>
  <tableColumns count="23">
    <tableColumn id="1" xr3:uid="{0AC2696A-16B1-4A11-8FC0-18C0371FBE84}" name="Customer" dataDxfId="20" dataCellStyle="Normal 2">
      <calculatedColumnFormula>_xlfn.XLOOKUP(Table326[[#This Row],[File Name]],'Analyse 2 Detail 02-03'!A:A,'Analyse 2 Detail 02-03'!R:R,"Not Found",0,1)</calculatedColumnFormula>
    </tableColumn>
    <tableColumn id="2" xr3:uid="{FE1E52BA-0F52-4B7C-B9E8-180E1F7F88E9}" name="File Name" dataCellStyle="Normal 2"/>
    <tableColumn id="4" xr3:uid="{51090EFA-E330-468D-9C85-B8F6502D7592}" name="Recognised doc type" dataCellStyle="Normal 2"/>
    <tableColumn id="5" xr3:uid="{C19361C5-5E00-43A4-8664-C7F5BCFA38B3}" name="# Missing fields" dataDxfId="19" dataCellStyle="Normal 2"/>
    <tableColumn id="6" xr3:uid="{98E7477B-602B-44E7-B205-61B0CFB0E84C}" name="PO nr" dataDxfId="18"/>
    <tableColumn id="7" xr3:uid="{1090236F-B01F-497C-8114-C20EE71B8C1E}" name="Supplier Order Nr" dataDxfId="17"/>
    <tableColumn id="8" xr3:uid="{85545292-E6F1-48ED-BF90-AC456C179B7A}" name="Order Date" dataDxfId="16"/>
    <tableColumn id="9" xr3:uid="{9FF3168F-11EB-4E2D-A4C5-01EDBFF0075A}" name="Supplier Name" dataDxfId="15"/>
    <tableColumn id="10" xr3:uid="{4E02D310-38C3-41AE-91B0-37A2355D9BB5}" name="Customer name" dataDxfId="14"/>
    <tableColumn id="25" xr3:uid="{BBEA31A7-80CA-41A7-87E0-4B3687C65357}" name="Currency" dataDxfId="13"/>
    <tableColumn id="12" xr3:uid="{F3BC5FEC-81B1-400B-B5D3-4A3172B86B8F}" name="Line nr" dataDxfId="12"/>
    <tableColumn id="13" xr3:uid="{AD614115-8C7F-4550-AF64-92DB88F5D21A}" name="Article Number" dataDxfId="11"/>
    <tableColumn id="14" xr3:uid="{DF8076ED-7B05-4FCE-BAE9-1B5BEEF998FA}" name="Description" dataDxfId="10"/>
    <tableColumn id="15" xr3:uid="{6A197263-0C76-4BF5-A8FA-F49286422605}" name="Quantity" dataDxfId="9"/>
    <tableColumn id="16" xr3:uid="{37EBE87C-AC51-4CD2-8B1A-E4A937BC52F0}" name="UoM" dataDxfId="8"/>
    <tableColumn id="17" xr3:uid="{2C9B6249-B1D3-4D7B-93AD-D74DC89491F3}" name="Unit Price" dataDxfId="7"/>
    <tableColumn id="18" xr3:uid="{4A38A863-A787-44E0-9AD6-D9491AB08077}" name="Delivery Date" dataDxfId="6"/>
    <tableColumn id="19" xr3:uid="{3B713D70-3A31-404C-85FB-9776F474D48A}" name="Avg" dataDxfId="5">
      <calculatedColumnFormula>AVERAGE(Table326[[#This Row],[PO nr]:[Delivery Date]])</calculatedColumnFormula>
    </tableColumn>
    <tableColumn id="20" xr3:uid="{DBE58FDF-AF3D-4F68-A3C8-4E4AF7ED1D02}" name="Comments" dataDxfId="4"/>
    <tableColumn id="11" xr3:uid="{5EB07DCC-ACE6-4056-8C3F-4BDB2AE0D537}" name="Vraag HL" dataDxfId="3"/>
    <tableColumn id="22" xr3:uid="{BFFCF2A5-B46E-4351-B21E-2FA850BCF413}" name="Acties" dataDxfId="2"/>
    <tableColumn id="3" xr3:uid="{9B5D1B05-C2F1-4322-91C0-D436E353E96A}" name="Beslissing" dataDxfId="1"/>
    <tableColumn id="21" xr3:uid="{CCF9D42B-12D0-4F0C-A73D-2150BB0CC82C}" name="Flexso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7A31DB-A350-42C3-BFAD-1764EA881382}" name="Table3" displayName="Table3" ref="C6:X29" totalsRowShown="0" headerRowDxfId="111">
  <autoFilter ref="C6:X29" xr:uid="{F67A31DB-A350-42C3-BFAD-1764EA88138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83CCA333-7DD3-4B3C-AA6B-DAD8E26FCE29}" name="Customer" dataDxfId="110" dataCellStyle="Normal 2">
      <calculatedColumnFormula>TRIM(_xlfn.TEXTBEFORE(Table3[[#This Row],[File Name]], "-", 1))</calculatedColumnFormula>
    </tableColumn>
    <tableColumn id="11" xr3:uid="{B33D964D-2758-4AF7-8D46-BCE24EF116B0}" name="Flow" dataCellStyle="Normal 2"/>
    <tableColumn id="2" xr3:uid="{97E6AE5D-CFC7-4058-9BFF-106A7F94EEB6}" name="File Name" dataCellStyle="Normal 2"/>
    <tableColumn id="4" xr3:uid="{AA713D7B-BC56-4018-8E21-19C92CCBA1BC}" name="Recognised doc type"/>
    <tableColumn id="5" xr3:uid="{4B260AEB-1574-47BE-A88D-EF82CAD01562}" name="# Missing fields" dataDxfId="109"/>
    <tableColumn id="6" xr3:uid="{4D4DE571-B3D5-4E2E-AC01-09E117052D06}" name="Supplier order nr" dataDxfId="108"/>
    <tableColumn id="7" xr3:uid="{DC939E68-FF31-48AC-9C3A-DC121077A24C}" name="PO nr" dataDxfId="107"/>
    <tableColumn id="8" xr3:uid="{F237219D-73A8-4EF4-8D48-FB1E4DAF8675}" name="Order Date" dataDxfId="106"/>
    <tableColumn id="9" xr3:uid="{59428D52-3565-438D-AA96-8BF300CA9DE5}" name="Supplier Name" dataDxfId="105"/>
    <tableColumn id="10" xr3:uid="{854961CD-FA8B-4DD8-9455-790F4F381F56}" name="Customer name" dataDxfId="104"/>
    <tableColumn id="25" xr3:uid="{3B527218-8DE8-4A0C-A028-3DA7DF469B14}" name="Currency" dataDxfId="103"/>
    <tableColumn id="12" xr3:uid="{3C755ADB-62EA-431B-B583-3A6D5FD64F5A}" name="Line nr" dataDxfId="102"/>
    <tableColumn id="13" xr3:uid="{DB1E0940-6AA2-465C-B039-5694438C8B06}" name="Part Nr" dataDxfId="101"/>
    <tableColumn id="14" xr3:uid="{91920054-8DAE-4695-B02E-AC0F4053CACC}" name="Description" dataDxfId="100"/>
    <tableColumn id="15" xr3:uid="{424F4144-8965-4A9E-8A1B-FCD8B60A7CDE}" name="Quantity" dataDxfId="99"/>
    <tableColumn id="16" xr3:uid="{F373CE6A-8F29-4558-A9D6-ADBBF0D05D83}" name="UoM" dataDxfId="98"/>
    <tableColumn id="17" xr3:uid="{EA538C65-5B7F-46E2-A2B7-889950208FD2}" name="Unit Price" dataDxfId="97"/>
    <tableColumn id="18" xr3:uid="{F4B23B1E-7297-4744-80B7-451686761910}" name="Delivery Date" dataDxfId="96"/>
    <tableColumn id="23" xr3:uid="{09CECB7F-51C5-43B3-B226-2A993B7D4C7B}" name="Average" dataDxfId="95">
      <calculatedColumnFormula>AVERAGE(Table3[[#This Row],[Supplier order nr]:[Delivery Date]])</calculatedColumnFormula>
    </tableColumn>
    <tableColumn id="20" xr3:uid="{CA23DC8C-C4B9-490A-8B75-D8753AAE188F}" name="Comments" dataDxfId="94"/>
    <tableColumn id="22" xr3:uid="{06C1B0F3-AF33-40D7-AA21-1D9A35C22292}" name="Acties" dataDxfId="93"/>
    <tableColumn id="3" xr3:uid="{FA5B77E7-0569-49E6-8BCA-A00D85D1439C}" name="Beslissing" dataDxfId="9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D1EE5E-3D3A-4CC9-9D31-FE37D28EE3E6}" name="Table32" displayName="Table32" ref="D6:Z105" totalsRowShown="0" headerRowDxfId="91">
  <autoFilter ref="D6:Z105" xr:uid="{BFD1EE5E-3D3A-4CC9-9D31-FE37D28EE3E6}"/>
  <tableColumns count="23">
    <tableColumn id="1" xr3:uid="{28394BAE-ED51-4F41-A56E-482E961054D0}" name="Customer" dataDxfId="90" dataCellStyle="Normal 2">
      <calculatedColumnFormula>_xlfn.XLOOKUP(Table32[[#This Row],[File Name]],'Analyse 2 Detail 02-03'!A:A,'Analyse 2 Detail 02-03'!R:R,"Not Found",0,1)</calculatedColumnFormula>
    </tableColumn>
    <tableColumn id="2" xr3:uid="{13D4D823-17B4-4336-9544-2D1A3F4C19A3}" name="File Name" dataCellStyle="Normal 2"/>
    <tableColumn id="4" xr3:uid="{7B67D39B-338B-4BB3-AE7E-7E2848F26DA6}" name="Recognised doc type" dataCellStyle="Normal 2"/>
    <tableColumn id="5" xr3:uid="{B57F30ED-018E-459E-8A14-7A663F33A784}" name="# Missing fields" dataDxfId="89" dataCellStyle="Normal 2"/>
    <tableColumn id="6" xr3:uid="{822D2793-AADA-41B9-BCB2-D6C6CE0FDCB3}" name="PO nr" dataDxfId="88"/>
    <tableColumn id="7" xr3:uid="{9D04206C-569C-44CC-BA1E-F1E94416A3CA}" name="Supplier Order Nr" dataDxfId="87"/>
    <tableColumn id="8" xr3:uid="{38080E72-864B-403C-8025-F80B77D6C804}" name="Order Date" dataDxfId="86"/>
    <tableColumn id="9" xr3:uid="{8880BB1B-C437-45CF-BAF1-D2F563BB746C}" name="Supplier Name" dataDxfId="85"/>
    <tableColumn id="10" xr3:uid="{EE23499F-DCC4-44D3-AF93-6D06D544B66F}" name="Customer name" dataDxfId="84"/>
    <tableColumn id="25" xr3:uid="{09AC8366-32E8-45D8-B434-4A06669CBC21}" name="Currency" dataDxfId="83"/>
    <tableColumn id="12" xr3:uid="{5579759A-167B-4014-A2F4-FF3A21175D2C}" name="Line nr" dataDxfId="82"/>
    <tableColumn id="13" xr3:uid="{9FF2B1E8-C181-4653-8B7E-672793FC937C}" name="Article Number" dataDxfId="81"/>
    <tableColumn id="14" xr3:uid="{12A7A9C1-03EF-466C-9E91-78A652565D67}" name="Description" dataDxfId="80"/>
    <tableColumn id="15" xr3:uid="{FC9A4933-5881-4456-B32C-23D0380FD48F}" name="Quantity" dataDxfId="79"/>
    <tableColumn id="16" xr3:uid="{1F222CDE-EC0A-4020-961D-1C1AB7201A0B}" name="UoM" dataDxfId="78"/>
    <tableColumn id="17" xr3:uid="{07512023-9018-4995-B740-4692E4C67D45}" name="Unit Price" dataDxfId="77"/>
    <tableColumn id="18" xr3:uid="{DD0F07F3-3D98-4CE4-AED0-66EB6A212E5A}" name="Delivery Date" dataDxfId="76"/>
    <tableColumn id="19" xr3:uid="{0D9D2CC5-9148-46FF-AA77-54BD06B5B0E8}" name="Avg" dataDxfId="75">
      <calculatedColumnFormula>AVERAGE(Table32[[#This Row],[PO nr]:[Delivery Date]])</calculatedColumnFormula>
    </tableColumn>
    <tableColumn id="20" xr3:uid="{CEDB363D-65B8-4043-9E16-57CAC7912CF1}" name="Comments" dataDxfId="74"/>
    <tableColumn id="11" xr3:uid="{AF6D7343-00CE-456E-B3D4-674A1EF4D747}" name="Vraag HL" dataDxfId="73"/>
    <tableColumn id="22" xr3:uid="{A3FD7D76-19FA-49E6-98B9-80E5C9D9203D}" name="Acties" dataDxfId="72"/>
    <tableColumn id="3" xr3:uid="{03A77CEF-102C-4096-A148-8919DF1E4007}" name="Beslissing" dataDxfId="71"/>
    <tableColumn id="21" xr3:uid="{583D2121-A80F-4F37-8FF9-A4D86E2E8618}" name="Flexso" dataDxfId="7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304300-8D73-4A55-AD71-4815F1212865}" name="Table325" displayName="Table325" ref="D6:Z105" totalsRowShown="0" headerRowDxfId="69">
  <autoFilter ref="D6:Z105" xr:uid="{BFD1EE5E-3D3A-4CC9-9D31-FE37D28EE3E6}"/>
  <tableColumns count="23">
    <tableColumn id="1" xr3:uid="{F3208E00-6C17-4FA9-940D-1A350CF909BC}" name="Customer" dataDxfId="68" dataCellStyle="Normal 2">
      <calculatedColumnFormula>_xlfn.XLOOKUP(Table325[[#This Row],[File Name]],'Analyse 2 Detail 02-03'!A:A,'Analyse 2 Detail 02-03'!R:R,"Not Found",0,1)</calculatedColumnFormula>
    </tableColumn>
    <tableColumn id="2" xr3:uid="{D28193FD-5366-4B7C-9468-BC1D625F68E8}" name="File Name" dataCellStyle="Normal 2"/>
    <tableColumn id="4" xr3:uid="{7EBD19AF-86A5-4F9F-8F08-952895282D44}" name="Recognised doc type" dataCellStyle="Normal 2"/>
    <tableColumn id="5" xr3:uid="{2B531F8E-852A-4778-8674-78E90C110AED}" name="# Missing fields" dataDxfId="67" dataCellStyle="Normal 2"/>
    <tableColumn id="6" xr3:uid="{6CA52A8B-84FC-4E64-9C41-4836A551039B}" name="PO nr" dataDxfId="66">
      <calculatedColumnFormula>IF($F7="unclassified","N/A",(_xlfn.XLOOKUP($E7,Sheet2!$A:$A,Sheet2!Q:Q,"N/A",0,1)))</calculatedColumnFormula>
    </tableColumn>
    <tableColumn id="7" xr3:uid="{83A8EACE-613C-4507-BC4D-FC53522867BD}" name="Supplier Order Nr" dataDxfId="65">
      <calculatedColumnFormula>IF($F7="unclassified","N/A",(_xlfn.XLOOKUP($E7,Sheet2!$A:$A,Sheet2!R:R,"N/A",0,1)))</calculatedColumnFormula>
    </tableColumn>
    <tableColumn id="8" xr3:uid="{297531A7-FF18-447A-9765-D5F9026F6535}" name="Order Date" dataDxfId="64">
      <calculatedColumnFormula>IF($F7="unclassified","N/A",(_xlfn.XLOOKUP($E7,Sheet2!$A:$A,Sheet2!S:S,"N/A",0,1)))</calculatedColumnFormula>
    </tableColumn>
    <tableColumn id="9" xr3:uid="{74CC6E0D-6419-4231-B5D1-698F0AAB75A1}" name="Supplier Name" dataDxfId="63">
      <calculatedColumnFormula>IF($F7="unclassified","N/A",(_xlfn.XLOOKUP($E7,Sheet2!$A:$A,Sheet2!T:T,"N/A",0,1)))</calculatedColumnFormula>
    </tableColumn>
    <tableColumn id="10" xr3:uid="{EF3D87CC-F490-4697-8BA8-F04B2F55E9EB}" name="Customer name" dataDxfId="62">
      <calculatedColumnFormula>IF($F7="unclassified","N/A",(_xlfn.XLOOKUP($E7,Sheet2!$A:$A,Sheet2!U:U,"N/A",0,1)))</calculatedColumnFormula>
    </tableColumn>
    <tableColumn id="25" xr3:uid="{72E7B3AC-77B9-421C-A4CA-09E4703A9DE3}" name="Currency" dataDxfId="61">
      <calculatedColumnFormula>IF($F7="unclassified","N/A",(_xlfn.XLOOKUP($E7,Sheet2!$A:$A,Sheet2!V:V,"N/A",0,1)))</calculatedColumnFormula>
    </tableColumn>
    <tableColumn id="12" xr3:uid="{31A7EA3C-E719-467A-9B37-2837A263CDBB}" name="Line nr" dataDxfId="60"/>
    <tableColumn id="13" xr3:uid="{CF419BFB-E09B-4750-A06F-40657349B815}" name="Article Number" dataDxfId="59">
      <calculatedColumnFormula>IF($F7="unclassified","N/A",(_xlfn.XLOOKUP($E7,Sheet2!$A:$A,Sheet2!W:W,"N/A",0,1)))</calculatedColumnFormula>
    </tableColumn>
    <tableColumn id="14" xr3:uid="{EE143135-1128-4069-A8BE-127209B1743D}" name="Description" dataDxfId="58">
      <calculatedColumnFormula>IF($F7="unclassified","N/A",(_xlfn.XLOOKUP($E7,Sheet2!$A:$A,Sheet2!X:X,"N/A",0,1)))</calculatedColumnFormula>
    </tableColumn>
    <tableColumn id="15" xr3:uid="{97B00B42-FB10-45A9-AF76-1B509917A22C}" name="Quantity" dataDxfId="57">
      <calculatedColumnFormula>IF($F7="unclassified","N/A",(_xlfn.XLOOKUP($E7,Sheet2!$A:$A,Sheet2!Y:Y,"N/A",0,1)))</calculatedColumnFormula>
    </tableColumn>
    <tableColumn id="16" xr3:uid="{E6FFBB47-528B-4B65-956B-4644F34FA66C}" name="UoM" dataDxfId="56">
      <calculatedColumnFormula>IF($F7="unclassified","N/A",(_xlfn.XLOOKUP($E7,Sheet2!$A:$A,Sheet2!Z:Z,"N/A",0,1)))</calculatedColumnFormula>
    </tableColumn>
    <tableColumn id="17" xr3:uid="{3A5D53BD-B4E8-46E9-8D94-BBF178B3F8C6}" name="Unit Price" dataDxfId="55">
      <calculatedColumnFormula>IF($F7="unclassified","N/A",(_xlfn.XLOOKUP($E7,Sheet2!$A:$A,Sheet2!AA:AA,"N/A",0,1)))</calculatedColumnFormula>
    </tableColumn>
    <tableColumn id="18" xr3:uid="{B9E69976-49CC-41A0-9EF7-D25A819DCB64}" name="Delivery Date" dataDxfId="54">
      <calculatedColumnFormula>IF($F7="unclassified","N/A",(_xlfn.XLOOKUP($E7,Sheet2!$A:$A,Sheet2!AB:AB,"N/A",0,1)))</calculatedColumnFormula>
    </tableColumn>
    <tableColumn id="19" xr3:uid="{D570BAE7-C533-4D56-A0F2-74EF4F40A867}" name="Avg" dataDxfId="53">
      <calculatedColumnFormula>IF($F7="unclassified","N/A",(AVERAGE(Table325[[#This Row],[PO nr]:[Delivery Date]])))</calculatedColumnFormula>
    </tableColumn>
    <tableColumn id="20" xr3:uid="{A77450B3-759A-4472-94D5-183F84DD6DED}" name="Comments" dataDxfId="52"/>
    <tableColumn id="11" xr3:uid="{D039311B-6815-447D-8A8C-5A860EEE52D9}" name="Vraag HL" dataDxfId="51"/>
    <tableColumn id="22" xr3:uid="{14A62021-6BAE-4B5F-B008-BEAA03BB028B}" name="Acties" dataDxfId="50"/>
    <tableColumn id="3" xr3:uid="{F1D30F09-1B80-45AF-90AA-46E54E08DFA1}" name="Beslissing" dataDxfId="49"/>
    <tableColumn id="21" xr3:uid="{56DE9CBF-73C0-4EE0-8093-3A083A45BD0D}" name="Flexso" dataDxfId="4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115CD2-FD57-4C98-97AC-222C81F697C1}" name="Table3253" displayName="Table3253" ref="D114:Z213" totalsRowShown="0" headerRowDxfId="47">
  <autoFilter ref="D114:Z213" xr:uid="{F8115CD2-FD57-4C98-97AC-222C81F697C1}"/>
  <tableColumns count="23">
    <tableColumn id="1" xr3:uid="{F2621220-F066-4394-9CC8-B754A340F68A}" name="Customer" dataDxfId="46" dataCellStyle="Normal 2">
      <calculatedColumnFormula>_xlfn.XLOOKUP(Table3253[[#This Row],[File Name]],'Analyse 2 Detail 02-03'!A:A,'Analyse 2 Detail 02-03'!R:R,"Not Found",0,1)</calculatedColumnFormula>
    </tableColumn>
    <tableColumn id="2" xr3:uid="{676338BC-C71A-4878-8E63-7B47F4231DE7}" name="File Name" dataCellStyle="Normal 2"/>
    <tableColumn id="4" xr3:uid="{5E960428-A296-434E-9EA8-CE6333F421CF}" name="Recognised doc type" dataCellStyle="Normal 2"/>
    <tableColumn id="5" xr3:uid="{FF374B50-92B3-4E57-BEB1-DA096342F094}" name="# Missing fields" dataDxfId="45" dataCellStyle="Normal 2"/>
    <tableColumn id="6" xr3:uid="{C9614D70-2CDC-4D86-A08C-F147C11D0A79}" name="PO nr" dataDxfId="44">
      <calculatedColumnFormula>IF($F115="unclassified","N/A",(_xlfn.XLOOKUP($E115,Sheet2!$A:$A,Sheet2!Q:Q,"N/A",0,1)))</calculatedColumnFormula>
    </tableColumn>
    <tableColumn id="7" xr3:uid="{F0E90958-089E-4BAA-8FBA-91308B24B2AC}" name="Supplier Order Nr" dataDxfId="43">
      <calculatedColumnFormula>IF($F115="unclassified","N/A",(_xlfn.XLOOKUP($E115,Sheet2!$A:$A,Sheet2!R:R,"N/A",0,1)))</calculatedColumnFormula>
    </tableColumn>
    <tableColumn id="8" xr3:uid="{FA54B9CB-8243-45D4-BEEC-67C2750E3A91}" name="Order Date" dataDxfId="42">
      <calculatedColumnFormula>IF($F115="unclassified","N/A",(_xlfn.XLOOKUP($E115,Sheet2!$A:$A,Sheet2!S:S,"N/A",0,1)))</calculatedColumnFormula>
    </tableColumn>
    <tableColumn id="9" xr3:uid="{F7A881AC-2D97-4E18-97C7-E8E664AFF90F}" name="Supplier Name" dataDxfId="41">
      <calculatedColumnFormula>IF($F115="unclassified","N/A",(_xlfn.XLOOKUP($E115,Sheet2!$A:$A,Sheet2!T:T,"N/A",0,1)))</calculatedColumnFormula>
    </tableColumn>
    <tableColumn id="10" xr3:uid="{83FB3436-3C6A-4000-BABD-FDDF5ABF1653}" name="Customer name" dataDxfId="40">
      <calculatedColumnFormula>IF($F115="unclassified","N/A",(_xlfn.XLOOKUP($E115,Sheet2!$A:$A,Sheet2!U:U,"N/A",0,1)))</calculatedColumnFormula>
    </tableColumn>
    <tableColumn id="25" xr3:uid="{18F3FE87-9E20-4D1E-9010-309AE9014863}" name="Currency" dataDxfId="39">
      <calculatedColumnFormula>IF($F115="unclassified","N/A",(_xlfn.XLOOKUP($E115,Sheet2!$A:$A,Sheet2!V:V,"N/A",0,1)))</calculatedColumnFormula>
    </tableColumn>
    <tableColumn id="12" xr3:uid="{A74D40EC-7F98-45CD-871D-5E74DF7965EE}" name="Line nr" dataDxfId="38"/>
    <tableColumn id="13" xr3:uid="{0BDDFDA8-FE2C-43A3-95A5-5B0B64E36A60}" name="Article Number" dataDxfId="37">
      <calculatedColumnFormula>IF($F115="unclassified","N/A",(_xlfn.XLOOKUP($E115,Sheet2!$A:$A,Sheet2!W:W,"N/A",0,1)))</calculatedColumnFormula>
    </tableColumn>
    <tableColumn id="14" xr3:uid="{901D06FB-56EF-4E97-9472-02E36CCF7E53}" name="Description" dataDxfId="36">
      <calculatedColumnFormula>IF($F115="unclassified","N/A",(_xlfn.XLOOKUP($E115,Sheet2!$A:$A,Sheet2!X:X,"N/A",0,1)))</calculatedColumnFormula>
    </tableColumn>
    <tableColumn id="15" xr3:uid="{27199D61-E391-45A1-92A5-F7FEB58FE7B4}" name="Quantity" dataDxfId="35">
      <calculatedColumnFormula>IF($F115="unclassified","N/A",(_xlfn.XLOOKUP($E115,Sheet2!$A:$A,Sheet2!Y:Y,"N/A",0,1)))</calculatedColumnFormula>
    </tableColumn>
    <tableColumn id="16" xr3:uid="{A55CCAF7-7C8E-40D9-B5E2-8E11DFE1C2F7}" name="UoM" dataDxfId="34">
      <calculatedColumnFormula>IF($F115="unclassified","N/A",(_xlfn.XLOOKUP($E115,Sheet2!$A:$A,Sheet2!Z:Z,"N/A",0,1)))</calculatedColumnFormula>
    </tableColumn>
    <tableColumn id="17" xr3:uid="{337E1681-D6F4-459A-8560-6B14E0120958}" name="Unit Price" dataDxfId="33">
      <calculatedColumnFormula>IF($F115="unclassified","N/A",(_xlfn.XLOOKUP($E115,Sheet2!$A:$A,Sheet2!AA:AA,"N/A",0,1)))</calculatedColumnFormula>
    </tableColumn>
    <tableColumn id="18" xr3:uid="{D5FA006D-A34F-4DF0-9937-3CBD8D9D1FB8}" name="Delivery Date" dataDxfId="32">
      <calculatedColumnFormula>IF($F115="unclassified","N/A",(_xlfn.XLOOKUP($E115,Sheet2!$A:$A,Sheet2!AB:AB,"N/A",0,1)))</calculatedColumnFormula>
    </tableColumn>
    <tableColumn id="19" xr3:uid="{95ACB6B0-3950-40EB-81B3-3832BB1AA470}" name="Avg" dataDxfId="31">
      <calculatedColumnFormula>IF($F115="unclassified","N/A",(AVERAGE(Table3253[[#This Row],[PO nr]:[Delivery Date]])))</calculatedColumnFormula>
    </tableColumn>
    <tableColumn id="20" xr3:uid="{A21A6C5A-80BE-47A1-AE8B-5DB80222AF37}" name="Comments" dataDxfId="30"/>
    <tableColumn id="11" xr3:uid="{0E8A2131-3ED0-4AD7-AB3C-E11787BE023D}" name="Vraag HL" dataDxfId="29"/>
    <tableColumn id="22" xr3:uid="{7F07822D-DA31-4228-B6C8-9A7352F390EE}" name="Acties" dataDxfId="28"/>
    <tableColumn id="3" xr3:uid="{2A75E6BB-C660-41E7-90F5-7564104DCA6E}" name="Beslissing" dataDxfId="27"/>
    <tableColumn id="21" xr3:uid="{C8D949EA-E360-4CA6-B3D8-D6C231ED352F}" name="Flexso" dataDxfId="2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B2522-B73D-458A-A6DE-2A36B969040A}">
  <sheetPr>
    <tabColor rgb="FF00B0F0"/>
  </sheetPr>
  <dimension ref="A1:H445"/>
  <sheetViews>
    <sheetView workbookViewId="0">
      <pane ySplit="1" topLeftCell="A226" activePane="bottomLeft" state="frozen"/>
      <selection pane="bottomLeft" activeCell="C240" sqref="C240"/>
    </sheetView>
  </sheetViews>
  <sheetFormatPr defaultRowHeight="14.4" x14ac:dyDescent="0.3"/>
  <cols>
    <col min="1" max="1" width="8.88671875" style="106"/>
    <col min="2" max="2" width="21" style="106" customWidth="1"/>
    <col min="3" max="3" width="36.33203125" style="106" bestFit="1" customWidth="1"/>
    <col min="4" max="4" width="17" style="106" bestFit="1" customWidth="1"/>
    <col min="5" max="7" width="9.5546875" style="107" customWidth="1"/>
    <col min="8" max="8" width="81.33203125" style="106" customWidth="1"/>
    <col min="9" max="16384" width="8.88671875" style="106"/>
  </cols>
  <sheetData>
    <row r="1" spans="1:8" s="103" customFormat="1" ht="28.8" x14ac:dyDescent="0.3">
      <c r="A1" s="103" t="s">
        <v>2290</v>
      </c>
      <c r="B1" s="103" t="s">
        <v>1820</v>
      </c>
      <c r="C1" s="103" t="s">
        <v>1821</v>
      </c>
      <c r="D1" s="103" t="s">
        <v>1822</v>
      </c>
      <c r="E1" s="104" t="s">
        <v>1823</v>
      </c>
      <c r="F1" s="105" t="s">
        <v>1824</v>
      </c>
      <c r="G1" s="105" t="s">
        <v>1825</v>
      </c>
      <c r="H1" s="104" t="s">
        <v>1826</v>
      </c>
    </row>
    <row r="2" spans="1:8" x14ac:dyDescent="0.3">
      <c r="A2" s="106" t="s">
        <v>2291</v>
      </c>
      <c r="B2" s="106">
        <v>3001044</v>
      </c>
      <c r="C2" s="106" t="s">
        <v>1827</v>
      </c>
      <c r="D2" s="106">
        <v>36</v>
      </c>
      <c r="F2" s="107" t="s">
        <v>1828</v>
      </c>
    </row>
    <row r="3" spans="1:8" x14ac:dyDescent="0.3">
      <c r="A3" s="106" t="s">
        <v>2291</v>
      </c>
      <c r="B3" s="106">
        <v>3000096</v>
      </c>
      <c r="C3" s="106" t="s">
        <v>1829</v>
      </c>
      <c r="D3" s="106">
        <v>22</v>
      </c>
      <c r="E3" s="107" t="s">
        <v>1828</v>
      </c>
    </row>
    <row r="4" spans="1:8" x14ac:dyDescent="0.3">
      <c r="A4" s="106" t="s">
        <v>2291</v>
      </c>
      <c r="B4" s="106">
        <v>3000002</v>
      </c>
      <c r="C4" s="106" t="s">
        <v>1830</v>
      </c>
      <c r="D4" s="106">
        <v>20</v>
      </c>
      <c r="E4" s="107" t="s">
        <v>1828</v>
      </c>
    </row>
    <row r="5" spans="1:8" x14ac:dyDescent="0.3">
      <c r="A5" s="106" t="s">
        <v>2291</v>
      </c>
      <c r="B5" s="106">
        <v>3000190</v>
      </c>
      <c r="C5" s="106" t="s">
        <v>1831</v>
      </c>
      <c r="D5" s="106">
        <v>24</v>
      </c>
      <c r="F5" s="107" t="s">
        <v>1828</v>
      </c>
    </row>
    <row r="6" spans="1:8" x14ac:dyDescent="0.3">
      <c r="A6" s="106" t="s">
        <v>2291</v>
      </c>
      <c r="B6" s="106">
        <v>3000395</v>
      </c>
      <c r="C6" s="106" t="s">
        <v>1832</v>
      </c>
      <c r="D6" s="106">
        <v>16</v>
      </c>
      <c r="F6" s="107" t="s">
        <v>1828</v>
      </c>
    </row>
    <row r="7" spans="1:8" x14ac:dyDescent="0.3">
      <c r="A7" s="106" t="s">
        <v>2291</v>
      </c>
      <c r="B7" s="106">
        <v>3000431</v>
      </c>
      <c r="C7" s="106" t="s">
        <v>1833</v>
      </c>
      <c r="D7" s="106">
        <v>24</v>
      </c>
      <c r="E7" s="107" t="s">
        <v>1828</v>
      </c>
    </row>
    <row r="8" spans="1:8" x14ac:dyDescent="0.3">
      <c r="A8" s="106" t="s">
        <v>2291</v>
      </c>
      <c r="B8" s="106">
        <v>3000132</v>
      </c>
      <c r="C8" s="106" t="s">
        <v>1834</v>
      </c>
      <c r="D8" s="106">
        <v>48</v>
      </c>
      <c r="E8" s="107" t="s">
        <v>1828</v>
      </c>
    </row>
    <row r="9" spans="1:8" x14ac:dyDescent="0.3">
      <c r="A9" s="106" t="s">
        <v>2291</v>
      </c>
      <c r="B9" s="106">
        <v>3000019</v>
      </c>
      <c r="C9" s="106" t="s">
        <v>1835</v>
      </c>
      <c r="D9" s="106">
        <v>15</v>
      </c>
      <c r="E9" s="107" t="s">
        <v>1828</v>
      </c>
    </row>
    <row r="10" spans="1:8" x14ac:dyDescent="0.3">
      <c r="A10" s="106" t="s">
        <v>2291</v>
      </c>
      <c r="B10" s="106">
        <v>3002833</v>
      </c>
      <c r="C10" s="106" t="s">
        <v>1836</v>
      </c>
      <c r="D10" s="106">
        <v>18</v>
      </c>
      <c r="E10" s="107" t="s">
        <v>1828</v>
      </c>
    </row>
    <row r="11" spans="1:8" x14ac:dyDescent="0.3">
      <c r="A11" s="106" t="s">
        <v>2291</v>
      </c>
      <c r="B11" s="106">
        <v>3003735</v>
      </c>
      <c r="C11" s="106" t="s">
        <v>1837</v>
      </c>
      <c r="D11" s="106">
        <v>7</v>
      </c>
      <c r="E11" s="107" t="s">
        <v>1828</v>
      </c>
    </row>
    <row r="12" spans="1:8" x14ac:dyDescent="0.3">
      <c r="A12" s="106" t="s">
        <v>2291</v>
      </c>
      <c r="B12" s="106">
        <v>3000239</v>
      </c>
      <c r="C12" s="106" t="s">
        <v>1838</v>
      </c>
      <c r="D12" s="106">
        <v>68</v>
      </c>
      <c r="E12" s="107" t="s">
        <v>1828</v>
      </c>
    </row>
    <row r="13" spans="1:8" x14ac:dyDescent="0.3">
      <c r="A13" s="106" t="s">
        <v>2291</v>
      </c>
      <c r="B13" s="106">
        <v>3000003</v>
      </c>
      <c r="C13" s="106" t="s">
        <v>1839</v>
      </c>
      <c r="D13" s="106">
        <v>24</v>
      </c>
      <c r="E13" s="107" t="s">
        <v>1828</v>
      </c>
    </row>
    <row r="14" spans="1:8" x14ac:dyDescent="0.3">
      <c r="A14" s="106" t="s">
        <v>2291</v>
      </c>
      <c r="B14" s="106">
        <v>3001279</v>
      </c>
      <c r="C14" s="106" t="s">
        <v>1840</v>
      </c>
      <c r="D14" s="106">
        <v>6</v>
      </c>
      <c r="E14" s="107" t="s">
        <v>1828</v>
      </c>
    </row>
    <row r="15" spans="1:8" x14ac:dyDescent="0.3">
      <c r="A15" s="106" t="s">
        <v>2291</v>
      </c>
      <c r="B15" s="106">
        <v>3000939</v>
      </c>
      <c r="C15" s="106" t="s">
        <v>1841</v>
      </c>
      <c r="D15" s="106">
        <v>16</v>
      </c>
      <c r="E15" s="107" t="s">
        <v>1828</v>
      </c>
    </row>
    <row r="16" spans="1:8" x14ac:dyDescent="0.3">
      <c r="A16" s="106" t="s">
        <v>2291</v>
      </c>
      <c r="B16" s="106">
        <v>3004411</v>
      </c>
      <c r="C16" s="106" t="s">
        <v>1842</v>
      </c>
      <c r="D16" s="106">
        <v>1</v>
      </c>
      <c r="E16" s="107" t="s">
        <v>1828</v>
      </c>
    </row>
    <row r="17" spans="1:8" x14ac:dyDescent="0.3">
      <c r="A17" s="106" t="s">
        <v>2291</v>
      </c>
      <c r="B17" s="106">
        <v>3000687</v>
      </c>
      <c r="C17" s="106" t="s">
        <v>1843</v>
      </c>
      <c r="D17" s="106">
        <v>2</v>
      </c>
      <c r="E17" s="107" t="s">
        <v>1828</v>
      </c>
    </row>
    <row r="18" spans="1:8" x14ac:dyDescent="0.3">
      <c r="A18" s="106" t="s">
        <v>2291</v>
      </c>
      <c r="B18" s="106">
        <v>3004318</v>
      </c>
      <c r="C18" s="106" t="s">
        <v>1844</v>
      </c>
      <c r="D18" s="106">
        <v>7</v>
      </c>
      <c r="E18" s="107" t="s">
        <v>1828</v>
      </c>
    </row>
    <row r="19" spans="1:8" x14ac:dyDescent="0.3">
      <c r="A19" s="106" t="s">
        <v>2291</v>
      </c>
      <c r="B19" s="106">
        <v>3004322</v>
      </c>
      <c r="C19" s="106" t="s">
        <v>1845</v>
      </c>
      <c r="D19" s="106">
        <v>8</v>
      </c>
      <c r="E19" s="107" t="s">
        <v>1828</v>
      </c>
    </row>
    <row r="20" spans="1:8" x14ac:dyDescent="0.3">
      <c r="A20" s="106" t="s">
        <v>2291</v>
      </c>
      <c r="B20" s="106">
        <v>3004323</v>
      </c>
      <c r="C20" s="106" t="s">
        <v>1846</v>
      </c>
      <c r="D20" s="106">
        <v>35</v>
      </c>
      <c r="E20" s="107" t="s">
        <v>1828</v>
      </c>
    </row>
    <row r="21" spans="1:8" x14ac:dyDescent="0.3">
      <c r="A21" s="106" t="s">
        <v>2291</v>
      </c>
      <c r="B21" s="106">
        <v>3004320</v>
      </c>
      <c r="C21" s="106" t="s">
        <v>1847</v>
      </c>
      <c r="D21" s="106">
        <v>9</v>
      </c>
      <c r="E21" s="107" t="s">
        <v>1828</v>
      </c>
    </row>
    <row r="22" spans="1:8" x14ac:dyDescent="0.3">
      <c r="A22" s="106" t="s">
        <v>2291</v>
      </c>
      <c r="B22" s="106">
        <v>3004321</v>
      </c>
      <c r="C22" s="106" t="s">
        <v>1848</v>
      </c>
      <c r="D22" s="106">
        <v>13</v>
      </c>
      <c r="E22" s="107" t="s">
        <v>1828</v>
      </c>
    </row>
    <row r="23" spans="1:8" x14ac:dyDescent="0.3">
      <c r="A23" s="106" t="s">
        <v>2291</v>
      </c>
      <c r="B23" s="106">
        <v>3004319</v>
      </c>
      <c r="C23" s="106" t="s">
        <v>1849</v>
      </c>
      <c r="D23" s="106">
        <v>14</v>
      </c>
      <c r="E23" s="107" t="s">
        <v>1828</v>
      </c>
    </row>
    <row r="24" spans="1:8" x14ac:dyDescent="0.3">
      <c r="A24" s="106" t="s">
        <v>2291</v>
      </c>
      <c r="B24" s="106">
        <v>3004338</v>
      </c>
      <c r="C24" s="106" t="s">
        <v>1850</v>
      </c>
      <c r="D24" s="106">
        <v>6</v>
      </c>
      <c r="E24" s="107" t="s">
        <v>1828</v>
      </c>
    </row>
    <row r="25" spans="1:8" x14ac:dyDescent="0.3">
      <c r="A25" s="106" t="s">
        <v>2291</v>
      </c>
      <c r="B25" s="106">
        <v>3002156</v>
      </c>
      <c r="C25" s="106" t="s">
        <v>1851</v>
      </c>
      <c r="D25" s="106">
        <v>14</v>
      </c>
    </row>
    <row r="26" spans="1:8" x14ac:dyDescent="0.3">
      <c r="A26" s="106" t="s">
        <v>2291</v>
      </c>
      <c r="B26" s="106">
        <v>3001236</v>
      </c>
      <c r="C26" s="106" t="s">
        <v>1852</v>
      </c>
      <c r="D26" s="106">
        <v>26</v>
      </c>
    </row>
    <row r="27" spans="1:8" x14ac:dyDescent="0.3">
      <c r="A27" s="106" t="s">
        <v>2291</v>
      </c>
      <c r="B27" s="106">
        <v>3004380</v>
      </c>
      <c r="C27" s="106" t="s">
        <v>1853</v>
      </c>
      <c r="D27" s="106">
        <v>3</v>
      </c>
      <c r="E27" s="107" t="s">
        <v>1828</v>
      </c>
    </row>
    <row r="28" spans="1:8" x14ac:dyDescent="0.3">
      <c r="A28" s="106" t="s">
        <v>2291</v>
      </c>
      <c r="B28" s="106">
        <v>3004382</v>
      </c>
      <c r="C28" s="106" t="s">
        <v>1854</v>
      </c>
      <c r="D28" s="106">
        <v>2</v>
      </c>
      <c r="E28" s="107" t="s">
        <v>1828</v>
      </c>
    </row>
    <row r="29" spans="1:8" x14ac:dyDescent="0.3">
      <c r="A29" s="106" t="s">
        <v>2291</v>
      </c>
      <c r="B29" s="106">
        <v>3004383</v>
      </c>
      <c r="C29" s="106" t="s">
        <v>1855</v>
      </c>
      <c r="D29" s="106">
        <v>7</v>
      </c>
      <c r="E29" s="107" t="s">
        <v>1828</v>
      </c>
    </row>
    <row r="30" spans="1:8" x14ac:dyDescent="0.3">
      <c r="A30" s="106" t="s">
        <v>2291</v>
      </c>
      <c r="B30" s="106">
        <v>3004381</v>
      </c>
      <c r="C30" s="106" t="s">
        <v>1856</v>
      </c>
      <c r="D30" s="106">
        <v>16</v>
      </c>
      <c r="E30" s="107" t="s">
        <v>1828</v>
      </c>
    </row>
    <row r="31" spans="1:8" x14ac:dyDescent="0.3">
      <c r="A31" s="106" t="s">
        <v>2291</v>
      </c>
      <c r="B31" s="106">
        <v>3000005</v>
      </c>
      <c r="C31" s="106" t="s">
        <v>1857</v>
      </c>
      <c r="D31" s="106">
        <v>360</v>
      </c>
      <c r="E31" s="107" t="s">
        <v>1828</v>
      </c>
      <c r="H31" s="106" t="s">
        <v>1858</v>
      </c>
    </row>
    <row r="32" spans="1:8" x14ac:dyDescent="0.3">
      <c r="A32" s="106" t="s">
        <v>2291</v>
      </c>
      <c r="B32" s="106">
        <v>3000465</v>
      </c>
      <c r="C32" s="106" t="s">
        <v>1859</v>
      </c>
      <c r="D32" s="106">
        <v>186</v>
      </c>
      <c r="E32" s="107" t="s">
        <v>1828</v>
      </c>
    </row>
    <row r="33" spans="1:8" x14ac:dyDescent="0.3">
      <c r="A33" s="106" t="s">
        <v>2291</v>
      </c>
      <c r="B33" s="106">
        <v>3002134</v>
      </c>
      <c r="C33" s="106" t="s">
        <v>1860</v>
      </c>
      <c r="D33" s="106">
        <v>1</v>
      </c>
      <c r="F33" s="107" t="s">
        <v>1828</v>
      </c>
    </row>
    <row r="34" spans="1:8" x14ac:dyDescent="0.3">
      <c r="A34" s="106" t="s">
        <v>2291</v>
      </c>
      <c r="B34" s="106">
        <v>3000966</v>
      </c>
      <c r="C34" s="106" t="s">
        <v>1861</v>
      </c>
      <c r="D34" s="106">
        <v>21</v>
      </c>
      <c r="F34" s="107" t="s">
        <v>1828</v>
      </c>
    </row>
    <row r="35" spans="1:8" x14ac:dyDescent="0.3">
      <c r="A35" s="106" t="s">
        <v>2291</v>
      </c>
      <c r="B35" s="106">
        <v>3004257</v>
      </c>
      <c r="C35" s="106" t="s">
        <v>1862</v>
      </c>
      <c r="D35" s="106">
        <v>4</v>
      </c>
      <c r="F35" s="107" t="s">
        <v>1828</v>
      </c>
    </row>
    <row r="36" spans="1:8" x14ac:dyDescent="0.3">
      <c r="A36" s="106" t="s">
        <v>2291</v>
      </c>
      <c r="B36" s="106">
        <v>3004260</v>
      </c>
      <c r="C36" s="106" t="s">
        <v>1863</v>
      </c>
      <c r="D36" s="106">
        <v>5</v>
      </c>
      <c r="F36" s="107" t="s">
        <v>1828</v>
      </c>
    </row>
    <row r="37" spans="1:8" x14ac:dyDescent="0.3">
      <c r="A37" s="106" t="s">
        <v>2291</v>
      </c>
      <c r="B37" s="106">
        <v>3004256</v>
      </c>
      <c r="C37" s="106" t="s">
        <v>1864</v>
      </c>
      <c r="D37" s="106">
        <v>5</v>
      </c>
      <c r="F37" s="107" t="s">
        <v>1828</v>
      </c>
    </row>
    <row r="38" spans="1:8" x14ac:dyDescent="0.3">
      <c r="A38" s="106" t="s">
        <v>2291</v>
      </c>
      <c r="B38" s="106">
        <v>3004255</v>
      </c>
      <c r="C38" s="106" t="s">
        <v>1865</v>
      </c>
      <c r="D38" s="106">
        <v>1</v>
      </c>
      <c r="F38" s="107" t="s">
        <v>1828</v>
      </c>
    </row>
    <row r="39" spans="1:8" x14ac:dyDescent="0.3">
      <c r="A39" s="106" t="s">
        <v>2291</v>
      </c>
      <c r="B39" s="106">
        <v>3004259</v>
      </c>
      <c r="C39" s="106" t="s">
        <v>1866</v>
      </c>
      <c r="D39" s="106">
        <v>8</v>
      </c>
      <c r="F39" s="107" t="s">
        <v>1828</v>
      </c>
    </row>
    <row r="40" spans="1:8" x14ac:dyDescent="0.3">
      <c r="A40" s="106" t="s">
        <v>2291</v>
      </c>
      <c r="B40" s="106">
        <v>3004258</v>
      </c>
      <c r="C40" s="106" t="s">
        <v>1867</v>
      </c>
      <c r="D40" s="106">
        <v>4</v>
      </c>
      <c r="F40" s="107" t="s">
        <v>1828</v>
      </c>
    </row>
    <row r="41" spans="1:8" x14ac:dyDescent="0.3">
      <c r="A41" s="106" t="s">
        <v>2291</v>
      </c>
      <c r="B41" s="106">
        <v>3000263</v>
      </c>
      <c r="C41" s="106" t="s">
        <v>1868</v>
      </c>
      <c r="D41" s="106">
        <v>132</v>
      </c>
      <c r="F41" s="107" t="s">
        <v>1828</v>
      </c>
    </row>
    <row r="42" spans="1:8" x14ac:dyDescent="0.3">
      <c r="A42" s="106" t="s">
        <v>2291</v>
      </c>
      <c r="B42" s="106">
        <v>3000952</v>
      </c>
      <c r="C42" s="106" t="s">
        <v>1869</v>
      </c>
      <c r="D42" s="106">
        <v>24</v>
      </c>
      <c r="F42" s="107" t="s">
        <v>1828</v>
      </c>
    </row>
    <row r="43" spans="1:8" x14ac:dyDescent="0.3">
      <c r="A43" s="106" t="s">
        <v>2291</v>
      </c>
      <c r="B43" s="106">
        <v>3000008</v>
      </c>
      <c r="C43" s="106" t="s">
        <v>1870</v>
      </c>
      <c r="D43" s="106">
        <v>515</v>
      </c>
      <c r="E43" s="108" t="s">
        <v>1828</v>
      </c>
      <c r="G43" s="107" t="s">
        <v>1828</v>
      </c>
      <c r="H43" s="106" t="s">
        <v>1871</v>
      </c>
    </row>
    <row r="44" spans="1:8" x14ac:dyDescent="0.3">
      <c r="A44" s="106" t="s">
        <v>2291</v>
      </c>
      <c r="B44" s="106">
        <v>3003861</v>
      </c>
      <c r="C44" s="106" t="s">
        <v>1872</v>
      </c>
      <c r="D44" s="106">
        <v>3</v>
      </c>
      <c r="E44" s="108" t="s">
        <v>1828</v>
      </c>
      <c r="G44" s="107" t="s">
        <v>1828</v>
      </c>
    </row>
    <row r="45" spans="1:8" x14ac:dyDescent="0.3">
      <c r="A45" s="106" t="s">
        <v>2291</v>
      </c>
      <c r="B45" s="106">
        <v>3000374</v>
      </c>
      <c r="C45" s="106" t="s">
        <v>1873</v>
      </c>
      <c r="D45" s="106">
        <v>316</v>
      </c>
      <c r="E45" s="108" t="s">
        <v>1828</v>
      </c>
      <c r="G45" s="107" t="s">
        <v>1828</v>
      </c>
    </row>
    <row r="46" spans="1:8" x14ac:dyDescent="0.3">
      <c r="A46" s="106" t="s">
        <v>2291</v>
      </c>
      <c r="B46" s="106">
        <v>3000134</v>
      </c>
      <c r="C46" s="106" t="s">
        <v>1874</v>
      </c>
      <c r="D46" s="106">
        <v>39</v>
      </c>
      <c r="E46" s="107" t="s">
        <v>1828</v>
      </c>
    </row>
    <row r="47" spans="1:8" x14ac:dyDescent="0.3">
      <c r="A47" s="106" t="s">
        <v>2291</v>
      </c>
      <c r="B47" s="106">
        <v>3003864</v>
      </c>
      <c r="C47" s="106" t="s">
        <v>1875</v>
      </c>
      <c r="D47" s="106">
        <v>1</v>
      </c>
      <c r="E47" s="107" t="s">
        <v>1828</v>
      </c>
    </row>
    <row r="48" spans="1:8" x14ac:dyDescent="0.3">
      <c r="A48" s="106" t="s">
        <v>2291</v>
      </c>
      <c r="B48" s="106">
        <v>3001391</v>
      </c>
      <c r="C48" s="106" t="s">
        <v>1876</v>
      </c>
      <c r="D48" s="106">
        <v>11</v>
      </c>
      <c r="F48" s="107" t="s">
        <v>1828</v>
      </c>
    </row>
    <row r="49" spans="1:8" x14ac:dyDescent="0.3">
      <c r="A49" s="106" t="s">
        <v>2291</v>
      </c>
      <c r="B49" s="106">
        <v>3004629</v>
      </c>
      <c r="C49" s="106" t="s">
        <v>1877</v>
      </c>
      <c r="D49" s="106">
        <v>1</v>
      </c>
      <c r="F49" s="107" t="s">
        <v>1828</v>
      </c>
    </row>
    <row r="50" spans="1:8" x14ac:dyDescent="0.3">
      <c r="A50" s="106" t="s">
        <v>2291</v>
      </c>
      <c r="B50" s="106">
        <v>3004312</v>
      </c>
      <c r="C50" s="106" t="s">
        <v>1878</v>
      </c>
      <c r="D50" s="106">
        <v>2</v>
      </c>
      <c r="F50" s="107" t="s">
        <v>1828</v>
      </c>
    </row>
    <row r="51" spans="1:8" x14ac:dyDescent="0.3">
      <c r="A51" s="106" t="s">
        <v>2291</v>
      </c>
      <c r="B51" s="106">
        <v>3004193</v>
      </c>
      <c r="C51" s="106" t="s">
        <v>1879</v>
      </c>
      <c r="D51" s="106">
        <v>19</v>
      </c>
      <c r="F51" s="107" t="s">
        <v>1828</v>
      </c>
    </row>
    <row r="52" spans="1:8" x14ac:dyDescent="0.3">
      <c r="A52" s="106" t="s">
        <v>2291</v>
      </c>
      <c r="B52" s="106">
        <v>3004194</v>
      </c>
      <c r="C52" s="106" t="s">
        <v>1880</v>
      </c>
      <c r="D52" s="106">
        <v>32</v>
      </c>
      <c r="F52" s="107" t="s">
        <v>1828</v>
      </c>
    </row>
    <row r="53" spans="1:8" x14ac:dyDescent="0.3">
      <c r="A53" s="106" t="s">
        <v>2291</v>
      </c>
      <c r="B53" s="106">
        <v>3004195</v>
      </c>
      <c r="C53" s="106" t="s">
        <v>1881</v>
      </c>
      <c r="D53" s="106">
        <v>18</v>
      </c>
      <c r="F53" s="107" t="s">
        <v>1828</v>
      </c>
    </row>
    <row r="54" spans="1:8" x14ac:dyDescent="0.3">
      <c r="A54" s="106" t="s">
        <v>2291</v>
      </c>
      <c r="B54" s="106">
        <v>3004196</v>
      </c>
      <c r="C54" s="106" t="s">
        <v>1882</v>
      </c>
      <c r="D54" s="106">
        <v>93</v>
      </c>
      <c r="F54" s="107" t="s">
        <v>1828</v>
      </c>
      <c r="H54" s="106" t="s">
        <v>1883</v>
      </c>
    </row>
    <row r="55" spans="1:8" x14ac:dyDescent="0.3">
      <c r="A55" s="106" t="s">
        <v>2291</v>
      </c>
      <c r="B55" s="106">
        <v>3001867</v>
      </c>
      <c r="C55" s="106" t="s">
        <v>1884</v>
      </c>
      <c r="D55" s="106">
        <v>19</v>
      </c>
    </row>
    <row r="56" spans="1:8" x14ac:dyDescent="0.3">
      <c r="A56" s="106" t="s">
        <v>2291</v>
      </c>
      <c r="B56" s="106">
        <v>3000135</v>
      </c>
      <c r="C56" s="106" t="s">
        <v>1885</v>
      </c>
      <c r="D56" s="106">
        <v>58</v>
      </c>
    </row>
    <row r="57" spans="1:8" x14ac:dyDescent="0.3">
      <c r="A57" s="106" t="s">
        <v>2291</v>
      </c>
      <c r="B57" s="106">
        <v>3004464</v>
      </c>
      <c r="C57" s="106" t="s">
        <v>1886</v>
      </c>
      <c r="D57" s="106">
        <v>5</v>
      </c>
      <c r="E57" s="107" t="s">
        <v>1828</v>
      </c>
    </row>
    <row r="58" spans="1:8" x14ac:dyDescent="0.3">
      <c r="A58" s="106" t="s">
        <v>2291</v>
      </c>
      <c r="B58" s="106">
        <v>3000021</v>
      </c>
      <c r="C58" s="106" t="s">
        <v>1887</v>
      </c>
      <c r="D58" s="106">
        <v>16</v>
      </c>
      <c r="E58" s="107" t="s">
        <v>1828</v>
      </c>
    </row>
    <row r="59" spans="1:8" x14ac:dyDescent="0.3">
      <c r="A59" s="106" t="s">
        <v>2291</v>
      </c>
      <c r="B59" s="106">
        <v>3001270</v>
      </c>
      <c r="C59" s="106" t="s">
        <v>1888</v>
      </c>
      <c r="D59" s="106">
        <v>20</v>
      </c>
    </row>
    <row r="60" spans="1:8" x14ac:dyDescent="0.3">
      <c r="A60" s="106" t="s">
        <v>2291</v>
      </c>
      <c r="B60" s="106">
        <v>3000009</v>
      </c>
      <c r="C60" s="106" t="s">
        <v>1889</v>
      </c>
      <c r="D60" s="106">
        <v>262</v>
      </c>
      <c r="E60" s="107" t="s">
        <v>1828</v>
      </c>
      <c r="H60" s="106" t="s">
        <v>1890</v>
      </c>
    </row>
    <row r="61" spans="1:8" x14ac:dyDescent="0.3">
      <c r="A61" s="106" t="s">
        <v>2291</v>
      </c>
      <c r="B61" s="106">
        <v>3003116</v>
      </c>
      <c r="C61" s="106" t="s">
        <v>1891</v>
      </c>
      <c r="D61" s="106">
        <v>33</v>
      </c>
    </row>
    <row r="62" spans="1:8" x14ac:dyDescent="0.3">
      <c r="A62" s="106" t="s">
        <v>2291</v>
      </c>
      <c r="B62" s="106">
        <v>3000884</v>
      </c>
      <c r="C62" s="106" t="s">
        <v>1892</v>
      </c>
      <c r="D62" s="106">
        <v>54</v>
      </c>
    </row>
    <row r="63" spans="1:8" x14ac:dyDescent="0.3">
      <c r="A63" s="106" t="s">
        <v>2291</v>
      </c>
      <c r="B63" s="106">
        <v>3003869</v>
      </c>
      <c r="C63" s="106" t="s">
        <v>1893</v>
      </c>
      <c r="D63" s="106">
        <v>52</v>
      </c>
      <c r="E63" s="107" t="s">
        <v>1828</v>
      </c>
    </row>
    <row r="64" spans="1:8" x14ac:dyDescent="0.3">
      <c r="A64" s="106" t="s">
        <v>2291</v>
      </c>
      <c r="B64" s="106">
        <v>3004156</v>
      </c>
      <c r="C64" s="106" t="s">
        <v>1894</v>
      </c>
      <c r="D64" s="106">
        <v>7</v>
      </c>
      <c r="E64" s="107" t="s">
        <v>1828</v>
      </c>
    </row>
    <row r="65" spans="1:8" x14ac:dyDescent="0.3">
      <c r="A65" s="106" t="s">
        <v>2291</v>
      </c>
      <c r="B65" s="106">
        <v>3004155</v>
      </c>
      <c r="C65" s="106" t="s">
        <v>1895</v>
      </c>
      <c r="D65" s="106">
        <v>22</v>
      </c>
      <c r="E65" s="107" t="s">
        <v>1828</v>
      </c>
    </row>
    <row r="66" spans="1:8" x14ac:dyDescent="0.3">
      <c r="A66" s="106" t="s">
        <v>2291</v>
      </c>
      <c r="B66" s="106">
        <v>3004307</v>
      </c>
      <c r="C66" s="106" t="s">
        <v>1896</v>
      </c>
      <c r="D66" s="106">
        <v>44</v>
      </c>
      <c r="E66" s="107" t="s">
        <v>1828</v>
      </c>
    </row>
    <row r="67" spans="1:8" x14ac:dyDescent="0.3">
      <c r="A67" s="106" t="s">
        <v>2291</v>
      </c>
      <c r="B67" s="106">
        <v>3004157</v>
      </c>
      <c r="C67" s="106" t="s">
        <v>1897</v>
      </c>
      <c r="D67" s="106">
        <v>17</v>
      </c>
      <c r="E67" s="107" t="s">
        <v>1828</v>
      </c>
    </row>
    <row r="68" spans="1:8" x14ac:dyDescent="0.3">
      <c r="A68" s="106" t="s">
        <v>2291</v>
      </c>
      <c r="B68" s="106">
        <v>3004158</v>
      </c>
      <c r="C68" s="106" t="s">
        <v>1898</v>
      </c>
      <c r="D68" s="106">
        <v>20</v>
      </c>
      <c r="E68" s="107" t="s">
        <v>1828</v>
      </c>
      <c r="H68" s="106" t="s">
        <v>1899</v>
      </c>
    </row>
    <row r="69" spans="1:8" x14ac:dyDescent="0.3">
      <c r="A69" s="106" t="s">
        <v>2291</v>
      </c>
      <c r="B69" s="106">
        <v>3004159</v>
      </c>
      <c r="C69" s="106" t="s">
        <v>1900</v>
      </c>
      <c r="D69" s="106">
        <v>47</v>
      </c>
      <c r="E69" s="107" t="s">
        <v>1828</v>
      </c>
    </row>
    <row r="70" spans="1:8" x14ac:dyDescent="0.3">
      <c r="A70" s="106" t="s">
        <v>2291</v>
      </c>
      <c r="B70" s="106">
        <v>3001922</v>
      </c>
      <c r="C70" s="106" t="s">
        <v>1901</v>
      </c>
      <c r="D70" s="106">
        <v>132</v>
      </c>
      <c r="E70" s="107" t="s">
        <v>1828</v>
      </c>
    </row>
    <row r="71" spans="1:8" x14ac:dyDescent="0.3">
      <c r="A71" s="106" t="s">
        <v>2291</v>
      </c>
      <c r="B71" s="106">
        <v>3002496</v>
      </c>
      <c r="C71" s="106" t="s">
        <v>1902</v>
      </c>
      <c r="D71" s="106">
        <v>28</v>
      </c>
      <c r="E71" s="107" t="s">
        <v>1828</v>
      </c>
    </row>
    <row r="72" spans="1:8" x14ac:dyDescent="0.3">
      <c r="A72" s="106" t="s">
        <v>2291</v>
      </c>
      <c r="B72" s="106">
        <v>3000231</v>
      </c>
      <c r="C72" s="106" t="s">
        <v>1903</v>
      </c>
      <c r="D72" s="106">
        <v>22</v>
      </c>
      <c r="E72" s="107" t="s">
        <v>1828</v>
      </c>
    </row>
    <row r="73" spans="1:8" x14ac:dyDescent="0.3">
      <c r="A73" s="106" t="s">
        <v>2291</v>
      </c>
      <c r="B73" s="106">
        <v>3000563</v>
      </c>
      <c r="C73" s="106" t="s">
        <v>1904</v>
      </c>
      <c r="D73" s="106">
        <v>32</v>
      </c>
      <c r="E73" s="107" t="s">
        <v>1828</v>
      </c>
    </row>
    <row r="74" spans="1:8" x14ac:dyDescent="0.3">
      <c r="A74" s="106" t="s">
        <v>2291</v>
      </c>
      <c r="B74" s="106">
        <v>3000011</v>
      </c>
      <c r="C74" s="106" t="s">
        <v>1905</v>
      </c>
      <c r="D74" s="106">
        <v>136</v>
      </c>
    </row>
    <row r="75" spans="1:8" x14ac:dyDescent="0.3">
      <c r="A75" s="106" t="s">
        <v>2291</v>
      </c>
      <c r="B75" s="106">
        <v>3003978</v>
      </c>
      <c r="C75" s="106" t="s">
        <v>1906</v>
      </c>
      <c r="D75" s="106">
        <v>10</v>
      </c>
    </row>
    <row r="76" spans="1:8" x14ac:dyDescent="0.3">
      <c r="A76" s="106" t="s">
        <v>2291</v>
      </c>
      <c r="B76" s="106">
        <v>3003977</v>
      </c>
      <c r="C76" s="106" t="s">
        <v>1907</v>
      </c>
      <c r="D76" s="106">
        <v>28</v>
      </c>
    </row>
    <row r="77" spans="1:8" x14ac:dyDescent="0.3">
      <c r="A77" s="106" t="s">
        <v>2291</v>
      </c>
      <c r="B77" s="106">
        <v>3000012</v>
      </c>
      <c r="C77" s="106" t="s">
        <v>1908</v>
      </c>
      <c r="D77" s="106">
        <v>96</v>
      </c>
    </row>
    <row r="78" spans="1:8" x14ac:dyDescent="0.3">
      <c r="A78" s="106" t="s">
        <v>2291</v>
      </c>
      <c r="B78" s="106">
        <v>3004422</v>
      </c>
      <c r="C78" s="106" t="s">
        <v>1909</v>
      </c>
      <c r="D78" s="106">
        <v>5</v>
      </c>
    </row>
    <row r="79" spans="1:8" x14ac:dyDescent="0.3">
      <c r="A79" s="106" t="s">
        <v>2291</v>
      </c>
      <c r="B79" s="106">
        <v>3004421</v>
      </c>
      <c r="C79" s="106" t="s">
        <v>1910</v>
      </c>
      <c r="D79" s="106">
        <v>7</v>
      </c>
    </row>
    <row r="80" spans="1:8" x14ac:dyDescent="0.3">
      <c r="A80" s="106" t="s">
        <v>2291</v>
      </c>
      <c r="B80" s="106">
        <v>3004418</v>
      </c>
      <c r="C80" s="106" t="s">
        <v>1911</v>
      </c>
      <c r="D80" s="106">
        <v>35</v>
      </c>
    </row>
    <row r="81" spans="1:6" x14ac:dyDescent="0.3">
      <c r="A81" s="106" t="s">
        <v>2291</v>
      </c>
      <c r="B81" s="106">
        <v>3004423</v>
      </c>
      <c r="C81" s="106" t="s">
        <v>1912</v>
      </c>
      <c r="D81" s="106">
        <v>11</v>
      </c>
    </row>
    <row r="82" spans="1:6" x14ac:dyDescent="0.3">
      <c r="A82" s="106" t="s">
        <v>2291</v>
      </c>
      <c r="B82" s="106">
        <v>3004424</v>
      </c>
      <c r="C82" s="106" t="s">
        <v>1913</v>
      </c>
      <c r="D82" s="106">
        <v>47</v>
      </c>
    </row>
    <row r="83" spans="1:6" x14ac:dyDescent="0.3">
      <c r="A83" s="106" t="s">
        <v>2291</v>
      </c>
      <c r="B83" s="106">
        <v>3004425</v>
      </c>
      <c r="C83" s="106" t="s">
        <v>1914</v>
      </c>
      <c r="D83" s="106">
        <v>22</v>
      </c>
    </row>
    <row r="84" spans="1:6" x14ac:dyDescent="0.3">
      <c r="A84" s="106" t="s">
        <v>2291</v>
      </c>
      <c r="B84" s="106">
        <v>3000896</v>
      </c>
      <c r="C84" s="106" t="s">
        <v>1915</v>
      </c>
      <c r="D84" s="106">
        <v>7</v>
      </c>
      <c r="E84" s="107" t="s">
        <v>1828</v>
      </c>
    </row>
    <row r="85" spans="1:6" x14ac:dyDescent="0.3">
      <c r="A85" s="106" t="s">
        <v>2291</v>
      </c>
      <c r="B85" s="106">
        <v>3000014</v>
      </c>
      <c r="C85" s="106" t="s">
        <v>1916</v>
      </c>
      <c r="D85" s="106">
        <v>30</v>
      </c>
      <c r="E85" s="107" t="s">
        <v>1828</v>
      </c>
    </row>
    <row r="86" spans="1:6" x14ac:dyDescent="0.3">
      <c r="A86" s="106" t="s">
        <v>2291</v>
      </c>
      <c r="B86" s="106">
        <v>3000600</v>
      </c>
      <c r="C86" s="106" t="s">
        <v>1917</v>
      </c>
      <c r="D86" s="106">
        <v>28</v>
      </c>
      <c r="E86" s="107" t="s">
        <v>1828</v>
      </c>
    </row>
    <row r="87" spans="1:6" x14ac:dyDescent="0.3">
      <c r="A87" s="106" t="s">
        <v>2291</v>
      </c>
      <c r="B87" s="106">
        <v>3001262</v>
      </c>
      <c r="C87" s="106" t="s">
        <v>1918</v>
      </c>
      <c r="D87" s="106">
        <v>37</v>
      </c>
      <c r="E87" s="107" t="s">
        <v>1828</v>
      </c>
    </row>
    <row r="88" spans="1:6" x14ac:dyDescent="0.3">
      <c r="A88" s="106" t="s">
        <v>2291</v>
      </c>
      <c r="B88" s="106">
        <v>3003839</v>
      </c>
      <c r="C88" s="106" t="s">
        <v>1919</v>
      </c>
      <c r="D88" s="106">
        <v>23</v>
      </c>
      <c r="F88" s="107" t="s">
        <v>1828</v>
      </c>
    </row>
    <row r="89" spans="1:6" x14ac:dyDescent="0.3">
      <c r="A89" s="106" t="s">
        <v>2291</v>
      </c>
      <c r="B89" s="106">
        <v>3003840</v>
      </c>
      <c r="C89" s="106" t="s">
        <v>1920</v>
      </c>
      <c r="D89" s="106">
        <v>16</v>
      </c>
      <c r="F89" s="107" t="s">
        <v>1828</v>
      </c>
    </row>
    <row r="90" spans="1:6" x14ac:dyDescent="0.3">
      <c r="A90" s="106" t="s">
        <v>2291</v>
      </c>
      <c r="B90" s="106">
        <v>3003100</v>
      </c>
      <c r="C90" s="106" t="s">
        <v>1921</v>
      </c>
      <c r="D90" s="106">
        <v>112</v>
      </c>
    </row>
    <row r="91" spans="1:6" x14ac:dyDescent="0.3">
      <c r="A91" s="106" t="s">
        <v>2291</v>
      </c>
      <c r="B91" s="106">
        <v>3000050</v>
      </c>
      <c r="C91" s="106" t="s">
        <v>1922</v>
      </c>
      <c r="D91" s="106">
        <v>43</v>
      </c>
      <c r="E91" s="107" t="s">
        <v>1828</v>
      </c>
    </row>
    <row r="92" spans="1:6" x14ac:dyDescent="0.3">
      <c r="A92" s="106" t="s">
        <v>2291</v>
      </c>
      <c r="B92" s="106">
        <v>3003862</v>
      </c>
      <c r="C92" s="106" t="s">
        <v>1923</v>
      </c>
      <c r="D92" s="106">
        <v>1</v>
      </c>
      <c r="E92" s="107" t="s">
        <v>1828</v>
      </c>
    </row>
    <row r="93" spans="1:6" x14ac:dyDescent="0.3">
      <c r="A93" s="106" t="s">
        <v>2291</v>
      </c>
      <c r="B93" s="106">
        <v>3001622</v>
      </c>
      <c r="C93" s="106" t="s">
        <v>1924</v>
      </c>
      <c r="D93" s="106">
        <v>59</v>
      </c>
    </row>
    <row r="94" spans="1:6" x14ac:dyDescent="0.3">
      <c r="A94" s="106" t="s">
        <v>2291</v>
      </c>
      <c r="B94" s="106">
        <v>3004631</v>
      </c>
      <c r="C94" s="106" t="s">
        <v>1925</v>
      </c>
      <c r="D94" s="106">
        <v>28</v>
      </c>
    </row>
    <row r="95" spans="1:6" x14ac:dyDescent="0.3">
      <c r="A95" s="106" t="s">
        <v>2291</v>
      </c>
      <c r="B95" s="106">
        <v>3002940</v>
      </c>
      <c r="C95" s="106" t="s">
        <v>1926</v>
      </c>
      <c r="D95" s="106">
        <v>31</v>
      </c>
      <c r="E95" s="107" t="s">
        <v>1828</v>
      </c>
    </row>
    <row r="96" spans="1:6" x14ac:dyDescent="0.3">
      <c r="A96" s="106" t="s">
        <v>2291</v>
      </c>
      <c r="B96" s="106">
        <v>3000835</v>
      </c>
      <c r="C96" s="106" t="s">
        <v>1927</v>
      </c>
      <c r="D96" s="106">
        <v>30</v>
      </c>
    </row>
    <row r="97" spans="1:6" x14ac:dyDescent="0.3">
      <c r="A97" s="106" t="s">
        <v>2291</v>
      </c>
      <c r="B97" s="106">
        <v>3004092</v>
      </c>
      <c r="C97" s="106" t="s">
        <v>1928</v>
      </c>
      <c r="D97" s="106">
        <v>8</v>
      </c>
    </row>
    <row r="98" spans="1:6" x14ac:dyDescent="0.3">
      <c r="A98" s="106" t="s">
        <v>2291</v>
      </c>
      <c r="B98" s="106">
        <v>3004094</v>
      </c>
      <c r="C98" s="106" t="s">
        <v>1929</v>
      </c>
      <c r="D98" s="106">
        <v>3</v>
      </c>
    </row>
    <row r="99" spans="1:6" x14ac:dyDescent="0.3">
      <c r="A99" s="106" t="s">
        <v>2291</v>
      </c>
      <c r="B99" s="106">
        <v>3004302</v>
      </c>
      <c r="C99" s="106" t="s">
        <v>1930</v>
      </c>
      <c r="D99" s="106">
        <v>2</v>
      </c>
    </row>
    <row r="100" spans="1:6" x14ac:dyDescent="0.3">
      <c r="A100" s="106" t="s">
        <v>2291</v>
      </c>
      <c r="B100" s="106">
        <v>3004093</v>
      </c>
      <c r="C100" s="106" t="s">
        <v>1931</v>
      </c>
      <c r="D100" s="106">
        <v>5</v>
      </c>
    </row>
    <row r="101" spans="1:6" x14ac:dyDescent="0.3">
      <c r="A101" s="106" t="s">
        <v>2291</v>
      </c>
      <c r="B101" s="106">
        <v>3004090</v>
      </c>
      <c r="C101" s="106" t="s">
        <v>1932</v>
      </c>
      <c r="D101" s="106">
        <v>16</v>
      </c>
    </row>
    <row r="102" spans="1:6" x14ac:dyDescent="0.3">
      <c r="A102" s="106" t="s">
        <v>2291</v>
      </c>
      <c r="B102" s="106">
        <v>3004095</v>
      </c>
      <c r="C102" s="106" t="s">
        <v>1933</v>
      </c>
      <c r="D102" s="106">
        <v>4</v>
      </c>
    </row>
    <row r="103" spans="1:6" x14ac:dyDescent="0.3">
      <c r="A103" s="106" t="s">
        <v>2291</v>
      </c>
      <c r="B103" s="106">
        <v>3004091</v>
      </c>
      <c r="C103" s="106" t="s">
        <v>1934</v>
      </c>
      <c r="D103" s="106">
        <v>20</v>
      </c>
    </row>
    <row r="104" spans="1:6" x14ac:dyDescent="0.3">
      <c r="A104" s="106" t="s">
        <v>2291</v>
      </c>
      <c r="B104" s="106">
        <v>3004452</v>
      </c>
      <c r="C104" s="106" t="s">
        <v>1935</v>
      </c>
      <c r="D104" s="106">
        <v>1</v>
      </c>
    </row>
    <row r="105" spans="1:6" x14ac:dyDescent="0.3">
      <c r="A105" s="106" t="s">
        <v>2291</v>
      </c>
      <c r="B105" s="106">
        <v>3001329</v>
      </c>
      <c r="C105" s="106" t="s">
        <v>1936</v>
      </c>
      <c r="D105" s="106">
        <v>35</v>
      </c>
      <c r="E105" s="107" t="s">
        <v>1828</v>
      </c>
    </row>
    <row r="106" spans="1:6" x14ac:dyDescent="0.3">
      <c r="A106" s="106" t="s">
        <v>2291</v>
      </c>
      <c r="B106" s="106">
        <v>3000827</v>
      </c>
      <c r="C106" s="106" t="s">
        <v>1937</v>
      </c>
      <c r="D106" s="106">
        <v>6</v>
      </c>
      <c r="E106" s="107" t="s">
        <v>1828</v>
      </c>
    </row>
    <row r="107" spans="1:6" x14ac:dyDescent="0.3">
      <c r="A107" s="106" t="s">
        <v>2291</v>
      </c>
      <c r="B107" s="106">
        <v>3001033</v>
      </c>
      <c r="C107" s="106" t="s">
        <v>1938</v>
      </c>
      <c r="D107" s="106">
        <v>23</v>
      </c>
    </row>
    <row r="108" spans="1:6" x14ac:dyDescent="0.3">
      <c r="A108" s="106" t="s">
        <v>2291</v>
      </c>
      <c r="B108" s="106">
        <v>3000139</v>
      </c>
      <c r="C108" s="106" t="s">
        <v>1939</v>
      </c>
      <c r="D108" s="106">
        <v>5</v>
      </c>
    </row>
    <row r="109" spans="1:6" x14ac:dyDescent="0.3">
      <c r="A109" s="106" t="s">
        <v>2291</v>
      </c>
      <c r="B109" s="106">
        <v>3000349</v>
      </c>
      <c r="C109" s="106" t="s">
        <v>1940</v>
      </c>
      <c r="D109" s="106">
        <v>21</v>
      </c>
      <c r="F109" s="107" t="s">
        <v>1828</v>
      </c>
    </row>
    <row r="110" spans="1:6" x14ac:dyDescent="0.3">
      <c r="A110" s="106" t="s">
        <v>2291</v>
      </c>
      <c r="B110" s="106">
        <v>3000141</v>
      </c>
      <c r="C110" s="106" t="s">
        <v>1941</v>
      </c>
      <c r="D110" s="106">
        <v>40</v>
      </c>
      <c r="E110" s="107" t="s">
        <v>1828</v>
      </c>
    </row>
    <row r="111" spans="1:6" x14ac:dyDescent="0.3">
      <c r="A111" s="106" t="s">
        <v>2291</v>
      </c>
      <c r="B111" s="106">
        <v>3000525</v>
      </c>
      <c r="C111" s="106" t="s">
        <v>1942</v>
      </c>
      <c r="D111" s="106">
        <v>24</v>
      </c>
      <c r="E111" s="107" t="s">
        <v>1828</v>
      </c>
    </row>
    <row r="112" spans="1:6" x14ac:dyDescent="0.3">
      <c r="A112" s="106" t="s">
        <v>2291</v>
      </c>
      <c r="B112" s="106">
        <v>3000394</v>
      </c>
      <c r="C112" s="106" t="s">
        <v>1943</v>
      </c>
      <c r="D112" s="106">
        <v>23</v>
      </c>
    </row>
    <row r="113" spans="1:5" x14ac:dyDescent="0.3">
      <c r="A113" s="106" t="s">
        <v>2291</v>
      </c>
      <c r="B113" s="106">
        <v>3001162</v>
      </c>
      <c r="C113" s="106" t="s">
        <v>1944</v>
      </c>
      <c r="D113" s="106">
        <v>22</v>
      </c>
    </row>
    <row r="114" spans="1:5" x14ac:dyDescent="0.3">
      <c r="A114" s="106" t="s">
        <v>2291</v>
      </c>
      <c r="B114" s="106">
        <v>3000269</v>
      </c>
      <c r="C114" s="106" t="s">
        <v>1945</v>
      </c>
      <c r="D114" s="106">
        <v>17</v>
      </c>
    </row>
    <row r="115" spans="1:5" x14ac:dyDescent="0.3">
      <c r="A115" s="106" t="s">
        <v>2291</v>
      </c>
      <c r="B115" s="106">
        <v>3004571</v>
      </c>
      <c r="C115" s="106" t="s">
        <v>1946</v>
      </c>
      <c r="D115" s="106">
        <v>20</v>
      </c>
    </row>
    <row r="116" spans="1:5" x14ac:dyDescent="0.3">
      <c r="A116" s="106" t="s">
        <v>2291</v>
      </c>
      <c r="B116" s="106">
        <v>3004197</v>
      </c>
      <c r="C116" s="106" t="s">
        <v>1947</v>
      </c>
      <c r="D116" s="106">
        <v>23</v>
      </c>
      <c r="E116" s="107" t="s">
        <v>1828</v>
      </c>
    </row>
    <row r="117" spans="1:5" x14ac:dyDescent="0.3">
      <c r="A117" s="106" t="s">
        <v>2291</v>
      </c>
      <c r="B117" s="106">
        <v>3004198</v>
      </c>
      <c r="C117" s="106" t="s">
        <v>1948</v>
      </c>
      <c r="D117" s="106">
        <v>44</v>
      </c>
      <c r="E117" s="107" t="s">
        <v>1828</v>
      </c>
    </row>
    <row r="118" spans="1:5" x14ac:dyDescent="0.3">
      <c r="A118" s="106" t="s">
        <v>2291</v>
      </c>
      <c r="B118" s="106">
        <v>3004309</v>
      </c>
      <c r="C118" s="106" t="s">
        <v>1949</v>
      </c>
      <c r="D118" s="106">
        <v>88</v>
      </c>
      <c r="E118" s="107" t="s">
        <v>1828</v>
      </c>
    </row>
    <row r="119" spans="1:5" x14ac:dyDescent="0.3">
      <c r="A119" s="106" t="s">
        <v>2291</v>
      </c>
      <c r="B119" s="106">
        <v>3004199</v>
      </c>
      <c r="C119" s="106" t="s">
        <v>1950</v>
      </c>
      <c r="D119" s="106">
        <v>41</v>
      </c>
      <c r="E119" s="107" t="s">
        <v>1828</v>
      </c>
    </row>
    <row r="120" spans="1:5" x14ac:dyDescent="0.3">
      <c r="A120" s="106" t="s">
        <v>2291</v>
      </c>
      <c r="B120" s="106">
        <v>3004200</v>
      </c>
      <c r="C120" s="106" t="s">
        <v>1951</v>
      </c>
      <c r="D120" s="106">
        <v>71</v>
      </c>
      <c r="E120" s="107" t="s">
        <v>1828</v>
      </c>
    </row>
    <row r="121" spans="1:5" x14ac:dyDescent="0.3">
      <c r="A121" s="106" t="s">
        <v>2291</v>
      </c>
      <c r="B121" s="106">
        <v>3004201</v>
      </c>
      <c r="C121" s="106" t="s">
        <v>1952</v>
      </c>
      <c r="D121" s="106">
        <v>76</v>
      </c>
      <c r="E121" s="107" t="s">
        <v>1828</v>
      </c>
    </row>
    <row r="122" spans="1:5" x14ac:dyDescent="0.3">
      <c r="A122" s="106" t="s">
        <v>2291</v>
      </c>
      <c r="B122" s="106">
        <v>3004202</v>
      </c>
      <c r="C122" s="106" t="s">
        <v>1953</v>
      </c>
      <c r="D122" s="106">
        <v>4</v>
      </c>
      <c r="E122" s="107" t="s">
        <v>1828</v>
      </c>
    </row>
    <row r="123" spans="1:5" x14ac:dyDescent="0.3">
      <c r="A123" s="106" t="s">
        <v>2291</v>
      </c>
      <c r="B123" s="106">
        <v>3001327</v>
      </c>
      <c r="C123" s="106" t="s">
        <v>1954</v>
      </c>
      <c r="D123" s="106">
        <v>6</v>
      </c>
      <c r="E123" s="107" t="s">
        <v>1828</v>
      </c>
    </row>
    <row r="124" spans="1:5" x14ac:dyDescent="0.3">
      <c r="A124" s="106" t="s">
        <v>2291</v>
      </c>
      <c r="B124" s="106">
        <v>3000147</v>
      </c>
      <c r="C124" s="106" t="s">
        <v>1955</v>
      </c>
      <c r="D124" s="106">
        <v>72</v>
      </c>
      <c r="E124" s="107" t="s">
        <v>1828</v>
      </c>
    </row>
    <row r="125" spans="1:5" x14ac:dyDescent="0.3">
      <c r="A125" s="106" t="s">
        <v>2291</v>
      </c>
      <c r="B125" s="106">
        <v>3000415</v>
      </c>
      <c r="C125" s="106" t="s">
        <v>1956</v>
      </c>
      <c r="D125" s="106">
        <v>19</v>
      </c>
      <c r="E125" s="107" t="s">
        <v>1828</v>
      </c>
    </row>
    <row r="126" spans="1:5" x14ac:dyDescent="0.3">
      <c r="A126" s="106" t="s">
        <v>2291</v>
      </c>
      <c r="B126" s="106">
        <v>3000798</v>
      </c>
      <c r="C126" s="106" t="s">
        <v>1957</v>
      </c>
      <c r="D126" s="106">
        <v>14</v>
      </c>
    </row>
    <row r="127" spans="1:5" x14ac:dyDescent="0.3">
      <c r="A127" s="106" t="s">
        <v>2291</v>
      </c>
      <c r="B127" s="106">
        <v>3000142</v>
      </c>
      <c r="C127" s="106" t="s">
        <v>1958</v>
      </c>
      <c r="D127" s="106">
        <v>17</v>
      </c>
    </row>
    <row r="128" spans="1:5" x14ac:dyDescent="0.3">
      <c r="A128" s="106" t="s">
        <v>2291</v>
      </c>
      <c r="B128" s="106">
        <v>3000389</v>
      </c>
      <c r="C128" s="106" t="s">
        <v>1959</v>
      </c>
      <c r="D128" s="106">
        <v>18</v>
      </c>
    </row>
    <row r="129" spans="1:8" x14ac:dyDescent="0.3">
      <c r="A129" s="106" t="s">
        <v>2291</v>
      </c>
      <c r="B129" s="106">
        <v>3000144</v>
      </c>
      <c r="C129" s="106" t="s">
        <v>1960</v>
      </c>
      <c r="D129" s="106">
        <v>47</v>
      </c>
      <c r="E129" s="107" t="s">
        <v>1828</v>
      </c>
    </row>
    <row r="130" spans="1:8" x14ac:dyDescent="0.3">
      <c r="A130" s="106" t="s">
        <v>2291</v>
      </c>
      <c r="B130" s="106">
        <v>3000090</v>
      </c>
      <c r="C130" s="106" t="s">
        <v>1961</v>
      </c>
      <c r="D130" s="106">
        <v>29</v>
      </c>
      <c r="E130" s="107" t="s">
        <v>1828</v>
      </c>
    </row>
    <row r="131" spans="1:8" x14ac:dyDescent="0.3">
      <c r="A131" s="106" t="s">
        <v>2291</v>
      </c>
      <c r="B131" s="106">
        <v>3001324</v>
      </c>
      <c r="C131" s="106" t="s">
        <v>1962</v>
      </c>
      <c r="D131" s="106">
        <v>406</v>
      </c>
      <c r="E131" s="107" t="s">
        <v>1828</v>
      </c>
      <c r="H131" s="106" t="s">
        <v>1963</v>
      </c>
    </row>
    <row r="132" spans="1:8" x14ac:dyDescent="0.3">
      <c r="A132" s="106" t="s">
        <v>2291</v>
      </c>
      <c r="B132" s="106">
        <v>3000312</v>
      </c>
      <c r="C132" s="106" t="s">
        <v>1964</v>
      </c>
      <c r="D132" s="106">
        <v>900</v>
      </c>
      <c r="E132" s="107" t="s">
        <v>1828</v>
      </c>
    </row>
    <row r="133" spans="1:8" x14ac:dyDescent="0.3">
      <c r="A133" s="106" t="s">
        <v>2291</v>
      </c>
      <c r="B133" s="106">
        <v>3004112</v>
      </c>
      <c r="C133" s="106" t="s">
        <v>1965</v>
      </c>
      <c r="D133" s="106">
        <v>29</v>
      </c>
      <c r="E133" s="107" t="s">
        <v>1828</v>
      </c>
    </row>
    <row r="134" spans="1:8" x14ac:dyDescent="0.3">
      <c r="A134" s="106" t="s">
        <v>2291</v>
      </c>
      <c r="B134" s="106">
        <v>3000428</v>
      </c>
      <c r="C134" s="106" t="s">
        <v>1966</v>
      </c>
      <c r="D134" s="106">
        <v>30</v>
      </c>
    </row>
    <row r="135" spans="1:8" x14ac:dyDescent="0.3">
      <c r="A135" s="106" t="s">
        <v>2291</v>
      </c>
      <c r="B135" s="106">
        <v>3004354</v>
      </c>
      <c r="C135" s="106" t="s">
        <v>1967</v>
      </c>
      <c r="D135" s="106">
        <v>5</v>
      </c>
    </row>
    <row r="136" spans="1:8" x14ac:dyDescent="0.3">
      <c r="A136" s="106" t="s">
        <v>2291</v>
      </c>
      <c r="B136" s="106">
        <v>3004355</v>
      </c>
      <c r="C136" s="106" t="s">
        <v>1968</v>
      </c>
      <c r="D136" s="106">
        <v>21</v>
      </c>
    </row>
    <row r="137" spans="1:8" x14ac:dyDescent="0.3">
      <c r="A137" s="106" t="s">
        <v>2291</v>
      </c>
      <c r="B137" s="106">
        <v>3004352</v>
      </c>
      <c r="C137" s="106" t="s">
        <v>1969</v>
      </c>
      <c r="D137" s="106">
        <v>2</v>
      </c>
    </row>
    <row r="138" spans="1:8" x14ac:dyDescent="0.3">
      <c r="A138" s="106" t="s">
        <v>2291</v>
      </c>
      <c r="B138" s="106">
        <v>3000146</v>
      </c>
      <c r="C138" s="106" t="s">
        <v>1970</v>
      </c>
      <c r="D138" s="106">
        <v>61</v>
      </c>
    </row>
    <row r="139" spans="1:8" x14ac:dyDescent="0.3">
      <c r="A139" s="106" t="s">
        <v>2291</v>
      </c>
      <c r="B139" s="106">
        <v>3004353</v>
      </c>
      <c r="C139" s="106" t="s">
        <v>1971</v>
      </c>
      <c r="D139" s="106">
        <v>13</v>
      </c>
    </row>
    <row r="140" spans="1:8" x14ac:dyDescent="0.3">
      <c r="A140" s="106" t="s">
        <v>2291</v>
      </c>
      <c r="B140" s="106">
        <v>3004351</v>
      </c>
      <c r="C140" s="106" t="s">
        <v>1972</v>
      </c>
      <c r="D140" s="106">
        <v>18</v>
      </c>
    </row>
    <row r="141" spans="1:8" x14ac:dyDescent="0.3">
      <c r="A141" s="106" t="s">
        <v>2291</v>
      </c>
      <c r="B141" s="106">
        <v>3004397</v>
      </c>
      <c r="C141" s="106" t="s">
        <v>1973</v>
      </c>
      <c r="D141" s="106">
        <v>34</v>
      </c>
      <c r="E141" s="107" t="s">
        <v>1828</v>
      </c>
    </row>
    <row r="142" spans="1:8" x14ac:dyDescent="0.3">
      <c r="A142" s="106" t="s">
        <v>2291</v>
      </c>
      <c r="B142" s="106">
        <v>3000148</v>
      </c>
      <c r="C142" s="106" t="s">
        <v>1974</v>
      </c>
      <c r="D142" s="106">
        <v>111</v>
      </c>
      <c r="E142" s="107" t="s">
        <v>1828</v>
      </c>
    </row>
    <row r="143" spans="1:8" x14ac:dyDescent="0.3">
      <c r="A143" s="106" t="s">
        <v>2291</v>
      </c>
      <c r="B143" s="106">
        <v>3000176</v>
      </c>
      <c r="C143" s="106" t="s">
        <v>1975</v>
      </c>
      <c r="D143" s="106">
        <v>41</v>
      </c>
      <c r="E143" s="107" t="s">
        <v>1828</v>
      </c>
    </row>
    <row r="144" spans="1:8" x14ac:dyDescent="0.3">
      <c r="A144" s="106" t="s">
        <v>2291</v>
      </c>
      <c r="B144" s="106">
        <v>3000023</v>
      </c>
      <c r="C144" s="106" t="s">
        <v>1976</v>
      </c>
      <c r="D144" s="106">
        <v>74</v>
      </c>
      <c r="E144" s="107" t="s">
        <v>1828</v>
      </c>
    </row>
    <row r="145" spans="1:8" x14ac:dyDescent="0.3">
      <c r="A145" s="106" t="s">
        <v>2291</v>
      </c>
      <c r="B145" s="106">
        <v>3000699</v>
      </c>
      <c r="C145" s="106" t="s">
        <v>1977</v>
      </c>
      <c r="D145" s="106">
        <v>11</v>
      </c>
      <c r="E145" s="107" t="s">
        <v>1828</v>
      </c>
    </row>
    <row r="146" spans="1:8" x14ac:dyDescent="0.3">
      <c r="A146" s="106" t="s">
        <v>2291</v>
      </c>
      <c r="B146" s="106">
        <v>3001796</v>
      </c>
      <c r="C146" s="106" t="s">
        <v>1978</v>
      </c>
      <c r="D146" s="106">
        <v>287</v>
      </c>
      <c r="E146" s="107" t="s">
        <v>1828</v>
      </c>
      <c r="H146" s="106" t="s">
        <v>1979</v>
      </c>
    </row>
    <row r="147" spans="1:8" x14ac:dyDescent="0.3">
      <c r="A147" s="106" t="s">
        <v>2291</v>
      </c>
      <c r="B147" s="106">
        <v>3003353</v>
      </c>
      <c r="C147" s="106" t="s">
        <v>1980</v>
      </c>
      <c r="D147" s="106">
        <v>10</v>
      </c>
    </row>
    <row r="148" spans="1:8" x14ac:dyDescent="0.3">
      <c r="A148" s="106" t="s">
        <v>2291</v>
      </c>
      <c r="B148" s="106">
        <v>3002061</v>
      </c>
      <c r="C148" s="106" t="s">
        <v>1981</v>
      </c>
      <c r="D148" s="106">
        <v>70</v>
      </c>
    </row>
    <row r="149" spans="1:8" x14ac:dyDescent="0.3">
      <c r="A149" s="106" t="s">
        <v>2291</v>
      </c>
      <c r="B149" s="106">
        <v>3002351</v>
      </c>
      <c r="C149" s="106" t="s">
        <v>1982</v>
      </c>
      <c r="D149" s="106">
        <v>28</v>
      </c>
    </row>
    <row r="150" spans="1:8" x14ac:dyDescent="0.3">
      <c r="A150" s="106" t="s">
        <v>2291</v>
      </c>
      <c r="B150" s="106">
        <v>3001287</v>
      </c>
      <c r="C150" s="106" t="s">
        <v>1983</v>
      </c>
      <c r="D150" s="106">
        <v>7</v>
      </c>
    </row>
    <row r="151" spans="1:8" x14ac:dyDescent="0.3">
      <c r="A151" s="106" t="s">
        <v>2291</v>
      </c>
      <c r="B151" s="106">
        <v>3000140</v>
      </c>
      <c r="C151" s="106" t="s">
        <v>1984</v>
      </c>
      <c r="D151" s="106">
        <v>34</v>
      </c>
    </row>
    <row r="152" spans="1:8" x14ac:dyDescent="0.3">
      <c r="A152" s="106" t="s">
        <v>2291</v>
      </c>
      <c r="B152" s="106">
        <v>3000388</v>
      </c>
      <c r="C152" s="106" t="s">
        <v>1985</v>
      </c>
      <c r="D152" s="106">
        <v>42</v>
      </c>
    </row>
    <row r="153" spans="1:8" x14ac:dyDescent="0.3">
      <c r="A153" s="106" t="s">
        <v>2291</v>
      </c>
      <c r="B153" s="106">
        <v>3000818</v>
      </c>
      <c r="C153" s="106" t="s">
        <v>1986</v>
      </c>
      <c r="D153" s="106">
        <v>29</v>
      </c>
    </row>
    <row r="154" spans="1:8" x14ac:dyDescent="0.3">
      <c r="A154" s="106" t="s">
        <v>2291</v>
      </c>
      <c r="B154" s="106">
        <v>3000982</v>
      </c>
      <c r="C154" s="106" t="s">
        <v>1987</v>
      </c>
      <c r="D154" s="106">
        <v>54</v>
      </c>
      <c r="E154" s="107" t="s">
        <v>1828</v>
      </c>
    </row>
    <row r="155" spans="1:8" x14ac:dyDescent="0.3">
      <c r="A155" s="106" t="s">
        <v>2291</v>
      </c>
      <c r="B155" s="106">
        <v>3003863</v>
      </c>
      <c r="C155" s="106" t="s">
        <v>1988</v>
      </c>
      <c r="D155" s="106">
        <v>11</v>
      </c>
      <c r="E155" s="107" t="s">
        <v>1828</v>
      </c>
    </row>
    <row r="156" spans="1:8" x14ac:dyDescent="0.3">
      <c r="A156" s="106" t="s">
        <v>2291</v>
      </c>
      <c r="B156" s="106">
        <v>3000150</v>
      </c>
      <c r="C156" s="106" t="s">
        <v>1989</v>
      </c>
      <c r="D156" s="106">
        <v>24</v>
      </c>
    </row>
    <row r="157" spans="1:8" x14ac:dyDescent="0.3">
      <c r="A157" s="106" t="s">
        <v>2291</v>
      </c>
      <c r="B157" s="106">
        <v>3000412</v>
      </c>
      <c r="C157" s="106" t="s">
        <v>1990</v>
      </c>
      <c r="D157" s="106">
        <v>9</v>
      </c>
    </row>
    <row r="158" spans="1:8" x14ac:dyDescent="0.3">
      <c r="A158" s="106" t="s">
        <v>2291</v>
      </c>
      <c r="B158" s="106">
        <v>3000161</v>
      </c>
      <c r="C158" s="106" t="s">
        <v>1991</v>
      </c>
      <c r="D158" s="106">
        <v>71</v>
      </c>
      <c r="E158" s="107" t="s">
        <v>1828</v>
      </c>
    </row>
    <row r="159" spans="1:8" x14ac:dyDescent="0.3">
      <c r="A159" s="106" t="s">
        <v>2291</v>
      </c>
      <c r="B159" s="106">
        <v>3002140</v>
      </c>
      <c r="C159" s="106" t="s">
        <v>1992</v>
      </c>
      <c r="D159" s="106">
        <v>3</v>
      </c>
    </row>
    <row r="160" spans="1:8" x14ac:dyDescent="0.3">
      <c r="A160" s="106" t="s">
        <v>2291</v>
      </c>
      <c r="B160" s="106">
        <v>3001026</v>
      </c>
      <c r="C160" s="106" t="s">
        <v>1993</v>
      </c>
      <c r="D160" s="106">
        <v>47</v>
      </c>
    </row>
    <row r="161" spans="1:8" x14ac:dyDescent="0.3">
      <c r="A161" s="106" t="s">
        <v>2291</v>
      </c>
      <c r="B161" s="106">
        <v>3001252</v>
      </c>
      <c r="C161" s="106" t="s">
        <v>1994</v>
      </c>
      <c r="D161" s="106">
        <v>20</v>
      </c>
    </row>
    <row r="162" spans="1:8" x14ac:dyDescent="0.3">
      <c r="A162" s="106" t="s">
        <v>2291</v>
      </c>
      <c r="B162" s="106">
        <v>3001447</v>
      </c>
      <c r="C162" s="106" t="s">
        <v>1995</v>
      </c>
      <c r="D162" s="106">
        <v>13</v>
      </c>
    </row>
    <row r="163" spans="1:8" x14ac:dyDescent="0.3">
      <c r="A163" s="106" t="s">
        <v>2291</v>
      </c>
      <c r="B163" s="106">
        <v>3003993</v>
      </c>
      <c r="C163" s="106" t="s">
        <v>1996</v>
      </c>
      <c r="D163" s="106">
        <v>34</v>
      </c>
      <c r="E163" s="107" t="s">
        <v>1828</v>
      </c>
    </row>
    <row r="164" spans="1:8" x14ac:dyDescent="0.3">
      <c r="A164" s="106" t="s">
        <v>2291</v>
      </c>
      <c r="B164" s="106">
        <v>3000586</v>
      </c>
      <c r="C164" s="106" t="s">
        <v>1997</v>
      </c>
      <c r="D164" s="106">
        <v>19</v>
      </c>
      <c r="E164" s="107" t="s">
        <v>1828</v>
      </c>
    </row>
    <row r="165" spans="1:8" x14ac:dyDescent="0.3">
      <c r="A165" s="106" t="s">
        <v>2291</v>
      </c>
      <c r="B165" s="106">
        <v>3003315</v>
      </c>
      <c r="C165" s="106" t="s">
        <v>1998</v>
      </c>
      <c r="D165" s="106">
        <v>54</v>
      </c>
    </row>
    <row r="166" spans="1:8" x14ac:dyDescent="0.3">
      <c r="A166" s="106" t="s">
        <v>2291</v>
      </c>
      <c r="B166" s="106">
        <v>3000152</v>
      </c>
      <c r="C166" s="106" t="s">
        <v>1999</v>
      </c>
      <c r="D166" s="106">
        <v>127</v>
      </c>
      <c r="F166" s="107" t="s">
        <v>1828</v>
      </c>
      <c r="H166" s="106" t="s">
        <v>2000</v>
      </c>
    </row>
    <row r="167" spans="1:8" x14ac:dyDescent="0.3">
      <c r="A167" s="106" t="s">
        <v>2291</v>
      </c>
      <c r="B167" s="106">
        <v>3000698</v>
      </c>
      <c r="C167" s="106" t="s">
        <v>2001</v>
      </c>
      <c r="D167" s="106">
        <v>1</v>
      </c>
      <c r="F167" s="107" t="s">
        <v>1828</v>
      </c>
    </row>
    <row r="168" spans="1:8" x14ac:dyDescent="0.3">
      <c r="A168" s="106" t="s">
        <v>2291</v>
      </c>
      <c r="B168" s="106">
        <v>3004253</v>
      </c>
      <c r="C168" s="106" t="s">
        <v>2002</v>
      </c>
      <c r="D168" s="106">
        <v>5</v>
      </c>
      <c r="F168" s="107" t="s">
        <v>1828</v>
      </c>
    </row>
    <row r="169" spans="1:8" x14ac:dyDescent="0.3">
      <c r="A169" s="106" t="s">
        <v>2291</v>
      </c>
      <c r="B169" s="106">
        <v>3004248</v>
      </c>
      <c r="C169" s="106" t="s">
        <v>2003</v>
      </c>
      <c r="D169" s="106">
        <v>30</v>
      </c>
      <c r="F169" s="107" t="s">
        <v>1828</v>
      </c>
    </row>
    <row r="170" spans="1:8" x14ac:dyDescent="0.3">
      <c r="A170" s="106" t="s">
        <v>2291</v>
      </c>
      <c r="B170" s="106">
        <v>3004252</v>
      </c>
      <c r="C170" s="106" t="s">
        <v>2004</v>
      </c>
      <c r="D170" s="106">
        <v>3</v>
      </c>
      <c r="F170" s="107" t="s">
        <v>1828</v>
      </c>
      <c r="H170" s="106" t="s">
        <v>2005</v>
      </c>
    </row>
    <row r="171" spans="1:8" x14ac:dyDescent="0.3">
      <c r="A171" s="106" t="s">
        <v>2291</v>
      </c>
      <c r="B171" s="106">
        <v>3004249</v>
      </c>
      <c r="C171" s="106" t="s">
        <v>2006</v>
      </c>
      <c r="D171" s="106">
        <v>16</v>
      </c>
      <c r="F171" s="107" t="s">
        <v>1828</v>
      </c>
    </row>
    <row r="172" spans="1:8" x14ac:dyDescent="0.3">
      <c r="A172" s="106" t="s">
        <v>2291</v>
      </c>
      <c r="B172" s="106">
        <v>3004250</v>
      </c>
      <c r="C172" s="106" t="s">
        <v>2007</v>
      </c>
      <c r="D172" s="106">
        <v>22</v>
      </c>
      <c r="F172" s="107" t="s">
        <v>1828</v>
      </c>
    </row>
    <row r="173" spans="1:8" x14ac:dyDescent="0.3">
      <c r="A173" s="106" t="s">
        <v>2291</v>
      </c>
      <c r="B173" s="106">
        <v>3004251</v>
      </c>
      <c r="C173" s="106" t="s">
        <v>2008</v>
      </c>
      <c r="D173" s="106">
        <v>54</v>
      </c>
      <c r="F173" s="107" t="s">
        <v>1828</v>
      </c>
    </row>
    <row r="174" spans="1:8" x14ac:dyDescent="0.3">
      <c r="A174" s="106" t="s">
        <v>2291</v>
      </c>
      <c r="B174" s="106">
        <v>3001705</v>
      </c>
      <c r="C174" s="106" t="s">
        <v>2009</v>
      </c>
      <c r="D174" s="106">
        <v>51</v>
      </c>
      <c r="F174" s="107" t="s">
        <v>1828</v>
      </c>
    </row>
    <row r="175" spans="1:8" x14ac:dyDescent="0.3">
      <c r="A175" s="106" t="s">
        <v>2291</v>
      </c>
      <c r="B175" s="106">
        <v>3004253</v>
      </c>
      <c r="C175" s="106" t="s">
        <v>2010</v>
      </c>
      <c r="D175" s="106">
        <v>1</v>
      </c>
      <c r="F175" s="107" t="s">
        <v>1828</v>
      </c>
    </row>
    <row r="176" spans="1:8" x14ac:dyDescent="0.3">
      <c r="A176" s="106" t="s">
        <v>2291</v>
      </c>
      <c r="B176" s="106">
        <v>3001304</v>
      </c>
      <c r="C176" s="106" t="s">
        <v>2011</v>
      </c>
      <c r="D176" s="106">
        <v>40</v>
      </c>
    </row>
    <row r="177" spans="1:8" x14ac:dyDescent="0.3">
      <c r="A177" s="106" t="s">
        <v>2291</v>
      </c>
      <c r="B177" s="106">
        <v>3004247</v>
      </c>
      <c r="C177" s="106" t="s">
        <v>2012</v>
      </c>
      <c r="D177" s="106">
        <v>17</v>
      </c>
    </row>
    <row r="178" spans="1:8" x14ac:dyDescent="0.3">
      <c r="A178" s="106" t="s">
        <v>2291</v>
      </c>
      <c r="B178" s="106">
        <v>3004246</v>
      </c>
      <c r="C178" s="106" t="s">
        <v>2013</v>
      </c>
      <c r="D178" s="106">
        <v>10</v>
      </c>
    </row>
    <row r="179" spans="1:8" x14ac:dyDescent="0.3">
      <c r="A179" s="106" t="s">
        <v>2291</v>
      </c>
      <c r="B179" s="106">
        <v>3004308</v>
      </c>
      <c r="C179" s="106" t="s">
        <v>2014</v>
      </c>
      <c r="D179" s="106">
        <v>18</v>
      </c>
    </row>
    <row r="180" spans="1:8" x14ac:dyDescent="0.3">
      <c r="A180" s="106" t="s">
        <v>2291</v>
      </c>
      <c r="B180" s="106">
        <v>3004163</v>
      </c>
      <c r="C180" s="106" t="s">
        <v>2015</v>
      </c>
      <c r="D180" s="106">
        <v>7</v>
      </c>
    </row>
    <row r="181" spans="1:8" x14ac:dyDescent="0.3">
      <c r="A181" s="106" t="s">
        <v>2291</v>
      </c>
      <c r="B181" s="106">
        <v>3004164</v>
      </c>
      <c r="C181" s="106" t="s">
        <v>2016</v>
      </c>
      <c r="D181" s="106">
        <v>24</v>
      </c>
    </row>
    <row r="182" spans="1:8" x14ac:dyDescent="0.3">
      <c r="A182" s="106" t="s">
        <v>2291</v>
      </c>
      <c r="B182" s="106">
        <v>3004161</v>
      </c>
      <c r="C182" s="106" t="s">
        <v>2017</v>
      </c>
      <c r="D182" s="106">
        <v>15</v>
      </c>
    </row>
    <row r="183" spans="1:8" x14ac:dyDescent="0.3">
      <c r="A183" s="106" t="s">
        <v>2291</v>
      </c>
      <c r="B183" s="106">
        <v>3004162</v>
      </c>
      <c r="C183" s="106" t="s">
        <v>2018</v>
      </c>
      <c r="D183" s="106">
        <v>16</v>
      </c>
    </row>
    <row r="184" spans="1:8" x14ac:dyDescent="0.3">
      <c r="A184" s="106" t="s">
        <v>2291</v>
      </c>
      <c r="B184" s="106">
        <v>3004166</v>
      </c>
      <c r="C184" s="106" t="s">
        <v>2019</v>
      </c>
      <c r="D184" s="106">
        <v>26</v>
      </c>
    </row>
    <row r="185" spans="1:8" x14ac:dyDescent="0.3">
      <c r="A185" s="106" t="s">
        <v>2291</v>
      </c>
      <c r="B185" s="106">
        <v>3004167</v>
      </c>
      <c r="C185" s="106" t="s">
        <v>2020</v>
      </c>
      <c r="D185" s="106">
        <v>3</v>
      </c>
    </row>
    <row r="186" spans="1:8" x14ac:dyDescent="0.3">
      <c r="A186" s="106" t="s">
        <v>2291</v>
      </c>
      <c r="B186" s="106">
        <v>3000028</v>
      </c>
      <c r="C186" s="106" t="s">
        <v>2021</v>
      </c>
      <c r="D186" s="106">
        <v>91</v>
      </c>
      <c r="E186" s="107" t="s">
        <v>1828</v>
      </c>
    </row>
    <row r="187" spans="1:8" x14ac:dyDescent="0.3">
      <c r="A187" s="106" t="s">
        <v>2291</v>
      </c>
      <c r="B187" s="106">
        <v>3004326</v>
      </c>
      <c r="C187" s="106" t="s">
        <v>2022</v>
      </c>
      <c r="D187" s="106">
        <v>2</v>
      </c>
      <c r="E187" s="107" t="s">
        <v>1828</v>
      </c>
    </row>
    <row r="188" spans="1:8" x14ac:dyDescent="0.3">
      <c r="A188" s="106" t="s">
        <v>2291</v>
      </c>
      <c r="B188" s="106">
        <v>3000029</v>
      </c>
      <c r="C188" s="106" t="s">
        <v>2023</v>
      </c>
      <c r="D188" s="106">
        <v>269</v>
      </c>
      <c r="E188" s="107" t="s">
        <v>1828</v>
      </c>
      <c r="H188" s="106" t="s">
        <v>2024</v>
      </c>
    </row>
    <row r="189" spans="1:8" x14ac:dyDescent="0.3">
      <c r="A189" s="106" t="s">
        <v>2291</v>
      </c>
      <c r="B189" s="106">
        <v>3004330</v>
      </c>
      <c r="C189" s="106" t="s">
        <v>2025</v>
      </c>
      <c r="D189" s="106">
        <v>20</v>
      </c>
      <c r="E189" s="107" t="s">
        <v>1828</v>
      </c>
    </row>
    <row r="190" spans="1:8" x14ac:dyDescent="0.3">
      <c r="A190" s="106" t="s">
        <v>2291</v>
      </c>
      <c r="B190" s="106">
        <v>3004324</v>
      </c>
      <c r="C190" s="106" t="s">
        <v>2026</v>
      </c>
      <c r="D190" s="106">
        <v>55</v>
      </c>
      <c r="E190" s="107" t="s">
        <v>1828</v>
      </c>
    </row>
    <row r="191" spans="1:8" x14ac:dyDescent="0.3">
      <c r="A191" s="106" t="s">
        <v>2291</v>
      </c>
      <c r="B191" s="106">
        <v>3004328</v>
      </c>
      <c r="C191" s="106" t="s">
        <v>2027</v>
      </c>
      <c r="D191" s="106">
        <v>13</v>
      </c>
      <c r="E191" s="107" t="s">
        <v>1828</v>
      </c>
    </row>
    <row r="192" spans="1:8" x14ac:dyDescent="0.3">
      <c r="A192" s="106" t="s">
        <v>2291</v>
      </c>
      <c r="B192" s="106">
        <v>3004329</v>
      </c>
      <c r="C192" s="106" t="s">
        <v>2028</v>
      </c>
      <c r="D192" s="106">
        <v>16</v>
      </c>
      <c r="E192" s="107" t="s">
        <v>1828</v>
      </c>
    </row>
    <row r="193" spans="1:6" x14ac:dyDescent="0.3">
      <c r="A193" s="106" t="s">
        <v>2291</v>
      </c>
      <c r="B193" s="106">
        <v>3004327</v>
      </c>
      <c r="C193" s="106" t="s">
        <v>2029</v>
      </c>
      <c r="D193" s="106">
        <v>20</v>
      </c>
      <c r="E193" s="107" t="s">
        <v>1828</v>
      </c>
    </row>
    <row r="194" spans="1:6" x14ac:dyDescent="0.3">
      <c r="A194" s="106" t="s">
        <v>2291</v>
      </c>
      <c r="B194" s="106">
        <v>3003949</v>
      </c>
      <c r="C194" s="106" t="s">
        <v>2030</v>
      </c>
      <c r="D194" s="106">
        <v>30</v>
      </c>
      <c r="E194" s="107" t="s">
        <v>1828</v>
      </c>
    </row>
    <row r="195" spans="1:6" x14ac:dyDescent="0.3">
      <c r="A195" s="106" t="s">
        <v>2291</v>
      </c>
      <c r="B195" s="106">
        <v>3003947</v>
      </c>
      <c r="C195" s="106" t="s">
        <v>2031</v>
      </c>
      <c r="D195" s="106">
        <v>24</v>
      </c>
      <c r="E195" s="107" t="s">
        <v>1828</v>
      </c>
    </row>
    <row r="196" spans="1:6" x14ac:dyDescent="0.3">
      <c r="A196" s="106" t="s">
        <v>2291</v>
      </c>
      <c r="B196" s="106">
        <v>3003948</v>
      </c>
      <c r="C196" s="106" t="s">
        <v>2032</v>
      </c>
      <c r="D196" s="106">
        <v>31</v>
      </c>
      <c r="E196" s="107" t="s">
        <v>1828</v>
      </c>
    </row>
    <row r="197" spans="1:6" x14ac:dyDescent="0.3">
      <c r="A197" s="106" t="s">
        <v>2291</v>
      </c>
      <c r="B197" s="106">
        <v>3001248</v>
      </c>
      <c r="C197" s="106" t="s">
        <v>2033</v>
      </c>
      <c r="D197" s="106">
        <v>39</v>
      </c>
      <c r="E197" s="107" t="s">
        <v>1828</v>
      </c>
    </row>
    <row r="198" spans="1:6" x14ac:dyDescent="0.3">
      <c r="A198" s="106" t="s">
        <v>2291</v>
      </c>
      <c r="B198" s="106">
        <v>3004679</v>
      </c>
      <c r="C198" s="106" t="s">
        <v>2034</v>
      </c>
      <c r="D198" s="106">
        <v>22</v>
      </c>
      <c r="F198" s="107" t="s">
        <v>1828</v>
      </c>
    </row>
    <row r="199" spans="1:6" x14ac:dyDescent="0.3">
      <c r="A199" s="106" t="s">
        <v>2291</v>
      </c>
      <c r="B199" s="106">
        <v>3004680</v>
      </c>
      <c r="C199" s="106" t="s">
        <v>2035</v>
      </c>
      <c r="D199" s="106">
        <v>4</v>
      </c>
      <c r="F199" s="107" t="s">
        <v>1828</v>
      </c>
    </row>
    <row r="200" spans="1:6" x14ac:dyDescent="0.3">
      <c r="A200" s="106" t="s">
        <v>2291</v>
      </c>
      <c r="B200" s="106">
        <v>3004276</v>
      </c>
      <c r="C200" s="106" t="s">
        <v>2036</v>
      </c>
      <c r="D200" s="106">
        <v>27</v>
      </c>
      <c r="F200" s="107" t="s">
        <v>1828</v>
      </c>
    </row>
    <row r="201" spans="1:6" x14ac:dyDescent="0.3">
      <c r="A201" s="106" t="s">
        <v>2291</v>
      </c>
      <c r="B201" s="106">
        <v>3004683</v>
      </c>
      <c r="C201" s="106" t="s">
        <v>2037</v>
      </c>
      <c r="D201" s="106">
        <v>12</v>
      </c>
      <c r="F201" s="107" t="s">
        <v>1828</v>
      </c>
    </row>
    <row r="202" spans="1:6" x14ac:dyDescent="0.3">
      <c r="A202" s="106" t="s">
        <v>2291</v>
      </c>
      <c r="B202" s="106">
        <v>3004686</v>
      </c>
      <c r="C202" s="106" t="s">
        <v>2038</v>
      </c>
      <c r="D202" s="106">
        <v>67</v>
      </c>
      <c r="F202" s="107" t="s">
        <v>1828</v>
      </c>
    </row>
    <row r="203" spans="1:6" x14ac:dyDescent="0.3">
      <c r="A203" s="106" t="s">
        <v>2291</v>
      </c>
      <c r="B203" s="106">
        <v>3004684</v>
      </c>
      <c r="C203" s="106" t="s">
        <v>2039</v>
      </c>
      <c r="D203" s="106">
        <v>25</v>
      </c>
      <c r="F203" s="107" t="s">
        <v>1828</v>
      </c>
    </row>
    <row r="204" spans="1:6" x14ac:dyDescent="0.3">
      <c r="A204" s="106" t="s">
        <v>2291</v>
      </c>
      <c r="B204" s="106">
        <v>3003944</v>
      </c>
      <c r="C204" s="106" t="s">
        <v>2040</v>
      </c>
      <c r="D204" s="106">
        <v>44</v>
      </c>
      <c r="F204" s="107" t="s">
        <v>1828</v>
      </c>
    </row>
    <row r="205" spans="1:6" x14ac:dyDescent="0.3">
      <c r="A205" s="106" t="s">
        <v>2291</v>
      </c>
      <c r="B205" s="106">
        <v>3004278</v>
      </c>
      <c r="C205" s="106" t="s">
        <v>2041</v>
      </c>
      <c r="D205" s="106">
        <v>59</v>
      </c>
      <c r="F205" s="107" t="s">
        <v>1828</v>
      </c>
    </row>
    <row r="206" spans="1:6" x14ac:dyDescent="0.3">
      <c r="A206" s="106" t="s">
        <v>2291</v>
      </c>
      <c r="B206" s="106">
        <v>3004685</v>
      </c>
      <c r="C206" s="106" t="s">
        <v>2042</v>
      </c>
      <c r="D206" s="106">
        <v>87</v>
      </c>
      <c r="F206" s="107" t="s">
        <v>1828</v>
      </c>
    </row>
    <row r="207" spans="1:6" x14ac:dyDescent="0.3">
      <c r="A207" s="106" t="s">
        <v>2291</v>
      </c>
      <c r="B207" s="106">
        <v>3004681</v>
      </c>
      <c r="C207" s="106" t="s">
        <v>2043</v>
      </c>
      <c r="D207" s="106">
        <v>46</v>
      </c>
      <c r="F207" s="107" t="s">
        <v>1828</v>
      </c>
    </row>
    <row r="208" spans="1:6" x14ac:dyDescent="0.3">
      <c r="A208" s="106" t="s">
        <v>2291</v>
      </c>
      <c r="B208" s="106">
        <v>3000031</v>
      </c>
      <c r="C208" s="106" t="s">
        <v>2044</v>
      </c>
      <c r="D208" s="106">
        <v>2</v>
      </c>
      <c r="F208" s="107" t="s">
        <v>1828</v>
      </c>
    </row>
    <row r="209" spans="1:6" x14ac:dyDescent="0.3">
      <c r="A209" s="106" t="s">
        <v>2291</v>
      </c>
      <c r="B209" s="106">
        <v>3004687</v>
      </c>
      <c r="C209" s="106" t="s">
        <v>2045</v>
      </c>
      <c r="D209" s="106">
        <v>55</v>
      </c>
      <c r="F209" s="107" t="s">
        <v>1828</v>
      </c>
    </row>
    <row r="210" spans="1:6" x14ac:dyDescent="0.3">
      <c r="A210" s="106" t="s">
        <v>2291</v>
      </c>
      <c r="B210" s="106">
        <v>3003945</v>
      </c>
      <c r="C210" s="106" t="s">
        <v>2046</v>
      </c>
      <c r="D210" s="106">
        <v>13</v>
      </c>
      <c r="F210" s="107" t="s">
        <v>1828</v>
      </c>
    </row>
    <row r="211" spans="1:6" x14ac:dyDescent="0.3">
      <c r="A211" s="106" t="s">
        <v>2291</v>
      </c>
      <c r="B211" s="106">
        <v>3004279</v>
      </c>
      <c r="C211" s="106" t="s">
        <v>2047</v>
      </c>
      <c r="D211" s="106">
        <v>1</v>
      </c>
      <c r="F211" s="107" t="s">
        <v>1828</v>
      </c>
    </row>
    <row r="212" spans="1:6" x14ac:dyDescent="0.3">
      <c r="A212" s="106" t="s">
        <v>2291</v>
      </c>
      <c r="B212" s="106">
        <v>3004682</v>
      </c>
      <c r="C212" s="106" t="s">
        <v>2048</v>
      </c>
      <c r="D212" s="106">
        <v>34</v>
      </c>
      <c r="F212" s="107" t="s">
        <v>1828</v>
      </c>
    </row>
    <row r="213" spans="1:6" x14ac:dyDescent="0.3">
      <c r="A213" s="106" t="s">
        <v>2291</v>
      </c>
      <c r="B213" s="106">
        <v>3003926</v>
      </c>
      <c r="C213" s="106" t="s">
        <v>2049</v>
      </c>
      <c r="D213" s="106">
        <v>227</v>
      </c>
      <c r="E213" s="107" t="s">
        <v>1828</v>
      </c>
    </row>
    <row r="214" spans="1:6" x14ac:dyDescent="0.3">
      <c r="A214" s="106" t="s">
        <v>2291</v>
      </c>
      <c r="B214" s="106">
        <v>3003927</v>
      </c>
      <c r="C214" s="106" t="s">
        <v>2050</v>
      </c>
      <c r="D214" s="106">
        <v>132</v>
      </c>
      <c r="E214" s="107" t="s">
        <v>1828</v>
      </c>
    </row>
    <row r="215" spans="1:6" x14ac:dyDescent="0.3">
      <c r="A215" s="106" t="s">
        <v>2291</v>
      </c>
      <c r="B215" s="106">
        <v>3001140</v>
      </c>
      <c r="C215" s="106" t="s">
        <v>2051</v>
      </c>
      <c r="D215" s="106">
        <v>16</v>
      </c>
    </row>
    <row r="216" spans="1:6" x14ac:dyDescent="0.3">
      <c r="A216" s="106" t="s">
        <v>2291</v>
      </c>
      <c r="B216" s="106">
        <v>3000423</v>
      </c>
      <c r="C216" s="106" t="s">
        <v>2052</v>
      </c>
      <c r="D216" s="106">
        <v>1</v>
      </c>
      <c r="E216" s="107" t="s">
        <v>1828</v>
      </c>
    </row>
    <row r="217" spans="1:6" x14ac:dyDescent="0.3">
      <c r="A217" s="106" t="s">
        <v>2291</v>
      </c>
      <c r="B217" s="106">
        <v>3004203</v>
      </c>
      <c r="C217" s="106" t="s">
        <v>2053</v>
      </c>
      <c r="D217" s="106">
        <v>13</v>
      </c>
      <c r="E217" s="107" t="s">
        <v>1828</v>
      </c>
    </row>
    <row r="218" spans="1:6" x14ac:dyDescent="0.3">
      <c r="A218" s="106" t="s">
        <v>2291</v>
      </c>
      <c r="B218" s="106">
        <v>3004204</v>
      </c>
      <c r="C218" s="106" t="s">
        <v>2054</v>
      </c>
      <c r="D218" s="106">
        <v>75</v>
      </c>
      <c r="E218" s="107" t="s">
        <v>1828</v>
      </c>
    </row>
    <row r="219" spans="1:6" x14ac:dyDescent="0.3">
      <c r="A219" s="106" t="s">
        <v>2291</v>
      </c>
      <c r="B219" s="106">
        <v>3004310</v>
      </c>
      <c r="C219" s="106" t="s">
        <v>2055</v>
      </c>
      <c r="D219" s="106">
        <v>29</v>
      </c>
      <c r="E219" s="107" t="s">
        <v>1828</v>
      </c>
    </row>
    <row r="220" spans="1:6" x14ac:dyDescent="0.3">
      <c r="A220" s="106" t="s">
        <v>2291</v>
      </c>
      <c r="B220" s="106">
        <v>3004205</v>
      </c>
      <c r="C220" s="106" t="s">
        <v>2056</v>
      </c>
      <c r="D220" s="106">
        <v>54</v>
      </c>
      <c r="E220" s="107" t="s">
        <v>1828</v>
      </c>
    </row>
    <row r="221" spans="1:6" x14ac:dyDescent="0.3">
      <c r="A221" s="106" t="s">
        <v>2291</v>
      </c>
      <c r="B221" s="106">
        <v>3004206</v>
      </c>
      <c r="C221" s="106" t="s">
        <v>2057</v>
      </c>
      <c r="D221" s="106">
        <v>51</v>
      </c>
      <c r="E221" s="107" t="s">
        <v>1828</v>
      </c>
    </row>
    <row r="222" spans="1:6" x14ac:dyDescent="0.3">
      <c r="A222" s="106" t="s">
        <v>2291</v>
      </c>
      <c r="B222" s="106">
        <v>3004207</v>
      </c>
      <c r="C222" s="106" t="s">
        <v>2058</v>
      </c>
      <c r="D222" s="106">
        <v>28</v>
      </c>
      <c r="E222" s="107" t="s">
        <v>1828</v>
      </c>
    </row>
    <row r="223" spans="1:6" x14ac:dyDescent="0.3">
      <c r="A223" s="106" t="s">
        <v>2291</v>
      </c>
      <c r="B223" s="106">
        <v>3004208</v>
      </c>
      <c r="C223" s="106" t="s">
        <v>2059</v>
      </c>
      <c r="D223" s="106">
        <v>66</v>
      </c>
      <c r="E223" s="107" t="s">
        <v>1828</v>
      </c>
    </row>
    <row r="224" spans="1:6" x14ac:dyDescent="0.3">
      <c r="A224" s="106" t="s">
        <v>2291</v>
      </c>
      <c r="B224" s="106">
        <v>3004209</v>
      </c>
      <c r="C224" s="106" t="s">
        <v>2060</v>
      </c>
      <c r="D224" s="106">
        <v>18</v>
      </c>
      <c r="E224" s="107" t="s">
        <v>1828</v>
      </c>
    </row>
    <row r="225" spans="1:8" x14ac:dyDescent="0.3">
      <c r="A225" s="106" t="s">
        <v>2291</v>
      </c>
      <c r="B225" s="106">
        <v>3000035</v>
      </c>
      <c r="C225" s="106" t="s">
        <v>2061</v>
      </c>
      <c r="D225" s="106">
        <v>462</v>
      </c>
      <c r="E225" s="107" t="s">
        <v>1828</v>
      </c>
      <c r="H225" s="106" t="s">
        <v>2062</v>
      </c>
    </row>
    <row r="226" spans="1:8" x14ac:dyDescent="0.3">
      <c r="A226" s="106" t="s">
        <v>2291</v>
      </c>
      <c r="B226" s="106">
        <v>3003936</v>
      </c>
      <c r="C226" s="106" t="s">
        <v>2063</v>
      </c>
      <c r="D226" s="106">
        <v>18</v>
      </c>
      <c r="E226" s="107" t="s">
        <v>1828</v>
      </c>
    </row>
    <row r="227" spans="1:8" x14ac:dyDescent="0.3">
      <c r="A227" s="106" t="s">
        <v>2291</v>
      </c>
      <c r="B227" s="106">
        <v>3000540</v>
      </c>
      <c r="C227" s="106" t="s">
        <v>2064</v>
      </c>
      <c r="D227" s="106">
        <v>17</v>
      </c>
    </row>
    <row r="228" spans="1:8" x14ac:dyDescent="0.3">
      <c r="A228" s="106" t="s">
        <v>2291</v>
      </c>
      <c r="B228" s="106">
        <v>3001031</v>
      </c>
      <c r="C228" s="106" t="s">
        <v>2065</v>
      </c>
      <c r="D228" s="106">
        <v>28</v>
      </c>
    </row>
    <row r="229" spans="1:8" x14ac:dyDescent="0.3">
      <c r="A229" s="106" t="s">
        <v>2291</v>
      </c>
      <c r="B229" s="106">
        <v>3002225</v>
      </c>
      <c r="C229" s="106" t="s">
        <v>2066</v>
      </c>
      <c r="D229" s="106">
        <v>13</v>
      </c>
    </row>
    <row r="230" spans="1:8" x14ac:dyDescent="0.3">
      <c r="A230" s="106" t="s">
        <v>2291</v>
      </c>
      <c r="B230" s="106">
        <v>3000039</v>
      </c>
      <c r="C230" s="106" t="s">
        <v>2067</v>
      </c>
      <c r="D230" s="106">
        <v>190</v>
      </c>
      <c r="E230" s="107" t="s">
        <v>1828</v>
      </c>
    </row>
    <row r="231" spans="1:8" x14ac:dyDescent="0.3">
      <c r="A231" s="106" t="s">
        <v>2291</v>
      </c>
      <c r="B231" s="106">
        <v>3004131</v>
      </c>
      <c r="C231" s="106" t="s">
        <v>2068</v>
      </c>
      <c r="D231" s="106">
        <v>11</v>
      </c>
      <c r="E231" s="107" t="s">
        <v>1828</v>
      </c>
    </row>
    <row r="232" spans="1:8" x14ac:dyDescent="0.3">
      <c r="A232" s="106" t="s">
        <v>2291</v>
      </c>
      <c r="B232" s="106">
        <v>3004132</v>
      </c>
      <c r="C232" s="106" t="s">
        <v>2069</v>
      </c>
      <c r="D232" s="106">
        <v>29</v>
      </c>
      <c r="E232" s="107" t="s">
        <v>1828</v>
      </c>
    </row>
    <row r="233" spans="1:8" x14ac:dyDescent="0.3">
      <c r="A233" s="106" t="s">
        <v>2291</v>
      </c>
      <c r="B233" s="106">
        <v>3004305</v>
      </c>
      <c r="C233" s="106" t="s">
        <v>2070</v>
      </c>
      <c r="D233" s="106">
        <v>50</v>
      </c>
      <c r="E233" s="107" t="s">
        <v>1828</v>
      </c>
    </row>
    <row r="234" spans="1:8" x14ac:dyDescent="0.3">
      <c r="A234" s="106" t="s">
        <v>2291</v>
      </c>
      <c r="B234" s="106">
        <v>3004129</v>
      </c>
      <c r="C234" s="106" t="s">
        <v>2071</v>
      </c>
      <c r="D234" s="106">
        <v>26</v>
      </c>
      <c r="E234" s="107" t="s">
        <v>1828</v>
      </c>
    </row>
    <row r="235" spans="1:8" x14ac:dyDescent="0.3">
      <c r="A235" s="106" t="s">
        <v>2291</v>
      </c>
      <c r="B235" s="106">
        <v>3004133</v>
      </c>
      <c r="C235" s="106" t="s">
        <v>2072</v>
      </c>
      <c r="D235" s="106">
        <v>28</v>
      </c>
      <c r="E235" s="107" t="s">
        <v>1828</v>
      </c>
    </row>
    <row r="236" spans="1:8" x14ac:dyDescent="0.3">
      <c r="A236" s="106" t="s">
        <v>2291</v>
      </c>
      <c r="B236" s="106">
        <v>3004134</v>
      </c>
      <c r="C236" s="106" t="s">
        <v>2073</v>
      </c>
      <c r="D236" s="106">
        <v>34</v>
      </c>
      <c r="E236" s="107" t="s">
        <v>1828</v>
      </c>
    </row>
    <row r="237" spans="1:8" x14ac:dyDescent="0.3">
      <c r="A237" s="106" t="s">
        <v>2291</v>
      </c>
      <c r="B237" s="106">
        <v>3004130</v>
      </c>
      <c r="C237" s="106" t="s">
        <v>2074</v>
      </c>
      <c r="D237" s="106">
        <v>26</v>
      </c>
      <c r="E237" s="107" t="s">
        <v>1828</v>
      </c>
    </row>
    <row r="238" spans="1:8" x14ac:dyDescent="0.3">
      <c r="A238" s="106" t="s">
        <v>2291</v>
      </c>
      <c r="B238" s="106">
        <v>3000040</v>
      </c>
      <c r="C238" s="106" t="s">
        <v>2075</v>
      </c>
      <c r="D238" s="106">
        <v>77</v>
      </c>
      <c r="E238" s="107" t="s">
        <v>1828</v>
      </c>
    </row>
    <row r="239" spans="1:8" x14ac:dyDescent="0.3">
      <c r="A239" s="106" t="s">
        <v>2291</v>
      </c>
      <c r="B239" s="106">
        <v>3000385</v>
      </c>
      <c r="C239" s="106" t="s">
        <v>2076</v>
      </c>
      <c r="D239" s="106">
        <v>17</v>
      </c>
      <c r="E239" s="107" t="s">
        <v>1828</v>
      </c>
    </row>
    <row r="240" spans="1:8" x14ac:dyDescent="0.3">
      <c r="A240" s="106" t="s">
        <v>2291</v>
      </c>
      <c r="B240" s="106">
        <v>3000467</v>
      </c>
      <c r="C240" s="106" t="s">
        <v>2077</v>
      </c>
      <c r="D240" s="106">
        <v>398</v>
      </c>
      <c r="E240" s="107" t="s">
        <v>1828</v>
      </c>
    </row>
    <row r="241" spans="1:8" x14ac:dyDescent="0.3">
      <c r="A241" s="106" t="s">
        <v>2291</v>
      </c>
      <c r="B241" s="106">
        <v>3000948</v>
      </c>
      <c r="C241" s="106" t="s">
        <v>2078</v>
      </c>
      <c r="D241" s="106">
        <v>340</v>
      </c>
      <c r="E241" s="107" t="s">
        <v>1828</v>
      </c>
      <c r="H241" s="106" t="s">
        <v>1899</v>
      </c>
    </row>
    <row r="242" spans="1:8" x14ac:dyDescent="0.3">
      <c r="A242" s="106" t="s">
        <v>2291</v>
      </c>
      <c r="B242" s="106">
        <v>3000041</v>
      </c>
      <c r="C242" s="106" t="s">
        <v>2079</v>
      </c>
      <c r="D242" s="106">
        <v>829</v>
      </c>
      <c r="E242" s="107" t="s">
        <v>1828</v>
      </c>
      <c r="H242" s="106" t="s">
        <v>2080</v>
      </c>
    </row>
    <row r="243" spans="1:8" x14ac:dyDescent="0.3">
      <c r="A243" s="106" t="s">
        <v>2291</v>
      </c>
      <c r="B243" s="106">
        <v>3000159</v>
      </c>
      <c r="C243" s="106" t="s">
        <v>2081</v>
      </c>
      <c r="D243" s="106">
        <v>58</v>
      </c>
      <c r="E243" s="107" t="s">
        <v>1828</v>
      </c>
    </row>
    <row r="244" spans="1:8" x14ac:dyDescent="0.3">
      <c r="A244" s="106" t="s">
        <v>2291</v>
      </c>
      <c r="B244" s="106">
        <v>3000836</v>
      </c>
      <c r="C244" s="106" t="s">
        <v>2082</v>
      </c>
      <c r="D244" s="106">
        <v>94</v>
      </c>
      <c r="E244" s="107" t="s">
        <v>1828</v>
      </c>
    </row>
    <row r="245" spans="1:8" x14ac:dyDescent="0.3">
      <c r="A245" s="106" t="s">
        <v>2291</v>
      </c>
      <c r="B245" s="106">
        <v>3000043</v>
      </c>
      <c r="C245" s="106" t="s">
        <v>2083</v>
      </c>
      <c r="D245" s="106">
        <v>366</v>
      </c>
      <c r="E245" s="107" t="s">
        <v>1828</v>
      </c>
      <c r="H245" s="106" t="s">
        <v>2084</v>
      </c>
    </row>
    <row r="246" spans="1:8" x14ac:dyDescent="0.3">
      <c r="A246" s="106" t="s">
        <v>2291</v>
      </c>
      <c r="B246" s="106">
        <v>3000160</v>
      </c>
      <c r="C246" s="106" t="s">
        <v>2085</v>
      </c>
      <c r="D246" s="106">
        <v>20</v>
      </c>
      <c r="E246" s="107" t="s">
        <v>1828</v>
      </c>
    </row>
    <row r="247" spans="1:8" x14ac:dyDescent="0.3">
      <c r="A247" s="106" t="s">
        <v>2291</v>
      </c>
      <c r="B247" s="106">
        <v>3000044</v>
      </c>
      <c r="C247" s="106" t="s">
        <v>2086</v>
      </c>
      <c r="D247" s="106">
        <v>48</v>
      </c>
      <c r="E247" s="107" t="s">
        <v>1828</v>
      </c>
    </row>
    <row r="248" spans="1:8" x14ac:dyDescent="0.3">
      <c r="A248" s="106" t="s">
        <v>2291</v>
      </c>
      <c r="B248" s="106">
        <v>3003311</v>
      </c>
      <c r="C248" s="106" t="s">
        <v>2087</v>
      </c>
      <c r="D248" s="106">
        <v>16</v>
      </c>
    </row>
    <row r="249" spans="1:8" x14ac:dyDescent="0.3">
      <c r="A249" s="106" t="s">
        <v>2291</v>
      </c>
      <c r="B249" s="106">
        <v>3000254</v>
      </c>
      <c r="C249" s="106" t="s">
        <v>2088</v>
      </c>
      <c r="D249" s="106">
        <v>7</v>
      </c>
    </row>
    <row r="250" spans="1:8" x14ac:dyDescent="0.3">
      <c r="A250" s="106" t="s">
        <v>2291</v>
      </c>
      <c r="B250" s="106">
        <v>3001269</v>
      </c>
      <c r="C250" s="106" t="s">
        <v>2089</v>
      </c>
      <c r="D250" s="106">
        <v>111</v>
      </c>
    </row>
    <row r="251" spans="1:8" x14ac:dyDescent="0.3">
      <c r="A251" s="106" t="s">
        <v>2291</v>
      </c>
      <c r="B251" s="106">
        <v>3004281</v>
      </c>
      <c r="C251" s="106" t="s">
        <v>2090</v>
      </c>
      <c r="D251" s="106">
        <v>10</v>
      </c>
      <c r="E251" s="107" t="s">
        <v>1828</v>
      </c>
    </row>
    <row r="252" spans="1:8" x14ac:dyDescent="0.3">
      <c r="A252" s="106" t="s">
        <v>2291</v>
      </c>
      <c r="B252" s="106">
        <v>3004282</v>
      </c>
      <c r="C252" s="106" t="s">
        <v>2091</v>
      </c>
      <c r="D252" s="106">
        <v>5</v>
      </c>
      <c r="E252" s="107" t="s">
        <v>1828</v>
      </c>
    </row>
    <row r="253" spans="1:8" x14ac:dyDescent="0.3">
      <c r="A253" s="106" t="s">
        <v>2291</v>
      </c>
      <c r="B253" s="106">
        <v>3004280</v>
      </c>
      <c r="C253" s="106" t="s">
        <v>2092</v>
      </c>
      <c r="D253" s="106">
        <v>4</v>
      </c>
      <c r="E253" s="107" t="s">
        <v>1828</v>
      </c>
    </row>
    <row r="254" spans="1:8" x14ac:dyDescent="0.3">
      <c r="A254" s="106" t="s">
        <v>2291</v>
      </c>
      <c r="B254" s="106">
        <v>3004283</v>
      </c>
      <c r="C254" s="106" t="s">
        <v>2093</v>
      </c>
      <c r="D254" s="106">
        <v>9</v>
      </c>
      <c r="E254" s="107" t="s">
        <v>1828</v>
      </c>
    </row>
    <row r="255" spans="1:8" x14ac:dyDescent="0.3">
      <c r="A255" s="106" t="s">
        <v>2291</v>
      </c>
      <c r="B255" s="106">
        <v>3004284</v>
      </c>
      <c r="C255" s="106" t="s">
        <v>2094</v>
      </c>
      <c r="D255" s="106">
        <v>11</v>
      </c>
      <c r="E255" s="107" t="s">
        <v>1828</v>
      </c>
    </row>
    <row r="256" spans="1:8" x14ac:dyDescent="0.3">
      <c r="A256" s="106" t="s">
        <v>2291</v>
      </c>
      <c r="B256" s="106">
        <v>3000894</v>
      </c>
      <c r="C256" s="106" t="s">
        <v>2095</v>
      </c>
      <c r="D256" s="106">
        <v>1</v>
      </c>
      <c r="E256" s="107" t="s">
        <v>1828</v>
      </c>
    </row>
    <row r="257" spans="1:8" x14ac:dyDescent="0.3">
      <c r="A257" s="106" t="s">
        <v>2291</v>
      </c>
      <c r="B257" s="106">
        <v>3004285</v>
      </c>
      <c r="C257" s="106" t="s">
        <v>2096</v>
      </c>
      <c r="D257" s="106">
        <v>20</v>
      </c>
      <c r="E257" s="107" t="s">
        <v>1828</v>
      </c>
    </row>
    <row r="258" spans="1:8" x14ac:dyDescent="0.3">
      <c r="A258" s="106" t="s">
        <v>2291</v>
      </c>
      <c r="B258" s="106">
        <v>3004286</v>
      </c>
      <c r="C258" s="106" t="s">
        <v>2097</v>
      </c>
      <c r="D258" s="106">
        <v>11</v>
      </c>
      <c r="E258" s="107" t="s">
        <v>1828</v>
      </c>
    </row>
    <row r="259" spans="1:8" x14ac:dyDescent="0.3">
      <c r="A259" s="106" t="s">
        <v>2291</v>
      </c>
      <c r="B259" s="106">
        <v>3003770</v>
      </c>
      <c r="C259" s="106" t="s">
        <v>2098</v>
      </c>
      <c r="D259" s="106">
        <v>131</v>
      </c>
      <c r="E259" s="107" t="s">
        <v>1828</v>
      </c>
    </row>
    <row r="260" spans="1:8" x14ac:dyDescent="0.3">
      <c r="A260" s="106" t="s">
        <v>2291</v>
      </c>
      <c r="B260" s="106">
        <v>3002983</v>
      </c>
      <c r="C260" s="106" t="s">
        <v>2099</v>
      </c>
      <c r="D260" s="106">
        <v>23</v>
      </c>
      <c r="E260" s="107" t="s">
        <v>1828</v>
      </c>
    </row>
    <row r="261" spans="1:8" x14ac:dyDescent="0.3">
      <c r="A261" s="106" t="s">
        <v>2291</v>
      </c>
      <c r="B261" s="106">
        <v>3004432</v>
      </c>
      <c r="C261" s="106" t="s">
        <v>2100</v>
      </c>
      <c r="D261" s="106">
        <v>12</v>
      </c>
      <c r="E261" s="107" t="s">
        <v>1828</v>
      </c>
    </row>
    <row r="262" spans="1:8" x14ac:dyDescent="0.3">
      <c r="A262" s="106" t="s">
        <v>2291</v>
      </c>
      <c r="B262" s="106">
        <v>3004431</v>
      </c>
      <c r="C262" s="106" t="s">
        <v>2101</v>
      </c>
      <c r="D262" s="106">
        <v>40</v>
      </c>
      <c r="E262" s="107" t="s">
        <v>1828</v>
      </c>
    </row>
    <row r="263" spans="1:8" x14ac:dyDescent="0.3">
      <c r="A263" s="106" t="s">
        <v>2291</v>
      </c>
      <c r="B263" s="106">
        <v>3004419</v>
      </c>
      <c r="C263" s="106" t="s">
        <v>2102</v>
      </c>
      <c r="D263" s="106">
        <v>33</v>
      </c>
      <c r="E263" s="107" t="s">
        <v>1828</v>
      </c>
    </row>
    <row r="264" spans="1:8" x14ac:dyDescent="0.3">
      <c r="A264" s="106" t="s">
        <v>2291</v>
      </c>
      <c r="B264" s="106">
        <v>3004433</v>
      </c>
      <c r="C264" s="106" t="s">
        <v>2103</v>
      </c>
      <c r="D264" s="106">
        <v>72</v>
      </c>
      <c r="E264" s="107" t="s">
        <v>1828</v>
      </c>
    </row>
    <row r="265" spans="1:8" x14ac:dyDescent="0.3">
      <c r="A265" s="106" t="s">
        <v>2291</v>
      </c>
      <c r="B265" s="106">
        <v>3004434</v>
      </c>
      <c r="C265" s="106" t="s">
        <v>2104</v>
      </c>
      <c r="D265" s="106">
        <v>60</v>
      </c>
      <c r="E265" s="107" t="s">
        <v>1828</v>
      </c>
    </row>
    <row r="266" spans="1:8" x14ac:dyDescent="0.3">
      <c r="A266" s="106" t="s">
        <v>2291</v>
      </c>
      <c r="B266" s="106">
        <v>3004435</v>
      </c>
      <c r="C266" s="106" t="s">
        <v>2105</v>
      </c>
      <c r="D266" s="106">
        <v>160</v>
      </c>
      <c r="E266" s="107" t="s">
        <v>1828</v>
      </c>
    </row>
    <row r="267" spans="1:8" x14ac:dyDescent="0.3">
      <c r="A267" s="106" t="s">
        <v>2291</v>
      </c>
      <c r="B267" s="106">
        <v>3000215</v>
      </c>
      <c r="C267" s="106" t="s">
        <v>2106</v>
      </c>
      <c r="D267" s="106">
        <v>489</v>
      </c>
      <c r="E267" s="107" t="s">
        <v>1828</v>
      </c>
      <c r="H267" s="106" t="s">
        <v>2107</v>
      </c>
    </row>
    <row r="268" spans="1:8" x14ac:dyDescent="0.3">
      <c r="A268" s="106" t="s">
        <v>2291</v>
      </c>
      <c r="B268" s="106">
        <v>3000501</v>
      </c>
      <c r="C268" s="106" t="s">
        <v>2108</v>
      </c>
      <c r="D268" s="106">
        <v>1</v>
      </c>
      <c r="E268" s="107" t="s">
        <v>1828</v>
      </c>
    </row>
    <row r="269" spans="1:8" x14ac:dyDescent="0.3">
      <c r="A269" s="106" t="s">
        <v>2291</v>
      </c>
      <c r="B269" s="106">
        <v>3000047</v>
      </c>
      <c r="C269" s="106" t="s">
        <v>2109</v>
      </c>
      <c r="D269" s="106">
        <v>327</v>
      </c>
      <c r="E269" s="107" t="s">
        <v>1828</v>
      </c>
      <c r="H269" s="106" t="s">
        <v>2110</v>
      </c>
    </row>
    <row r="270" spans="1:8" x14ac:dyDescent="0.3">
      <c r="A270" s="106" t="s">
        <v>2291</v>
      </c>
      <c r="B270" s="106">
        <v>3004147</v>
      </c>
      <c r="C270" s="106" t="s">
        <v>2111</v>
      </c>
      <c r="D270" s="106">
        <v>17</v>
      </c>
      <c r="E270" s="107" t="s">
        <v>1828</v>
      </c>
    </row>
    <row r="271" spans="1:8" x14ac:dyDescent="0.3">
      <c r="A271" s="106" t="s">
        <v>2291</v>
      </c>
      <c r="B271" s="106">
        <v>3004146</v>
      </c>
      <c r="C271" s="106" t="s">
        <v>2112</v>
      </c>
      <c r="D271" s="106">
        <v>33</v>
      </c>
      <c r="E271" s="107" t="s">
        <v>1828</v>
      </c>
    </row>
    <row r="272" spans="1:8" x14ac:dyDescent="0.3">
      <c r="A272" s="106" t="s">
        <v>2291</v>
      </c>
      <c r="B272" s="106">
        <v>3004304</v>
      </c>
      <c r="C272" s="106" t="s">
        <v>2113</v>
      </c>
      <c r="D272" s="106">
        <v>83</v>
      </c>
      <c r="E272" s="107" t="s">
        <v>1828</v>
      </c>
    </row>
    <row r="273" spans="1:5" x14ac:dyDescent="0.3">
      <c r="A273" s="106" t="s">
        <v>2291</v>
      </c>
      <c r="B273" s="106">
        <v>3004148</v>
      </c>
      <c r="C273" s="106" t="s">
        <v>2114</v>
      </c>
      <c r="D273" s="106">
        <v>5</v>
      </c>
      <c r="E273" s="107" t="s">
        <v>1828</v>
      </c>
    </row>
    <row r="274" spans="1:5" x14ac:dyDescent="0.3">
      <c r="A274" s="106" t="s">
        <v>2291</v>
      </c>
      <c r="B274" s="106">
        <v>3004149</v>
      </c>
      <c r="C274" s="106" t="s">
        <v>2115</v>
      </c>
      <c r="D274" s="106">
        <v>69</v>
      </c>
      <c r="E274" s="107" t="s">
        <v>1828</v>
      </c>
    </row>
    <row r="275" spans="1:5" x14ac:dyDescent="0.3">
      <c r="A275" s="106" t="s">
        <v>2291</v>
      </c>
      <c r="B275" s="106">
        <v>3004145</v>
      </c>
      <c r="C275" s="106" t="s">
        <v>2116</v>
      </c>
      <c r="D275" s="106">
        <v>54</v>
      </c>
      <c r="E275" s="107" t="s">
        <v>1828</v>
      </c>
    </row>
    <row r="276" spans="1:5" x14ac:dyDescent="0.3">
      <c r="A276" s="106" t="s">
        <v>2291</v>
      </c>
      <c r="B276" s="106">
        <v>3004152</v>
      </c>
      <c r="C276" s="106" t="s">
        <v>2117</v>
      </c>
      <c r="D276" s="106">
        <v>2</v>
      </c>
      <c r="E276" s="107" t="s">
        <v>1828</v>
      </c>
    </row>
    <row r="277" spans="1:5" x14ac:dyDescent="0.3">
      <c r="A277" s="106" t="s">
        <v>2291</v>
      </c>
      <c r="B277" s="106">
        <v>3001853</v>
      </c>
      <c r="C277" s="106" t="s">
        <v>2118</v>
      </c>
      <c r="D277" s="106">
        <v>10</v>
      </c>
      <c r="E277" s="107" t="s">
        <v>1828</v>
      </c>
    </row>
    <row r="278" spans="1:5" x14ac:dyDescent="0.3">
      <c r="A278" s="106" t="s">
        <v>2291</v>
      </c>
      <c r="B278" s="106">
        <v>3000048</v>
      </c>
      <c r="C278" s="106" t="s">
        <v>2119</v>
      </c>
      <c r="D278" s="106">
        <v>27</v>
      </c>
      <c r="E278" s="107" t="s">
        <v>1828</v>
      </c>
    </row>
    <row r="279" spans="1:5" x14ac:dyDescent="0.3">
      <c r="A279" s="106" t="s">
        <v>2291</v>
      </c>
      <c r="B279" s="106">
        <v>3004032</v>
      </c>
      <c r="C279" s="106" t="s">
        <v>2120</v>
      </c>
      <c r="D279" s="106">
        <v>51</v>
      </c>
      <c r="E279" s="107" t="s">
        <v>1828</v>
      </c>
    </row>
    <row r="280" spans="1:5" x14ac:dyDescent="0.3">
      <c r="A280" s="106" t="s">
        <v>2291</v>
      </c>
      <c r="B280" s="106">
        <v>3000595</v>
      </c>
      <c r="C280" s="106" t="s">
        <v>2121</v>
      </c>
      <c r="D280" s="106">
        <v>33</v>
      </c>
      <c r="E280" s="107" t="s">
        <v>1828</v>
      </c>
    </row>
    <row r="281" spans="1:5" x14ac:dyDescent="0.3">
      <c r="A281" s="106" t="s">
        <v>2291</v>
      </c>
      <c r="B281" s="106">
        <v>3004142</v>
      </c>
      <c r="C281" s="106" t="s">
        <v>2122</v>
      </c>
      <c r="D281" s="106">
        <v>14</v>
      </c>
      <c r="E281" s="107" t="s">
        <v>1828</v>
      </c>
    </row>
    <row r="282" spans="1:5" x14ac:dyDescent="0.3">
      <c r="A282" s="106" t="s">
        <v>2291</v>
      </c>
      <c r="B282" s="106">
        <v>3004140</v>
      </c>
      <c r="C282" s="106" t="s">
        <v>2123</v>
      </c>
      <c r="D282" s="106">
        <v>12</v>
      </c>
      <c r="E282" s="107" t="s">
        <v>1828</v>
      </c>
    </row>
    <row r="283" spans="1:5" x14ac:dyDescent="0.3">
      <c r="A283" s="106" t="s">
        <v>2291</v>
      </c>
      <c r="B283" s="106">
        <v>3004303</v>
      </c>
      <c r="C283" s="106" t="s">
        <v>2124</v>
      </c>
      <c r="D283" s="106">
        <v>19</v>
      </c>
      <c r="E283" s="107" t="s">
        <v>1828</v>
      </c>
    </row>
    <row r="284" spans="1:5" x14ac:dyDescent="0.3">
      <c r="A284" s="106" t="s">
        <v>2291</v>
      </c>
      <c r="B284" s="106">
        <v>3004141</v>
      </c>
      <c r="C284" s="106" t="s">
        <v>2125</v>
      </c>
      <c r="D284" s="106">
        <v>9</v>
      </c>
      <c r="E284" s="107" t="s">
        <v>1828</v>
      </c>
    </row>
    <row r="285" spans="1:5" x14ac:dyDescent="0.3">
      <c r="A285" s="106" t="s">
        <v>2291</v>
      </c>
      <c r="B285" s="106">
        <v>3003867</v>
      </c>
      <c r="C285" s="106" t="s">
        <v>2126</v>
      </c>
      <c r="D285" s="106">
        <v>3</v>
      </c>
      <c r="E285" s="107" t="s">
        <v>1828</v>
      </c>
    </row>
    <row r="286" spans="1:5" x14ac:dyDescent="0.3">
      <c r="A286" s="106" t="s">
        <v>2291</v>
      </c>
      <c r="B286" s="106">
        <v>3004151</v>
      </c>
      <c r="C286" s="106" t="s">
        <v>2127</v>
      </c>
      <c r="D286" s="106">
        <v>83</v>
      </c>
      <c r="E286" s="107" t="s">
        <v>1828</v>
      </c>
    </row>
    <row r="287" spans="1:5" x14ac:dyDescent="0.3">
      <c r="A287" s="106" t="s">
        <v>2291</v>
      </c>
      <c r="B287" s="106">
        <v>3003426</v>
      </c>
      <c r="C287" s="106" t="s">
        <v>2128</v>
      </c>
      <c r="D287" s="106">
        <v>1</v>
      </c>
      <c r="E287" s="107" t="s">
        <v>1828</v>
      </c>
    </row>
    <row r="288" spans="1:5" x14ac:dyDescent="0.3">
      <c r="A288" s="106" t="s">
        <v>2291</v>
      </c>
      <c r="B288" s="106">
        <v>3004144</v>
      </c>
      <c r="C288" s="106" t="s">
        <v>2129</v>
      </c>
      <c r="D288" s="106">
        <v>1</v>
      </c>
      <c r="E288" s="107" t="s">
        <v>1828</v>
      </c>
    </row>
    <row r="289" spans="1:6" x14ac:dyDescent="0.3">
      <c r="A289" s="106" t="s">
        <v>2291</v>
      </c>
      <c r="B289" s="106">
        <v>3004031</v>
      </c>
      <c r="C289" s="106" t="s">
        <v>2130</v>
      </c>
      <c r="D289" s="106">
        <v>21</v>
      </c>
      <c r="E289" s="107" t="s">
        <v>1828</v>
      </c>
    </row>
    <row r="290" spans="1:6" x14ac:dyDescent="0.3">
      <c r="A290" s="106" t="s">
        <v>2291</v>
      </c>
      <c r="B290" s="106">
        <v>3000763</v>
      </c>
      <c r="C290" s="106" t="s">
        <v>2131</v>
      </c>
      <c r="D290" s="106">
        <v>2</v>
      </c>
      <c r="E290" s="107" t="s">
        <v>1828</v>
      </c>
    </row>
    <row r="291" spans="1:6" x14ac:dyDescent="0.3">
      <c r="A291" s="106" t="s">
        <v>2291</v>
      </c>
      <c r="B291" s="106">
        <v>3000052</v>
      </c>
      <c r="C291" s="106" t="s">
        <v>2132</v>
      </c>
      <c r="D291" s="106">
        <v>286</v>
      </c>
      <c r="E291" s="107" t="s">
        <v>1828</v>
      </c>
    </row>
    <row r="292" spans="1:6" x14ac:dyDescent="0.3">
      <c r="A292" s="106" t="s">
        <v>2291</v>
      </c>
      <c r="B292" s="106">
        <v>3004377</v>
      </c>
      <c r="C292" s="106" t="s">
        <v>2133</v>
      </c>
      <c r="D292" s="106">
        <v>30</v>
      </c>
      <c r="E292" s="107" t="s">
        <v>1828</v>
      </c>
    </row>
    <row r="293" spans="1:6" x14ac:dyDescent="0.3">
      <c r="A293" s="106" t="s">
        <v>2291</v>
      </c>
      <c r="B293" s="106">
        <v>3004373</v>
      </c>
      <c r="C293" s="106" t="s">
        <v>2134</v>
      </c>
      <c r="D293" s="106">
        <v>46</v>
      </c>
      <c r="E293" s="107" t="s">
        <v>1828</v>
      </c>
    </row>
    <row r="294" spans="1:6" x14ac:dyDescent="0.3">
      <c r="A294" s="106" t="s">
        <v>2291</v>
      </c>
      <c r="B294" s="106">
        <v>3004378</v>
      </c>
      <c r="C294" s="106" t="s">
        <v>2135</v>
      </c>
      <c r="D294" s="106">
        <v>29</v>
      </c>
      <c r="E294" s="107" t="s">
        <v>1828</v>
      </c>
    </row>
    <row r="295" spans="1:6" x14ac:dyDescent="0.3">
      <c r="A295" s="106" t="s">
        <v>2291</v>
      </c>
      <c r="B295" s="106">
        <v>3004375</v>
      </c>
      <c r="C295" s="106" t="s">
        <v>2136</v>
      </c>
      <c r="D295" s="106">
        <v>19</v>
      </c>
      <c r="E295" s="107" t="s">
        <v>1828</v>
      </c>
    </row>
    <row r="296" spans="1:6" x14ac:dyDescent="0.3">
      <c r="A296" s="106" t="s">
        <v>2291</v>
      </c>
      <c r="B296" s="106">
        <v>3004376</v>
      </c>
      <c r="C296" s="106" t="s">
        <v>2137</v>
      </c>
      <c r="D296" s="106">
        <v>16</v>
      </c>
      <c r="E296" s="107" t="s">
        <v>1828</v>
      </c>
    </row>
    <row r="297" spans="1:6" x14ac:dyDescent="0.3">
      <c r="A297" s="106" t="s">
        <v>2291</v>
      </c>
      <c r="B297" s="106">
        <v>3004374</v>
      </c>
      <c r="C297" s="106" t="s">
        <v>2138</v>
      </c>
      <c r="D297" s="106">
        <v>84</v>
      </c>
      <c r="E297" s="107" t="s">
        <v>1828</v>
      </c>
    </row>
    <row r="298" spans="1:6" x14ac:dyDescent="0.3">
      <c r="A298" s="106" t="s">
        <v>2291</v>
      </c>
      <c r="B298" s="106">
        <v>3004372</v>
      </c>
      <c r="C298" s="106" t="s">
        <v>2139</v>
      </c>
      <c r="D298" s="106">
        <v>1</v>
      </c>
      <c r="E298" s="107" t="s">
        <v>1828</v>
      </c>
    </row>
    <row r="299" spans="1:6" x14ac:dyDescent="0.3">
      <c r="A299" s="106" t="s">
        <v>2291</v>
      </c>
      <c r="B299" s="106">
        <v>3000168</v>
      </c>
      <c r="C299" s="106" t="s">
        <v>2140</v>
      </c>
      <c r="D299" s="106">
        <v>42</v>
      </c>
      <c r="E299" s="107" t="s">
        <v>1828</v>
      </c>
    </row>
    <row r="300" spans="1:6" x14ac:dyDescent="0.3">
      <c r="A300" s="106" t="s">
        <v>2291</v>
      </c>
      <c r="B300" s="106">
        <v>3000397</v>
      </c>
      <c r="C300" s="106" t="s">
        <v>2141</v>
      </c>
      <c r="D300" s="106">
        <v>28</v>
      </c>
      <c r="F300" s="107" t="s">
        <v>1828</v>
      </c>
    </row>
    <row r="301" spans="1:6" x14ac:dyDescent="0.3">
      <c r="A301" s="106" t="s">
        <v>2291</v>
      </c>
      <c r="B301" s="106">
        <v>3001096</v>
      </c>
      <c r="C301" s="106" t="s">
        <v>2142</v>
      </c>
      <c r="D301" s="106">
        <v>34</v>
      </c>
      <c r="E301" s="107" t="s">
        <v>1828</v>
      </c>
    </row>
    <row r="302" spans="1:6" x14ac:dyDescent="0.3">
      <c r="A302" s="106" t="s">
        <v>2291</v>
      </c>
      <c r="B302" s="106">
        <v>3000676</v>
      </c>
      <c r="C302" s="106" t="s">
        <v>2143</v>
      </c>
      <c r="D302" s="106">
        <v>22</v>
      </c>
      <c r="E302" s="107" t="s">
        <v>1828</v>
      </c>
    </row>
    <row r="303" spans="1:6" x14ac:dyDescent="0.3">
      <c r="A303" s="106" t="s">
        <v>2291</v>
      </c>
      <c r="B303" s="106">
        <v>3004336</v>
      </c>
      <c r="C303" s="106" t="s">
        <v>2144</v>
      </c>
      <c r="D303" s="106">
        <v>8</v>
      </c>
    </row>
    <row r="304" spans="1:6" x14ac:dyDescent="0.3">
      <c r="A304" s="106" t="s">
        <v>2291</v>
      </c>
      <c r="B304" s="106">
        <v>3004332</v>
      </c>
      <c r="C304" s="106" t="s">
        <v>2145</v>
      </c>
      <c r="D304" s="106">
        <v>2</v>
      </c>
    </row>
    <row r="305" spans="1:5" x14ac:dyDescent="0.3">
      <c r="A305" s="106" t="s">
        <v>2291</v>
      </c>
      <c r="B305" s="106">
        <v>3004337</v>
      </c>
      <c r="C305" s="106" t="s">
        <v>2146</v>
      </c>
      <c r="D305" s="106">
        <v>9</v>
      </c>
    </row>
    <row r="306" spans="1:5" x14ac:dyDescent="0.3">
      <c r="A306" s="106" t="s">
        <v>2291</v>
      </c>
      <c r="B306" s="106">
        <v>3004334</v>
      </c>
      <c r="C306" s="106" t="s">
        <v>2147</v>
      </c>
      <c r="D306" s="106">
        <v>22</v>
      </c>
    </row>
    <row r="307" spans="1:5" x14ac:dyDescent="0.3">
      <c r="A307" s="106" t="s">
        <v>2291</v>
      </c>
      <c r="B307" s="106">
        <v>3004335</v>
      </c>
      <c r="C307" s="106" t="s">
        <v>2148</v>
      </c>
      <c r="D307" s="106">
        <v>38</v>
      </c>
    </row>
    <row r="308" spans="1:5" x14ac:dyDescent="0.3">
      <c r="A308" s="106" t="s">
        <v>2291</v>
      </c>
      <c r="B308" s="106">
        <v>3004333</v>
      </c>
      <c r="C308" s="106" t="s">
        <v>2149</v>
      </c>
      <c r="D308" s="106">
        <v>22</v>
      </c>
    </row>
    <row r="309" spans="1:5" x14ac:dyDescent="0.3">
      <c r="A309" s="106" t="s">
        <v>2291</v>
      </c>
      <c r="B309" s="106">
        <v>3004331</v>
      </c>
      <c r="C309" s="106" t="s">
        <v>2150</v>
      </c>
      <c r="D309" s="106">
        <v>1</v>
      </c>
    </row>
    <row r="310" spans="1:5" x14ac:dyDescent="0.3">
      <c r="A310" s="106" t="s">
        <v>2291</v>
      </c>
      <c r="B310" s="106">
        <v>3002746</v>
      </c>
      <c r="C310" s="106" t="s">
        <v>2151</v>
      </c>
      <c r="D310" s="106">
        <v>55</v>
      </c>
      <c r="E310" s="107" t="s">
        <v>1828</v>
      </c>
    </row>
    <row r="311" spans="1:5" x14ac:dyDescent="0.3">
      <c r="A311" s="106" t="s">
        <v>2291</v>
      </c>
      <c r="B311" s="106">
        <v>3002738</v>
      </c>
      <c r="C311" s="106" t="s">
        <v>2152</v>
      </c>
      <c r="D311" s="106">
        <v>113</v>
      </c>
      <c r="E311" s="107" t="s">
        <v>1828</v>
      </c>
    </row>
    <row r="312" spans="1:5" x14ac:dyDescent="0.3">
      <c r="A312" s="106" t="s">
        <v>2291</v>
      </c>
      <c r="B312" s="106">
        <v>3000455</v>
      </c>
      <c r="C312" s="106" t="s">
        <v>2153</v>
      </c>
      <c r="D312" s="106">
        <v>17</v>
      </c>
      <c r="E312" s="107" t="s">
        <v>1828</v>
      </c>
    </row>
    <row r="313" spans="1:5" x14ac:dyDescent="0.3">
      <c r="A313" s="106" t="s">
        <v>2291</v>
      </c>
      <c r="B313" s="106">
        <v>3000055</v>
      </c>
      <c r="C313" s="106" t="s">
        <v>2154</v>
      </c>
      <c r="D313" s="106">
        <v>26</v>
      </c>
      <c r="E313" s="107" t="s">
        <v>1828</v>
      </c>
    </row>
    <row r="314" spans="1:5" x14ac:dyDescent="0.3">
      <c r="A314" s="106" t="s">
        <v>2291</v>
      </c>
      <c r="B314" s="106">
        <v>3001452</v>
      </c>
      <c r="C314" s="106" t="s">
        <v>2155</v>
      </c>
      <c r="D314" s="106">
        <v>20</v>
      </c>
    </row>
    <row r="315" spans="1:5" x14ac:dyDescent="0.3">
      <c r="A315" s="106" t="s">
        <v>2291</v>
      </c>
      <c r="B315" s="106">
        <v>3003112</v>
      </c>
      <c r="C315" s="106" t="s">
        <v>2156</v>
      </c>
      <c r="D315" s="106">
        <v>36</v>
      </c>
      <c r="E315" s="107" t="s">
        <v>1828</v>
      </c>
    </row>
    <row r="316" spans="1:5" x14ac:dyDescent="0.3">
      <c r="A316" s="106" t="s">
        <v>2291</v>
      </c>
      <c r="B316" s="106">
        <v>3000533</v>
      </c>
      <c r="C316" s="106" t="s">
        <v>2157</v>
      </c>
      <c r="D316" s="106">
        <v>123</v>
      </c>
      <c r="E316" s="107" t="s">
        <v>1828</v>
      </c>
    </row>
    <row r="317" spans="1:5" x14ac:dyDescent="0.3">
      <c r="A317" s="106" t="s">
        <v>2291</v>
      </c>
      <c r="B317" s="106">
        <v>3000209</v>
      </c>
      <c r="C317" s="106" t="s">
        <v>2158</v>
      </c>
      <c r="D317" s="106">
        <v>17</v>
      </c>
      <c r="E317" s="107" t="s">
        <v>1828</v>
      </c>
    </row>
    <row r="318" spans="1:5" x14ac:dyDescent="0.3">
      <c r="A318" s="106" t="s">
        <v>2291</v>
      </c>
      <c r="B318" s="106">
        <v>3001291</v>
      </c>
      <c r="C318" s="106" t="s">
        <v>2159</v>
      </c>
      <c r="D318" s="106">
        <v>25</v>
      </c>
      <c r="E318" s="107" t="s">
        <v>1828</v>
      </c>
    </row>
    <row r="319" spans="1:5" x14ac:dyDescent="0.3">
      <c r="A319" s="106" t="s">
        <v>2291</v>
      </c>
      <c r="B319" s="106">
        <v>3000059</v>
      </c>
      <c r="C319" s="106" t="s">
        <v>2160</v>
      </c>
      <c r="D319" s="106">
        <v>215</v>
      </c>
      <c r="E319" s="107" t="s">
        <v>1828</v>
      </c>
    </row>
    <row r="320" spans="1:5" x14ac:dyDescent="0.3">
      <c r="A320" s="106" t="s">
        <v>2291</v>
      </c>
      <c r="B320" s="106">
        <v>3004210</v>
      </c>
      <c r="C320" s="106" t="s">
        <v>2161</v>
      </c>
      <c r="D320" s="106">
        <v>11</v>
      </c>
      <c r="E320" s="107" t="s">
        <v>1828</v>
      </c>
    </row>
    <row r="321" spans="1:8" x14ac:dyDescent="0.3">
      <c r="A321" s="106" t="s">
        <v>2291</v>
      </c>
      <c r="B321" s="106">
        <v>3004211</v>
      </c>
      <c r="C321" s="106" t="s">
        <v>2162</v>
      </c>
      <c r="D321" s="106">
        <v>16</v>
      </c>
      <c r="E321" s="107" t="s">
        <v>1828</v>
      </c>
    </row>
    <row r="322" spans="1:8" x14ac:dyDescent="0.3">
      <c r="A322" s="106" t="s">
        <v>2291</v>
      </c>
      <c r="B322" s="106">
        <v>3004311</v>
      </c>
      <c r="C322" s="106" t="s">
        <v>2163</v>
      </c>
      <c r="D322" s="106">
        <v>36</v>
      </c>
      <c r="E322" s="107" t="s">
        <v>1828</v>
      </c>
    </row>
    <row r="323" spans="1:8" x14ac:dyDescent="0.3">
      <c r="A323" s="106" t="s">
        <v>2291</v>
      </c>
      <c r="B323" s="106">
        <v>3004212</v>
      </c>
      <c r="C323" s="106" t="s">
        <v>2164</v>
      </c>
      <c r="D323" s="106">
        <v>23</v>
      </c>
      <c r="E323" s="107" t="s">
        <v>1828</v>
      </c>
    </row>
    <row r="324" spans="1:8" x14ac:dyDescent="0.3">
      <c r="A324" s="106" t="s">
        <v>2291</v>
      </c>
      <c r="B324" s="106">
        <v>3004213</v>
      </c>
      <c r="C324" s="106" t="s">
        <v>2165</v>
      </c>
      <c r="D324" s="106">
        <v>19</v>
      </c>
      <c r="E324" s="107" t="s">
        <v>1828</v>
      </c>
    </row>
    <row r="325" spans="1:8" x14ac:dyDescent="0.3">
      <c r="A325" s="106" t="s">
        <v>2291</v>
      </c>
      <c r="B325" s="106">
        <v>3004214</v>
      </c>
      <c r="C325" s="106" t="s">
        <v>2166</v>
      </c>
      <c r="D325" s="106">
        <v>1</v>
      </c>
      <c r="E325" s="107" t="s">
        <v>1828</v>
      </c>
    </row>
    <row r="326" spans="1:8" x14ac:dyDescent="0.3">
      <c r="A326" s="106" t="s">
        <v>2291</v>
      </c>
      <c r="B326" s="106">
        <v>3004215</v>
      </c>
      <c r="C326" s="106" t="s">
        <v>2167</v>
      </c>
      <c r="D326" s="106">
        <v>36</v>
      </c>
      <c r="E326" s="107" t="s">
        <v>1828</v>
      </c>
    </row>
    <row r="327" spans="1:8" x14ac:dyDescent="0.3">
      <c r="A327" s="106" t="s">
        <v>2291</v>
      </c>
      <c r="B327" s="106">
        <v>3004216</v>
      </c>
      <c r="C327" s="106" t="s">
        <v>2168</v>
      </c>
      <c r="D327" s="106">
        <v>14</v>
      </c>
      <c r="E327" s="107" t="s">
        <v>1828</v>
      </c>
    </row>
    <row r="328" spans="1:8" x14ac:dyDescent="0.3">
      <c r="A328" s="106" t="s">
        <v>2291</v>
      </c>
      <c r="B328" s="106">
        <v>3001912</v>
      </c>
      <c r="C328" s="106" t="s">
        <v>2169</v>
      </c>
      <c r="D328" s="106">
        <v>21</v>
      </c>
      <c r="E328" s="107" t="s">
        <v>1828</v>
      </c>
    </row>
    <row r="329" spans="1:8" x14ac:dyDescent="0.3">
      <c r="A329" s="106" t="s">
        <v>2291</v>
      </c>
      <c r="B329" s="106">
        <v>3000543</v>
      </c>
      <c r="C329" s="106" t="s">
        <v>2170</v>
      </c>
      <c r="D329" s="106">
        <v>16</v>
      </c>
      <c r="E329" s="107" t="s">
        <v>1828</v>
      </c>
    </row>
    <row r="330" spans="1:8" x14ac:dyDescent="0.3">
      <c r="A330" s="106" t="s">
        <v>2291</v>
      </c>
      <c r="B330" s="106">
        <v>3000783</v>
      </c>
      <c r="C330" s="106" t="s">
        <v>2171</v>
      </c>
      <c r="D330" s="106">
        <v>12</v>
      </c>
      <c r="E330" s="107" t="s">
        <v>1828</v>
      </c>
    </row>
    <row r="331" spans="1:8" x14ac:dyDescent="0.3">
      <c r="A331" s="106" t="s">
        <v>2291</v>
      </c>
      <c r="B331" s="106">
        <v>3000166</v>
      </c>
      <c r="C331" s="106" t="s">
        <v>2172</v>
      </c>
      <c r="D331" s="106">
        <v>28</v>
      </c>
      <c r="E331" s="107" t="s">
        <v>1828</v>
      </c>
    </row>
    <row r="332" spans="1:8" x14ac:dyDescent="0.3">
      <c r="A332" s="106" t="s">
        <v>2291</v>
      </c>
      <c r="B332" s="106">
        <v>3002955</v>
      </c>
      <c r="C332" s="106" t="s">
        <v>2173</v>
      </c>
      <c r="D332" s="106">
        <v>18</v>
      </c>
    </row>
    <row r="333" spans="1:8" x14ac:dyDescent="0.3">
      <c r="A333" s="106" t="s">
        <v>2291</v>
      </c>
      <c r="B333" s="106">
        <v>3002251</v>
      </c>
      <c r="C333" s="106" t="s">
        <v>2174</v>
      </c>
      <c r="D333" s="106">
        <v>17</v>
      </c>
    </row>
    <row r="334" spans="1:8" x14ac:dyDescent="0.3">
      <c r="A334" s="106" t="s">
        <v>2291</v>
      </c>
      <c r="B334" s="106">
        <v>3002434</v>
      </c>
      <c r="C334" s="106" t="s">
        <v>2175</v>
      </c>
      <c r="D334" s="106">
        <v>19</v>
      </c>
      <c r="E334" s="107" t="s">
        <v>1828</v>
      </c>
    </row>
    <row r="335" spans="1:8" x14ac:dyDescent="0.3">
      <c r="A335" s="106" t="s">
        <v>2291</v>
      </c>
      <c r="B335" s="106">
        <v>3000790</v>
      </c>
      <c r="C335" s="106" t="s">
        <v>2176</v>
      </c>
      <c r="D335" s="106">
        <v>20</v>
      </c>
      <c r="E335" s="107" t="s">
        <v>1828</v>
      </c>
    </row>
    <row r="336" spans="1:8" x14ac:dyDescent="0.3">
      <c r="A336" s="106" t="s">
        <v>2291</v>
      </c>
      <c r="B336" s="106">
        <v>3000367</v>
      </c>
      <c r="C336" s="106" t="s">
        <v>2177</v>
      </c>
      <c r="D336" s="106">
        <v>316</v>
      </c>
      <c r="E336" s="107" t="s">
        <v>1828</v>
      </c>
      <c r="H336" s="106" t="s">
        <v>2178</v>
      </c>
    </row>
    <row r="337" spans="1:6" x14ac:dyDescent="0.3">
      <c r="A337" s="106" t="s">
        <v>2291</v>
      </c>
      <c r="B337" s="106">
        <v>3000232</v>
      </c>
      <c r="C337" s="106" t="s">
        <v>2179</v>
      </c>
      <c r="D337" s="106">
        <v>3</v>
      </c>
      <c r="E337" s="107" t="s">
        <v>1828</v>
      </c>
    </row>
    <row r="338" spans="1:6" x14ac:dyDescent="0.3">
      <c r="A338" s="106" t="s">
        <v>2291</v>
      </c>
      <c r="B338" s="106">
        <v>3000616</v>
      </c>
      <c r="C338" s="106" t="s">
        <v>2180</v>
      </c>
      <c r="D338" s="106">
        <v>19</v>
      </c>
      <c r="E338" s="107" t="s">
        <v>1828</v>
      </c>
    </row>
    <row r="339" spans="1:6" x14ac:dyDescent="0.3">
      <c r="A339" s="106" t="s">
        <v>2291</v>
      </c>
      <c r="B339" s="106">
        <v>3000593</v>
      </c>
      <c r="C339" s="106" t="s">
        <v>2181</v>
      </c>
      <c r="D339" s="106">
        <v>18</v>
      </c>
    </row>
    <row r="340" spans="1:6" x14ac:dyDescent="0.3">
      <c r="A340" s="106" t="s">
        <v>2291</v>
      </c>
      <c r="B340" s="106">
        <v>3001163</v>
      </c>
      <c r="C340" s="106" t="s">
        <v>2182</v>
      </c>
      <c r="D340" s="106">
        <v>29</v>
      </c>
      <c r="F340" s="107" t="s">
        <v>1828</v>
      </c>
    </row>
    <row r="341" spans="1:6" x14ac:dyDescent="0.3">
      <c r="A341" s="106" t="s">
        <v>2291</v>
      </c>
      <c r="B341" s="106">
        <v>3002236</v>
      </c>
      <c r="C341" s="106" t="s">
        <v>2183</v>
      </c>
      <c r="D341" s="106">
        <v>4</v>
      </c>
    </row>
    <row r="342" spans="1:6" x14ac:dyDescent="0.3">
      <c r="A342" s="106" t="s">
        <v>2291</v>
      </c>
      <c r="B342" s="106">
        <v>3003544</v>
      </c>
      <c r="C342" s="106" t="s">
        <v>2184</v>
      </c>
      <c r="D342" s="106">
        <v>32</v>
      </c>
      <c r="E342" s="107" t="s">
        <v>1828</v>
      </c>
    </row>
    <row r="343" spans="1:6" x14ac:dyDescent="0.3">
      <c r="A343" s="106" t="s">
        <v>2291</v>
      </c>
      <c r="B343" s="106">
        <v>3002102</v>
      </c>
      <c r="C343" s="106" t="s">
        <v>2185</v>
      </c>
      <c r="D343" s="106">
        <v>82</v>
      </c>
      <c r="F343" s="107" t="s">
        <v>1828</v>
      </c>
    </row>
    <row r="344" spans="1:6" x14ac:dyDescent="0.3">
      <c r="A344" s="106" t="s">
        <v>2291</v>
      </c>
      <c r="B344" s="106">
        <v>3001910</v>
      </c>
      <c r="C344" s="106" t="s">
        <v>2186</v>
      </c>
      <c r="D344" s="106">
        <v>44</v>
      </c>
    </row>
    <row r="345" spans="1:6" x14ac:dyDescent="0.3">
      <c r="A345" s="106" t="s">
        <v>2291</v>
      </c>
      <c r="B345" s="106">
        <v>3000411</v>
      </c>
      <c r="C345" s="106" t="s">
        <v>2187</v>
      </c>
      <c r="D345" s="106">
        <v>23</v>
      </c>
    </row>
    <row r="346" spans="1:6" x14ac:dyDescent="0.3">
      <c r="A346" s="106" t="s">
        <v>2291</v>
      </c>
      <c r="B346" s="106">
        <v>3002356</v>
      </c>
      <c r="C346" s="106" t="s">
        <v>2188</v>
      </c>
      <c r="D346" s="106">
        <v>1</v>
      </c>
    </row>
    <row r="347" spans="1:6" x14ac:dyDescent="0.3">
      <c r="A347" s="106" t="s">
        <v>2291</v>
      </c>
      <c r="B347" s="106">
        <v>3000194</v>
      </c>
      <c r="C347" s="106" t="s">
        <v>2189</v>
      </c>
      <c r="D347" s="106">
        <v>14</v>
      </c>
    </row>
    <row r="348" spans="1:6" x14ac:dyDescent="0.3">
      <c r="A348" s="106" t="s">
        <v>2291</v>
      </c>
      <c r="B348" s="106">
        <v>3001048</v>
      </c>
      <c r="C348" s="106" t="s">
        <v>2190</v>
      </c>
      <c r="D348" s="106">
        <v>31</v>
      </c>
      <c r="E348" s="107" t="s">
        <v>1828</v>
      </c>
    </row>
    <row r="349" spans="1:6" x14ac:dyDescent="0.3">
      <c r="A349" s="106" t="s">
        <v>2291</v>
      </c>
      <c r="B349" s="106">
        <v>3002629</v>
      </c>
      <c r="C349" s="106" t="s">
        <v>2191</v>
      </c>
      <c r="D349" s="106">
        <v>2</v>
      </c>
      <c r="E349" s="107" t="s">
        <v>1828</v>
      </c>
    </row>
    <row r="350" spans="1:6" x14ac:dyDescent="0.3">
      <c r="A350" s="106" t="s">
        <v>2291</v>
      </c>
      <c r="B350" s="106">
        <v>3004020</v>
      </c>
      <c r="C350" s="106" t="s">
        <v>2192</v>
      </c>
      <c r="D350" s="106">
        <v>1</v>
      </c>
    </row>
    <row r="351" spans="1:6" x14ac:dyDescent="0.3">
      <c r="A351" s="106" t="s">
        <v>2291</v>
      </c>
      <c r="B351" s="106">
        <v>3004287</v>
      </c>
      <c r="C351" s="106" t="s">
        <v>2193</v>
      </c>
      <c r="D351" s="106">
        <v>1</v>
      </c>
      <c r="E351" s="107" t="s">
        <v>1828</v>
      </c>
    </row>
    <row r="352" spans="1:6" x14ac:dyDescent="0.3">
      <c r="A352" s="106" t="s">
        <v>2291</v>
      </c>
      <c r="B352" s="106">
        <v>3004288</v>
      </c>
      <c r="C352" s="106" t="s">
        <v>2194</v>
      </c>
      <c r="D352" s="106">
        <v>15</v>
      </c>
      <c r="E352" s="107" t="s">
        <v>1828</v>
      </c>
    </row>
    <row r="353" spans="1:6" x14ac:dyDescent="0.3">
      <c r="A353" s="106" t="s">
        <v>2291</v>
      </c>
      <c r="B353" s="106">
        <v>3004289</v>
      </c>
      <c r="C353" s="106" t="s">
        <v>2195</v>
      </c>
      <c r="D353" s="106">
        <v>11</v>
      </c>
      <c r="E353" s="107" t="s">
        <v>1828</v>
      </c>
    </row>
    <row r="354" spans="1:6" x14ac:dyDescent="0.3">
      <c r="A354" s="106" t="s">
        <v>2291</v>
      </c>
      <c r="B354" s="106">
        <v>3004290</v>
      </c>
      <c r="C354" s="106" t="s">
        <v>2196</v>
      </c>
      <c r="D354" s="106">
        <v>18</v>
      </c>
      <c r="E354" s="107" t="s">
        <v>1828</v>
      </c>
    </row>
    <row r="355" spans="1:6" x14ac:dyDescent="0.3">
      <c r="A355" s="106" t="s">
        <v>2291</v>
      </c>
      <c r="B355" s="106">
        <v>3004291</v>
      </c>
      <c r="C355" s="106" t="s">
        <v>2197</v>
      </c>
      <c r="D355" s="106">
        <v>126</v>
      </c>
      <c r="E355" s="107" t="s">
        <v>1828</v>
      </c>
    </row>
    <row r="356" spans="1:6" x14ac:dyDescent="0.3">
      <c r="A356" s="106" t="s">
        <v>2291</v>
      </c>
      <c r="B356" s="106">
        <v>3000063</v>
      </c>
      <c r="C356" s="106" t="s">
        <v>2198</v>
      </c>
      <c r="D356" s="106">
        <v>68</v>
      </c>
    </row>
    <row r="357" spans="1:6" x14ac:dyDescent="0.3">
      <c r="A357" s="106" t="s">
        <v>2291</v>
      </c>
      <c r="B357" s="106">
        <v>3000508</v>
      </c>
      <c r="C357" s="106" t="s">
        <v>2199</v>
      </c>
      <c r="D357" s="106">
        <v>24</v>
      </c>
    </row>
    <row r="358" spans="1:6" x14ac:dyDescent="0.3">
      <c r="A358" s="106" t="s">
        <v>2291</v>
      </c>
      <c r="B358" s="106">
        <v>3001009</v>
      </c>
      <c r="C358" s="106" t="s">
        <v>2200</v>
      </c>
      <c r="D358" s="106">
        <v>230</v>
      </c>
      <c r="E358" s="107" t="s">
        <v>1828</v>
      </c>
    </row>
    <row r="359" spans="1:6" x14ac:dyDescent="0.3">
      <c r="A359" s="106" t="s">
        <v>2291</v>
      </c>
      <c r="B359" s="106">
        <v>3002923</v>
      </c>
      <c r="C359" s="106" t="s">
        <v>2201</v>
      </c>
      <c r="D359" s="106">
        <v>1</v>
      </c>
      <c r="E359" s="107" t="s">
        <v>1828</v>
      </c>
    </row>
    <row r="360" spans="1:6" x14ac:dyDescent="0.3">
      <c r="A360" s="106" t="s">
        <v>2291</v>
      </c>
      <c r="B360" s="106">
        <v>3004428</v>
      </c>
      <c r="C360" s="106" t="s">
        <v>2202</v>
      </c>
      <c r="D360" s="106">
        <v>34</v>
      </c>
      <c r="E360" s="107" t="s">
        <v>1828</v>
      </c>
    </row>
    <row r="361" spans="1:6" x14ac:dyDescent="0.3">
      <c r="A361" s="106" t="s">
        <v>2291</v>
      </c>
      <c r="B361" s="106">
        <v>3004429</v>
      </c>
      <c r="C361" s="106" t="s">
        <v>2203</v>
      </c>
      <c r="D361" s="106">
        <v>16</v>
      </c>
      <c r="E361" s="107" t="s">
        <v>1828</v>
      </c>
    </row>
    <row r="362" spans="1:6" x14ac:dyDescent="0.3">
      <c r="A362" s="106" t="s">
        <v>2291</v>
      </c>
      <c r="B362" s="106">
        <v>3004430</v>
      </c>
      <c r="C362" s="106" t="s">
        <v>2204</v>
      </c>
      <c r="D362" s="106">
        <v>15</v>
      </c>
      <c r="E362" s="107" t="s">
        <v>1828</v>
      </c>
    </row>
    <row r="363" spans="1:6" x14ac:dyDescent="0.3">
      <c r="A363" s="106" t="s">
        <v>2291</v>
      </c>
      <c r="B363" s="106">
        <v>3003980</v>
      </c>
      <c r="C363" s="106" t="s">
        <v>2205</v>
      </c>
      <c r="D363" s="106">
        <v>7</v>
      </c>
      <c r="E363" s="107" t="s">
        <v>1828</v>
      </c>
    </row>
    <row r="364" spans="1:6" x14ac:dyDescent="0.3">
      <c r="A364" s="106" t="s">
        <v>2291</v>
      </c>
      <c r="B364" s="106">
        <v>3004438</v>
      </c>
      <c r="C364" s="106" t="s">
        <v>2206</v>
      </c>
      <c r="D364" s="106">
        <v>4</v>
      </c>
      <c r="F364" s="107" t="s">
        <v>1828</v>
      </c>
    </row>
    <row r="365" spans="1:6" x14ac:dyDescent="0.3">
      <c r="A365" s="106" t="s">
        <v>2291</v>
      </c>
      <c r="B365" s="106">
        <v>3004437</v>
      </c>
      <c r="C365" s="106" t="s">
        <v>2207</v>
      </c>
      <c r="D365" s="106">
        <v>7</v>
      </c>
      <c r="F365" s="107" t="s">
        <v>1828</v>
      </c>
    </row>
    <row r="366" spans="1:6" x14ac:dyDescent="0.3">
      <c r="A366" s="106" t="s">
        <v>2291</v>
      </c>
      <c r="B366" s="106">
        <v>3004420</v>
      </c>
      <c r="C366" s="106" t="s">
        <v>2208</v>
      </c>
      <c r="D366" s="106">
        <v>30</v>
      </c>
      <c r="F366" s="107" t="s">
        <v>1828</v>
      </c>
    </row>
    <row r="367" spans="1:6" x14ac:dyDescent="0.3">
      <c r="A367" s="106" t="s">
        <v>2291</v>
      </c>
      <c r="B367" s="106">
        <v>3004439</v>
      </c>
      <c r="C367" s="106" t="s">
        <v>2209</v>
      </c>
      <c r="D367" s="106">
        <v>3</v>
      </c>
      <c r="F367" s="107" t="s">
        <v>1828</v>
      </c>
    </row>
    <row r="368" spans="1:6" x14ac:dyDescent="0.3">
      <c r="A368" s="106" t="s">
        <v>2291</v>
      </c>
      <c r="B368" s="106">
        <v>3004440</v>
      </c>
      <c r="C368" s="106" t="s">
        <v>2210</v>
      </c>
      <c r="D368" s="106">
        <v>13</v>
      </c>
      <c r="F368" s="107" t="s">
        <v>1828</v>
      </c>
    </row>
    <row r="369" spans="1:8" x14ac:dyDescent="0.3">
      <c r="A369" s="106" t="s">
        <v>2291</v>
      </c>
      <c r="B369" s="106">
        <v>3004441</v>
      </c>
      <c r="C369" s="106" t="s">
        <v>2211</v>
      </c>
      <c r="D369" s="106">
        <v>24</v>
      </c>
      <c r="F369" s="107" t="s">
        <v>1828</v>
      </c>
    </row>
    <row r="370" spans="1:8" x14ac:dyDescent="0.3">
      <c r="A370" s="106" t="s">
        <v>2291</v>
      </c>
      <c r="B370" s="106">
        <v>3004442</v>
      </c>
      <c r="C370" s="106" t="s">
        <v>2212</v>
      </c>
      <c r="D370" s="106">
        <v>4</v>
      </c>
      <c r="F370" s="107" t="s">
        <v>1828</v>
      </c>
    </row>
    <row r="371" spans="1:8" x14ac:dyDescent="0.3">
      <c r="A371" s="106" t="s">
        <v>2291</v>
      </c>
      <c r="B371" s="106">
        <v>3000064</v>
      </c>
      <c r="C371" s="106" t="s">
        <v>2213</v>
      </c>
      <c r="D371" s="106">
        <v>101</v>
      </c>
      <c r="F371" s="107" t="s">
        <v>1828</v>
      </c>
    </row>
    <row r="372" spans="1:8" x14ac:dyDescent="0.3">
      <c r="A372" s="106" t="s">
        <v>2291</v>
      </c>
      <c r="B372" s="106">
        <v>3002925</v>
      </c>
      <c r="C372" s="106" t="s">
        <v>2214</v>
      </c>
      <c r="D372" s="106">
        <v>78</v>
      </c>
    </row>
    <row r="373" spans="1:8" x14ac:dyDescent="0.3">
      <c r="A373" s="106" t="s">
        <v>2291</v>
      </c>
      <c r="B373" s="106">
        <v>3004371</v>
      </c>
      <c r="C373" s="106" t="s">
        <v>2215</v>
      </c>
      <c r="D373" s="106">
        <v>30</v>
      </c>
      <c r="F373" s="107" t="s">
        <v>1828</v>
      </c>
    </row>
    <row r="374" spans="1:8" x14ac:dyDescent="0.3">
      <c r="A374" s="106" t="s">
        <v>2291</v>
      </c>
      <c r="B374" s="106">
        <v>3004369</v>
      </c>
      <c r="C374" s="106" t="s">
        <v>2216</v>
      </c>
      <c r="D374" s="106">
        <v>49</v>
      </c>
      <c r="F374" s="107" t="s">
        <v>1828</v>
      </c>
    </row>
    <row r="375" spans="1:8" x14ac:dyDescent="0.3">
      <c r="A375" s="106" t="s">
        <v>2291</v>
      </c>
      <c r="B375" s="106">
        <v>3004368</v>
      </c>
      <c r="C375" s="106" t="s">
        <v>2217</v>
      </c>
      <c r="D375" s="106">
        <v>21</v>
      </c>
      <c r="F375" s="107" t="s">
        <v>1828</v>
      </c>
      <c r="H375" s="106" t="s">
        <v>2218</v>
      </c>
    </row>
    <row r="376" spans="1:8" x14ac:dyDescent="0.3">
      <c r="A376" s="106" t="s">
        <v>2291</v>
      </c>
      <c r="B376" s="106">
        <v>3000297</v>
      </c>
      <c r="C376" s="106" t="s">
        <v>2219</v>
      </c>
      <c r="D376" s="106">
        <v>36</v>
      </c>
    </row>
    <row r="377" spans="1:8" x14ac:dyDescent="0.3">
      <c r="A377" s="106" t="s">
        <v>2291</v>
      </c>
      <c r="B377" s="106">
        <v>3002328</v>
      </c>
      <c r="C377" s="106" t="s">
        <v>2220</v>
      </c>
      <c r="D377" s="106">
        <v>1</v>
      </c>
      <c r="E377" s="107" t="s">
        <v>1828</v>
      </c>
    </row>
    <row r="378" spans="1:8" x14ac:dyDescent="0.3">
      <c r="A378" s="106" t="s">
        <v>2291</v>
      </c>
      <c r="B378" s="106">
        <v>3004234</v>
      </c>
      <c r="C378" s="106" t="s">
        <v>2221</v>
      </c>
      <c r="D378" s="106">
        <v>26</v>
      </c>
      <c r="E378" s="107" t="s">
        <v>1828</v>
      </c>
    </row>
    <row r="379" spans="1:8" x14ac:dyDescent="0.3">
      <c r="A379" s="106" t="s">
        <v>2291</v>
      </c>
      <c r="B379" s="106">
        <v>3002832</v>
      </c>
      <c r="C379" s="106" t="s">
        <v>2222</v>
      </c>
      <c r="D379" s="106">
        <v>20</v>
      </c>
    </row>
    <row r="380" spans="1:8" x14ac:dyDescent="0.3">
      <c r="A380" s="106" t="s">
        <v>2291</v>
      </c>
      <c r="B380" s="106">
        <v>3002438</v>
      </c>
      <c r="C380" s="106" t="s">
        <v>2223</v>
      </c>
      <c r="D380" s="106">
        <v>44</v>
      </c>
    </row>
    <row r="381" spans="1:8" x14ac:dyDescent="0.3">
      <c r="A381" s="106" t="s">
        <v>2291</v>
      </c>
      <c r="B381" s="106">
        <v>3000738</v>
      </c>
      <c r="C381" s="106" t="s">
        <v>2224</v>
      </c>
      <c r="D381" s="106">
        <v>37</v>
      </c>
    </row>
    <row r="382" spans="1:8" x14ac:dyDescent="0.3">
      <c r="A382" s="106" t="s">
        <v>2291</v>
      </c>
      <c r="B382" s="106">
        <v>3000937</v>
      </c>
      <c r="C382" s="106" t="s">
        <v>2225</v>
      </c>
      <c r="D382" s="106">
        <v>22</v>
      </c>
    </row>
    <row r="383" spans="1:8" x14ac:dyDescent="0.3">
      <c r="A383" s="106" t="s">
        <v>2291</v>
      </c>
      <c r="B383" s="106">
        <v>3000489</v>
      </c>
      <c r="C383" s="106" t="s">
        <v>2226</v>
      </c>
      <c r="D383" s="106">
        <v>28</v>
      </c>
    </row>
    <row r="384" spans="1:8" x14ac:dyDescent="0.3">
      <c r="A384" s="106" t="s">
        <v>2291</v>
      </c>
      <c r="B384" s="106">
        <v>3000025</v>
      </c>
      <c r="C384" s="106" t="s">
        <v>2227</v>
      </c>
      <c r="D384" s="106">
        <v>16</v>
      </c>
    </row>
    <row r="385" spans="1:6" x14ac:dyDescent="0.3">
      <c r="A385" s="106" t="s">
        <v>2291</v>
      </c>
      <c r="B385" s="106">
        <v>3002129</v>
      </c>
      <c r="C385" s="106" t="s">
        <v>2228</v>
      </c>
      <c r="D385" s="106">
        <v>47</v>
      </c>
      <c r="E385" s="107" t="s">
        <v>1828</v>
      </c>
    </row>
    <row r="386" spans="1:6" x14ac:dyDescent="0.3">
      <c r="A386" s="106" t="s">
        <v>2291</v>
      </c>
      <c r="B386" s="106">
        <v>3004293</v>
      </c>
      <c r="C386" s="106" t="s">
        <v>2229</v>
      </c>
      <c r="D386" s="106">
        <v>31</v>
      </c>
      <c r="E386" s="107" t="s">
        <v>1828</v>
      </c>
    </row>
    <row r="387" spans="1:6" x14ac:dyDescent="0.3">
      <c r="A387" s="106" t="s">
        <v>2291</v>
      </c>
      <c r="B387" s="106">
        <v>3004294</v>
      </c>
      <c r="C387" s="106" t="s">
        <v>2230</v>
      </c>
      <c r="D387" s="106">
        <v>1</v>
      </c>
      <c r="E387" s="107" t="s">
        <v>1828</v>
      </c>
    </row>
    <row r="388" spans="1:6" x14ac:dyDescent="0.3">
      <c r="A388" s="106" t="s">
        <v>2291</v>
      </c>
      <c r="B388" s="106">
        <v>3004292</v>
      </c>
      <c r="C388" s="106" t="s">
        <v>2231</v>
      </c>
      <c r="D388" s="106">
        <v>40</v>
      </c>
      <c r="E388" s="107" t="s">
        <v>1828</v>
      </c>
    </row>
    <row r="389" spans="1:6" x14ac:dyDescent="0.3">
      <c r="A389" s="106" t="s">
        <v>2291</v>
      </c>
      <c r="B389" s="106">
        <v>3004295</v>
      </c>
      <c r="C389" s="106" t="s">
        <v>2232</v>
      </c>
      <c r="D389" s="106">
        <v>3</v>
      </c>
      <c r="E389" s="107" t="s">
        <v>1828</v>
      </c>
    </row>
    <row r="390" spans="1:6" x14ac:dyDescent="0.3">
      <c r="A390" s="106" t="s">
        <v>2291</v>
      </c>
      <c r="B390" s="106">
        <v>3004296</v>
      </c>
      <c r="C390" s="106" t="s">
        <v>2233</v>
      </c>
      <c r="D390" s="106">
        <v>49</v>
      </c>
      <c r="E390" s="107" t="s">
        <v>1828</v>
      </c>
    </row>
    <row r="391" spans="1:6" x14ac:dyDescent="0.3">
      <c r="A391" s="106" t="s">
        <v>2291</v>
      </c>
      <c r="B391" s="106">
        <v>3000068</v>
      </c>
      <c r="C391" s="106" t="s">
        <v>2234</v>
      </c>
      <c r="D391" s="106">
        <v>220</v>
      </c>
      <c r="E391" s="107" t="s">
        <v>1828</v>
      </c>
    </row>
    <row r="392" spans="1:6" x14ac:dyDescent="0.3">
      <c r="A392" s="106" t="s">
        <v>2291</v>
      </c>
      <c r="B392" s="106">
        <v>3004297</v>
      </c>
      <c r="C392" s="106" t="s">
        <v>2235</v>
      </c>
      <c r="D392" s="106">
        <v>62</v>
      </c>
      <c r="E392" s="107" t="s">
        <v>1828</v>
      </c>
    </row>
    <row r="393" spans="1:6" x14ac:dyDescent="0.3">
      <c r="A393" s="106" t="s">
        <v>2291</v>
      </c>
      <c r="B393" s="106">
        <v>3004298</v>
      </c>
      <c r="C393" s="106" t="s">
        <v>2236</v>
      </c>
      <c r="D393" s="106">
        <v>5</v>
      </c>
      <c r="E393" s="107" t="s">
        <v>1828</v>
      </c>
    </row>
    <row r="394" spans="1:6" x14ac:dyDescent="0.3">
      <c r="A394" s="106" t="s">
        <v>2291</v>
      </c>
      <c r="B394" s="106">
        <v>3002598</v>
      </c>
      <c r="C394" s="106" t="s">
        <v>2237</v>
      </c>
      <c r="D394" s="106">
        <v>2</v>
      </c>
      <c r="E394" s="107" t="s">
        <v>1828</v>
      </c>
    </row>
    <row r="395" spans="1:6" x14ac:dyDescent="0.3">
      <c r="A395" s="106" t="s">
        <v>2291</v>
      </c>
      <c r="B395" s="106">
        <v>3000107</v>
      </c>
      <c r="C395" s="106" t="s">
        <v>2238</v>
      </c>
      <c r="D395" s="106">
        <v>76</v>
      </c>
      <c r="E395" s="107" t="s">
        <v>1828</v>
      </c>
    </row>
    <row r="396" spans="1:6" x14ac:dyDescent="0.3">
      <c r="A396" s="106" t="s">
        <v>2291</v>
      </c>
      <c r="B396" s="106">
        <v>3003664</v>
      </c>
      <c r="C396" s="106" t="s">
        <v>2239</v>
      </c>
      <c r="D396" s="106">
        <v>30</v>
      </c>
    </row>
    <row r="397" spans="1:6" x14ac:dyDescent="0.3">
      <c r="A397" s="106" t="s">
        <v>2291</v>
      </c>
      <c r="B397" s="106">
        <v>3000466</v>
      </c>
      <c r="C397" s="106" t="s">
        <v>2240</v>
      </c>
      <c r="D397" s="106">
        <v>24</v>
      </c>
      <c r="E397" s="107" t="s">
        <v>1828</v>
      </c>
    </row>
    <row r="398" spans="1:6" x14ac:dyDescent="0.3">
      <c r="A398" s="106" t="s">
        <v>2291</v>
      </c>
      <c r="B398" s="106">
        <v>3000402</v>
      </c>
      <c r="C398" s="106" t="s">
        <v>2241</v>
      </c>
      <c r="D398" s="106">
        <v>23</v>
      </c>
      <c r="E398" s="107" t="s">
        <v>1828</v>
      </c>
    </row>
    <row r="399" spans="1:6" x14ac:dyDescent="0.3">
      <c r="A399" s="106" t="s">
        <v>2291</v>
      </c>
      <c r="B399" s="106">
        <v>3001176</v>
      </c>
      <c r="C399" s="106" t="s">
        <v>2242</v>
      </c>
      <c r="D399" s="106">
        <v>58</v>
      </c>
      <c r="F399" s="107" t="s">
        <v>1828</v>
      </c>
    </row>
    <row r="400" spans="1:6" x14ac:dyDescent="0.3">
      <c r="A400" s="106" t="s">
        <v>2291</v>
      </c>
      <c r="B400" s="106">
        <v>3002046</v>
      </c>
      <c r="C400" s="106" t="s">
        <v>2243</v>
      </c>
      <c r="D400" s="106">
        <v>6</v>
      </c>
    </row>
    <row r="401" spans="1:8" x14ac:dyDescent="0.3">
      <c r="A401" s="106" t="s">
        <v>2291</v>
      </c>
      <c r="B401" s="106">
        <v>3003768</v>
      </c>
      <c r="C401" s="106" t="s">
        <v>2244</v>
      </c>
      <c r="D401" s="106">
        <v>56</v>
      </c>
    </row>
    <row r="402" spans="1:8" x14ac:dyDescent="0.3">
      <c r="A402" s="106" t="s">
        <v>2291</v>
      </c>
      <c r="B402" s="106">
        <v>3000030</v>
      </c>
      <c r="C402" s="106" t="s">
        <v>2245</v>
      </c>
      <c r="D402" s="106">
        <v>22</v>
      </c>
      <c r="E402" s="107" t="s">
        <v>1828</v>
      </c>
    </row>
    <row r="403" spans="1:8" x14ac:dyDescent="0.3">
      <c r="A403" s="106" t="s">
        <v>2291</v>
      </c>
      <c r="B403" s="106">
        <v>3002508</v>
      </c>
      <c r="C403" s="106" t="s">
        <v>2246</v>
      </c>
      <c r="D403" s="106">
        <v>54</v>
      </c>
      <c r="E403" s="107" t="s">
        <v>1828</v>
      </c>
    </row>
    <row r="404" spans="1:8" x14ac:dyDescent="0.3">
      <c r="A404" s="106" t="s">
        <v>2291</v>
      </c>
      <c r="B404" s="106">
        <v>3002057</v>
      </c>
      <c r="C404" s="106" t="s">
        <v>2247</v>
      </c>
      <c r="D404" s="106">
        <v>4</v>
      </c>
    </row>
    <row r="405" spans="1:8" x14ac:dyDescent="0.3">
      <c r="A405" s="106" t="s">
        <v>2291</v>
      </c>
      <c r="B405" s="106">
        <v>3001731</v>
      </c>
      <c r="C405" s="106" t="s">
        <v>2248</v>
      </c>
      <c r="D405" s="106">
        <v>3</v>
      </c>
      <c r="E405" s="107" t="s">
        <v>1828</v>
      </c>
    </row>
    <row r="406" spans="1:8" x14ac:dyDescent="0.3">
      <c r="A406" s="106" t="s">
        <v>2291</v>
      </c>
      <c r="B406" s="106">
        <v>3001013</v>
      </c>
      <c r="C406" s="106" t="s">
        <v>2249</v>
      </c>
      <c r="D406" s="106">
        <v>17</v>
      </c>
      <c r="E406" s="107" t="s">
        <v>1828</v>
      </c>
    </row>
    <row r="407" spans="1:8" x14ac:dyDescent="0.3">
      <c r="A407" s="106" t="s">
        <v>2291</v>
      </c>
      <c r="B407" s="106">
        <v>3000716</v>
      </c>
      <c r="C407" s="106" t="s">
        <v>2250</v>
      </c>
      <c r="D407" s="106">
        <v>18</v>
      </c>
      <c r="E407" s="107" t="s">
        <v>1828</v>
      </c>
    </row>
    <row r="408" spans="1:8" x14ac:dyDescent="0.3">
      <c r="A408" s="106" t="s">
        <v>2291</v>
      </c>
      <c r="B408" s="106">
        <v>3004087</v>
      </c>
      <c r="C408" s="106" t="s">
        <v>2251</v>
      </c>
      <c r="D408" s="106">
        <v>107</v>
      </c>
      <c r="F408" s="107" t="s">
        <v>1828</v>
      </c>
      <c r="H408" s="106" t="s">
        <v>2252</v>
      </c>
    </row>
    <row r="409" spans="1:8" x14ac:dyDescent="0.3">
      <c r="A409" s="106" t="s">
        <v>2291</v>
      </c>
      <c r="B409" s="106">
        <v>3004638</v>
      </c>
      <c r="C409" s="106" t="s">
        <v>2253</v>
      </c>
      <c r="D409" s="106">
        <v>9</v>
      </c>
    </row>
    <row r="410" spans="1:8" x14ac:dyDescent="0.3">
      <c r="A410" s="106" t="s">
        <v>2291</v>
      </c>
      <c r="B410" s="106">
        <v>3004509</v>
      </c>
      <c r="C410" s="106" t="s">
        <v>2254</v>
      </c>
      <c r="D410" s="106">
        <v>21</v>
      </c>
      <c r="F410" s="107" t="s">
        <v>1828</v>
      </c>
    </row>
    <row r="411" spans="1:8" x14ac:dyDescent="0.3">
      <c r="A411" s="106" t="s">
        <v>2291</v>
      </c>
      <c r="B411" s="106">
        <v>3004508</v>
      </c>
      <c r="C411" s="106" t="s">
        <v>2255</v>
      </c>
      <c r="D411" s="106">
        <v>20</v>
      </c>
      <c r="F411" s="107" t="s">
        <v>1828</v>
      </c>
    </row>
    <row r="412" spans="1:8" x14ac:dyDescent="0.3">
      <c r="A412" s="106" t="s">
        <v>2291</v>
      </c>
      <c r="B412" s="106">
        <v>3003996</v>
      </c>
      <c r="C412" s="106" t="s">
        <v>2256</v>
      </c>
      <c r="D412" s="106">
        <v>23</v>
      </c>
      <c r="F412" s="107" t="s">
        <v>1828</v>
      </c>
    </row>
    <row r="413" spans="1:8" x14ac:dyDescent="0.3">
      <c r="A413" s="106" t="s">
        <v>2291</v>
      </c>
      <c r="B413" s="106">
        <v>3000348</v>
      </c>
      <c r="C413" s="106" t="s">
        <v>2257</v>
      </c>
      <c r="D413" s="106">
        <v>19</v>
      </c>
      <c r="E413" s="107" t="s">
        <v>1828</v>
      </c>
    </row>
    <row r="414" spans="1:8" x14ac:dyDescent="0.3">
      <c r="A414" s="106" t="s">
        <v>2291</v>
      </c>
      <c r="B414" s="106">
        <v>3001170</v>
      </c>
      <c r="C414" s="106" t="s">
        <v>2258</v>
      </c>
      <c r="D414" s="106">
        <v>226</v>
      </c>
      <c r="F414" s="107" t="s">
        <v>1828</v>
      </c>
      <c r="H414" s="106" t="s">
        <v>2259</v>
      </c>
    </row>
    <row r="415" spans="1:8" x14ac:dyDescent="0.3">
      <c r="A415" s="106" t="s">
        <v>2291</v>
      </c>
      <c r="B415" s="106">
        <v>3002014</v>
      </c>
      <c r="C415" s="106" t="s">
        <v>2260</v>
      </c>
      <c r="D415" s="106">
        <v>28</v>
      </c>
      <c r="F415" s="107" t="s">
        <v>1828</v>
      </c>
    </row>
    <row r="416" spans="1:8" x14ac:dyDescent="0.3">
      <c r="A416" s="106" t="s">
        <v>2291</v>
      </c>
      <c r="B416" s="106">
        <v>3001235</v>
      </c>
      <c r="C416" s="106" t="s">
        <v>2261</v>
      </c>
      <c r="D416" s="106">
        <v>1</v>
      </c>
    </row>
    <row r="417" spans="1:5" x14ac:dyDescent="0.3">
      <c r="A417" s="106" t="s">
        <v>2291</v>
      </c>
      <c r="B417" s="106">
        <v>3003276</v>
      </c>
      <c r="C417" s="106" t="s">
        <v>2262</v>
      </c>
      <c r="D417" s="106">
        <v>33</v>
      </c>
    </row>
    <row r="418" spans="1:5" x14ac:dyDescent="0.3">
      <c r="A418" s="106" t="s">
        <v>2291</v>
      </c>
      <c r="B418" s="106">
        <v>3000056</v>
      </c>
      <c r="C418" s="106" t="s">
        <v>2263</v>
      </c>
      <c r="D418" s="106">
        <v>150</v>
      </c>
      <c r="E418" s="107" t="s">
        <v>1828</v>
      </c>
    </row>
    <row r="419" spans="1:5" x14ac:dyDescent="0.3">
      <c r="A419" s="106" t="s">
        <v>2291</v>
      </c>
      <c r="B419" s="106">
        <v>3000426</v>
      </c>
      <c r="C419" s="106" t="s">
        <v>2263</v>
      </c>
      <c r="D419" s="106">
        <v>1</v>
      </c>
      <c r="E419" s="107" t="s">
        <v>1828</v>
      </c>
    </row>
    <row r="420" spans="1:5" x14ac:dyDescent="0.3">
      <c r="A420" s="106" t="s">
        <v>2291</v>
      </c>
      <c r="B420" s="106">
        <v>3004357</v>
      </c>
      <c r="C420" s="106" t="s">
        <v>2264</v>
      </c>
      <c r="D420" s="106">
        <v>1</v>
      </c>
      <c r="E420" s="107" t="s">
        <v>1828</v>
      </c>
    </row>
    <row r="421" spans="1:5" x14ac:dyDescent="0.3">
      <c r="A421" s="106" t="s">
        <v>2291</v>
      </c>
      <c r="B421" s="106">
        <v>3004361</v>
      </c>
      <c r="C421" s="106" t="s">
        <v>2265</v>
      </c>
      <c r="D421" s="106">
        <v>1</v>
      </c>
      <c r="E421" s="107" t="s">
        <v>1828</v>
      </c>
    </row>
    <row r="422" spans="1:5" x14ac:dyDescent="0.3">
      <c r="A422" s="106" t="s">
        <v>2291</v>
      </c>
      <c r="B422" s="106">
        <v>3004359</v>
      </c>
      <c r="C422" s="106" t="s">
        <v>2266</v>
      </c>
      <c r="D422" s="106">
        <v>1</v>
      </c>
      <c r="E422" s="107" t="s">
        <v>1828</v>
      </c>
    </row>
    <row r="423" spans="1:5" x14ac:dyDescent="0.3">
      <c r="A423" s="106" t="s">
        <v>2291</v>
      </c>
      <c r="B423" s="106">
        <v>3004360</v>
      </c>
      <c r="C423" s="106" t="s">
        <v>2267</v>
      </c>
      <c r="D423" s="106">
        <v>2</v>
      </c>
      <c r="E423" s="107" t="s">
        <v>1828</v>
      </c>
    </row>
    <row r="424" spans="1:5" x14ac:dyDescent="0.3">
      <c r="A424" s="106" t="s">
        <v>2291</v>
      </c>
      <c r="B424" s="106">
        <v>3004358</v>
      </c>
      <c r="C424" s="106" t="s">
        <v>2268</v>
      </c>
      <c r="D424" s="106">
        <v>20</v>
      </c>
      <c r="E424" s="107" t="s">
        <v>1828</v>
      </c>
    </row>
    <row r="425" spans="1:5" x14ac:dyDescent="0.3">
      <c r="A425" s="106" t="s">
        <v>2291</v>
      </c>
      <c r="B425" s="106">
        <v>3000072</v>
      </c>
      <c r="C425" s="106" t="s">
        <v>2269</v>
      </c>
      <c r="D425" s="106">
        <v>179</v>
      </c>
      <c r="E425" s="107" t="s">
        <v>1828</v>
      </c>
    </row>
    <row r="426" spans="1:5" x14ac:dyDescent="0.3">
      <c r="A426" s="106" t="s">
        <v>2291</v>
      </c>
      <c r="B426" s="106">
        <v>3000494</v>
      </c>
      <c r="C426" s="106" t="s">
        <v>2270</v>
      </c>
      <c r="D426" s="106">
        <v>1</v>
      </c>
      <c r="E426" s="107" t="s">
        <v>1828</v>
      </c>
    </row>
    <row r="427" spans="1:5" x14ac:dyDescent="0.3">
      <c r="A427" s="106" t="s">
        <v>2291</v>
      </c>
      <c r="B427" s="106">
        <v>3004241</v>
      </c>
      <c r="C427" s="106" t="s">
        <v>2271</v>
      </c>
      <c r="D427" s="106">
        <v>24</v>
      </c>
      <c r="E427" s="107" t="s">
        <v>1828</v>
      </c>
    </row>
    <row r="428" spans="1:5" x14ac:dyDescent="0.3">
      <c r="A428" s="106" t="s">
        <v>2291</v>
      </c>
      <c r="B428" s="106">
        <v>3004240</v>
      </c>
      <c r="C428" s="106" t="s">
        <v>2272</v>
      </c>
      <c r="D428" s="106">
        <v>8</v>
      </c>
      <c r="E428" s="107" t="s">
        <v>1828</v>
      </c>
    </row>
    <row r="429" spans="1:5" x14ac:dyDescent="0.3">
      <c r="A429" s="106" t="s">
        <v>2291</v>
      </c>
      <c r="B429" s="106">
        <v>3004239</v>
      </c>
      <c r="C429" s="106" t="s">
        <v>2273</v>
      </c>
      <c r="D429" s="106">
        <v>74</v>
      </c>
      <c r="E429" s="107" t="s">
        <v>1828</v>
      </c>
    </row>
    <row r="430" spans="1:5" x14ac:dyDescent="0.3">
      <c r="A430" s="106" t="s">
        <v>2291</v>
      </c>
      <c r="B430" s="106">
        <v>3004242</v>
      </c>
      <c r="C430" s="106" t="s">
        <v>2274</v>
      </c>
      <c r="D430" s="106">
        <v>13</v>
      </c>
      <c r="E430" s="107" t="s">
        <v>1828</v>
      </c>
    </row>
    <row r="431" spans="1:5" x14ac:dyDescent="0.3">
      <c r="A431" s="106" t="s">
        <v>2291</v>
      </c>
      <c r="B431" s="106">
        <v>3004244</v>
      </c>
      <c r="C431" s="106" t="s">
        <v>2275</v>
      </c>
      <c r="D431" s="106">
        <v>31</v>
      </c>
      <c r="E431" s="107" t="s">
        <v>1828</v>
      </c>
    </row>
    <row r="432" spans="1:5" x14ac:dyDescent="0.3">
      <c r="A432" s="106" t="s">
        <v>2291</v>
      </c>
      <c r="B432" s="106">
        <v>3004243</v>
      </c>
      <c r="C432" s="106" t="s">
        <v>2276</v>
      </c>
      <c r="D432" s="106">
        <v>49</v>
      </c>
      <c r="E432" s="107" t="s">
        <v>1828</v>
      </c>
    </row>
    <row r="433" spans="1:5" x14ac:dyDescent="0.3">
      <c r="A433" s="106" t="s">
        <v>2291</v>
      </c>
      <c r="B433" s="106">
        <v>3002991</v>
      </c>
      <c r="C433" s="106" t="s">
        <v>2277</v>
      </c>
      <c r="D433" s="106">
        <v>43</v>
      </c>
      <c r="E433" s="107" t="s">
        <v>1828</v>
      </c>
    </row>
    <row r="434" spans="1:5" x14ac:dyDescent="0.3">
      <c r="A434" s="106" t="s">
        <v>2291</v>
      </c>
      <c r="B434" s="106">
        <v>3004169</v>
      </c>
      <c r="C434" s="106" t="s">
        <v>2278</v>
      </c>
      <c r="D434" s="106">
        <v>13</v>
      </c>
      <c r="E434" s="107" t="s">
        <v>1828</v>
      </c>
    </row>
    <row r="435" spans="1:5" x14ac:dyDescent="0.3">
      <c r="A435" s="106" t="s">
        <v>2291</v>
      </c>
      <c r="B435" s="106">
        <v>3004168</v>
      </c>
      <c r="C435" s="106" t="s">
        <v>2279</v>
      </c>
      <c r="D435" s="106">
        <v>34</v>
      </c>
      <c r="E435" s="107" t="s">
        <v>1828</v>
      </c>
    </row>
    <row r="436" spans="1:5" x14ac:dyDescent="0.3">
      <c r="A436" s="106" t="s">
        <v>2291</v>
      </c>
      <c r="B436" s="106">
        <v>3004306</v>
      </c>
      <c r="C436" s="106" t="s">
        <v>2280</v>
      </c>
      <c r="D436" s="106">
        <v>74</v>
      </c>
      <c r="E436" s="107" t="s">
        <v>1828</v>
      </c>
    </row>
    <row r="437" spans="1:5" x14ac:dyDescent="0.3">
      <c r="A437" s="106" t="s">
        <v>2291</v>
      </c>
      <c r="B437" s="106">
        <v>3004170</v>
      </c>
      <c r="C437" s="106" t="s">
        <v>2281</v>
      </c>
      <c r="D437" s="106">
        <v>51</v>
      </c>
      <c r="E437" s="107" t="s">
        <v>1828</v>
      </c>
    </row>
    <row r="438" spans="1:5" x14ac:dyDescent="0.3">
      <c r="A438" s="106" t="s">
        <v>2291</v>
      </c>
      <c r="B438" s="106">
        <v>3004171</v>
      </c>
      <c r="C438" s="106" t="s">
        <v>2282</v>
      </c>
      <c r="D438" s="106">
        <v>54</v>
      </c>
      <c r="E438" s="107" t="s">
        <v>1828</v>
      </c>
    </row>
    <row r="439" spans="1:5" x14ac:dyDescent="0.3">
      <c r="A439" s="106" t="s">
        <v>2291</v>
      </c>
      <c r="B439" s="106">
        <v>3004172</v>
      </c>
      <c r="C439" s="106" t="s">
        <v>2283</v>
      </c>
      <c r="D439" s="106">
        <v>1</v>
      </c>
      <c r="E439" s="107" t="s">
        <v>1828</v>
      </c>
    </row>
    <row r="440" spans="1:5" x14ac:dyDescent="0.3">
      <c r="A440" s="106" t="s">
        <v>2291</v>
      </c>
      <c r="B440" s="106">
        <v>3004173</v>
      </c>
      <c r="C440" s="106" t="s">
        <v>2284</v>
      </c>
      <c r="D440" s="106">
        <v>83</v>
      </c>
      <c r="E440" s="107" t="s">
        <v>1828</v>
      </c>
    </row>
    <row r="441" spans="1:5" x14ac:dyDescent="0.3">
      <c r="A441" s="106" t="s">
        <v>2291</v>
      </c>
      <c r="B441" s="106">
        <v>3004174</v>
      </c>
      <c r="C441" s="106" t="s">
        <v>2285</v>
      </c>
      <c r="D441" s="106">
        <v>40</v>
      </c>
      <c r="E441" s="107" t="s">
        <v>1828</v>
      </c>
    </row>
    <row r="442" spans="1:5" x14ac:dyDescent="0.3">
      <c r="A442" s="106" t="s">
        <v>2291</v>
      </c>
      <c r="B442" s="106">
        <v>3003232</v>
      </c>
      <c r="C442" s="106" t="s">
        <v>2286</v>
      </c>
      <c r="D442" s="106">
        <v>19</v>
      </c>
    </row>
    <row r="443" spans="1:5" x14ac:dyDescent="0.3">
      <c r="A443" s="106" t="s">
        <v>2291</v>
      </c>
      <c r="B443" s="106">
        <v>3001032</v>
      </c>
      <c r="C443" s="106" t="s">
        <v>2287</v>
      </c>
      <c r="D443" s="106">
        <v>17</v>
      </c>
    </row>
    <row r="444" spans="1:5" x14ac:dyDescent="0.3">
      <c r="A444" s="106" t="s">
        <v>2291</v>
      </c>
      <c r="B444" s="106">
        <v>3002768</v>
      </c>
      <c r="C444" s="106" t="s">
        <v>2288</v>
      </c>
      <c r="D444" s="106">
        <v>14</v>
      </c>
    </row>
    <row r="445" spans="1:5" x14ac:dyDescent="0.3">
      <c r="A445" s="106" t="s">
        <v>2291</v>
      </c>
      <c r="B445" s="106">
        <v>3001288</v>
      </c>
      <c r="C445" s="106" t="s">
        <v>2289</v>
      </c>
      <c r="D445" s="106">
        <v>19</v>
      </c>
      <c r="E445" s="107" t="s">
        <v>1828</v>
      </c>
    </row>
  </sheetData>
  <autoFilter ref="B1:H445" xr:uid="{B566BBA7-B484-4846-A29B-C8BCD0550E0A}">
    <sortState xmlns:xlrd2="http://schemas.microsoft.com/office/spreadsheetml/2017/richdata2" ref="B2:H445">
      <sortCondition ref="C2:C44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AEDB3-1A78-497D-926A-3F6F5036DE7A}">
  <dimension ref="C1:Z105"/>
  <sheetViews>
    <sheetView topLeftCell="A6" zoomScale="70" zoomScaleNormal="70" workbookViewId="0">
      <selection activeCell="F8" sqref="F8"/>
    </sheetView>
  </sheetViews>
  <sheetFormatPr defaultRowHeight="15" customHeight="1" x14ac:dyDescent="0.3"/>
  <cols>
    <col min="1" max="1" width="1.88671875" customWidth="1"/>
    <col min="2" max="3" width="1.6640625" customWidth="1"/>
    <col min="4" max="4" width="21.33203125" bestFit="1" customWidth="1"/>
    <col min="5" max="5" width="39.88671875" customWidth="1"/>
    <col min="6" max="6" width="22" bestFit="1" customWidth="1"/>
    <col min="7" max="7" width="8.88671875" style="24" customWidth="1"/>
    <col min="8" max="13" width="9.6640625" style="24" customWidth="1"/>
    <col min="14" max="14" width="10.88671875" style="85" customWidth="1"/>
    <col min="15" max="17" width="9.6640625" style="24" customWidth="1"/>
    <col min="18" max="18" width="10.33203125" style="24" customWidth="1"/>
    <col min="19" max="20" width="9.6640625" style="24" customWidth="1"/>
    <col min="21" max="21" width="11.6640625" customWidth="1"/>
    <col min="22" max="23" width="57.44140625" customWidth="1"/>
    <col min="24" max="24" width="49.6640625" customWidth="1"/>
    <col min="25" max="25" width="55.109375" customWidth="1"/>
    <col min="26" max="26" width="41.6640625" bestFit="1" customWidth="1"/>
  </cols>
  <sheetData>
    <row r="1" spans="3:26" ht="14.4" hidden="1" x14ac:dyDescent="0.3">
      <c r="E1" s="4" t="s">
        <v>34</v>
      </c>
      <c r="F1" s="4" t="s">
        <v>35</v>
      </c>
    </row>
    <row r="2" spans="3:26" ht="14.4" hidden="1" x14ac:dyDescent="0.3">
      <c r="E2" s="4" t="s">
        <v>36</v>
      </c>
      <c r="F2" s="4" t="s">
        <v>37</v>
      </c>
      <c r="G2" s="26" t="s">
        <v>38</v>
      </c>
    </row>
    <row r="3" spans="3:26" ht="14.4" x14ac:dyDescent="0.3">
      <c r="N3" s="85" t="s">
        <v>39</v>
      </c>
      <c r="R3" s="26" t="s">
        <v>39</v>
      </c>
    </row>
    <row r="4" spans="3:26" thickBot="1" x14ac:dyDescent="0.35">
      <c r="E4" s="59">
        <f>COUNTA(Table326[File Name])</f>
        <v>99</v>
      </c>
      <c r="F4">
        <f>COUNTIF(Table326[Recognised doc type],"extracted")</f>
        <v>77</v>
      </c>
      <c r="G4" s="24">
        <f>SUM(Table326['# Missing fields])</f>
        <v>69</v>
      </c>
      <c r="H4" s="25">
        <f>AVERAGE(Table326[PO nr])</f>
        <v>0.95652173913043481</v>
      </c>
      <c r="I4" s="25">
        <f>AVERAGE(Table326[Supplier Order Nr])</f>
        <v>0.91304347826086951</v>
      </c>
      <c r="J4" s="25">
        <f>AVERAGE(Table326[Order Date])</f>
        <v>0.95652173913043481</v>
      </c>
      <c r="K4" s="25">
        <f>AVERAGE(Table326[Supplier Name])</f>
        <v>0.95652173913043481</v>
      </c>
      <c r="L4" s="25">
        <f>AVERAGE(Table326[Customer name])</f>
        <v>0.95652173913043481</v>
      </c>
      <c r="M4" s="25">
        <f>AVERAGE(Table326[Currency])</f>
        <v>0.84782608695652173</v>
      </c>
      <c r="N4" s="86">
        <f>AVERAGE(Table326[Line nr])</f>
        <v>0.91304347826086951</v>
      </c>
      <c r="O4" s="25">
        <f>AVERAGE(Table326[Article Number])</f>
        <v>0.95652173913043481</v>
      </c>
      <c r="P4" s="25">
        <f>AVERAGE(Table326[Description])</f>
        <v>0.93478260869565222</v>
      </c>
      <c r="Q4" s="25">
        <f>AVERAGE(Table326[Quantity])</f>
        <v>0.95652173913043481</v>
      </c>
      <c r="R4" s="25">
        <f>AVERAGE(Table326[UoM])</f>
        <v>0.80434782608695654</v>
      </c>
      <c r="S4" s="25">
        <f>AVERAGE(Table326[Unit Price])</f>
        <v>0.78260869565217395</v>
      </c>
      <c r="T4" s="25">
        <f>AVERAGE(Table326[Delivery Date])</f>
        <v>0.65217391304347827</v>
      </c>
      <c r="U4" s="5">
        <f>AVERAGE(H4:T4)</f>
        <v>0.89130434782608703</v>
      </c>
    </row>
    <row r="5" spans="3:26" thickBot="1" x14ac:dyDescent="0.35">
      <c r="D5" s="6"/>
      <c r="E5" s="7"/>
      <c r="F5" s="7"/>
      <c r="G5" s="27"/>
      <c r="H5" s="145" t="s">
        <v>193</v>
      </c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7"/>
      <c r="U5" s="7"/>
      <c r="V5" s="19"/>
      <c r="W5" s="19"/>
      <c r="X5" s="18"/>
      <c r="Y5" s="18"/>
      <c r="Z5" s="18"/>
    </row>
    <row r="6" spans="3:26" ht="29.4" thickBot="1" x14ac:dyDescent="0.35">
      <c r="D6" s="73" t="s">
        <v>42</v>
      </c>
      <c r="E6" s="74" t="s">
        <v>0</v>
      </c>
      <c r="F6" s="75" t="s">
        <v>44</v>
      </c>
      <c r="G6" s="82" t="s">
        <v>45</v>
      </c>
      <c r="H6" s="76" t="s">
        <v>47</v>
      </c>
      <c r="I6" s="77" t="s">
        <v>191</v>
      </c>
      <c r="J6" s="76" t="s">
        <v>48</v>
      </c>
      <c r="K6" s="76" t="s">
        <v>49</v>
      </c>
      <c r="L6" s="76" t="s">
        <v>50</v>
      </c>
      <c r="M6" s="76" t="s">
        <v>51</v>
      </c>
      <c r="N6" s="87" t="s">
        <v>52</v>
      </c>
      <c r="O6" s="76" t="s">
        <v>192</v>
      </c>
      <c r="P6" s="76" t="s">
        <v>54</v>
      </c>
      <c r="Q6" s="76" t="s">
        <v>55</v>
      </c>
      <c r="R6" s="76" t="s">
        <v>56</v>
      </c>
      <c r="S6" s="76" t="s">
        <v>57</v>
      </c>
      <c r="T6" s="78" t="s">
        <v>58</v>
      </c>
      <c r="U6" s="79" t="s">
        <v>194</v>
      </c>
      <c r="V6" s="80" t="s">
        <v>59</v>
      </c>
      <c r="W6" s="80" t="s">
        <v>196</v>
      </c>
      <c r="X6" s="80" t="s">
        <v>60</v>
      </c>
      <c r="Y6" s="81" t="s">
        <v>61</v>
      </c>
      <c r="Z6" s="92" t="s">
        <v>208</v>
      </c>
    </row>
    <row r="7" spans="3:26" ht="14.4" x14ac:dyDescent="0.3">
      <c r="C7" t="str">
        <f>_xlfn.XLOOKUP(Table326[[#This Row],[Customer]],'Top 300'!C:C,'Top 300'!A:A,"0",2,1)</f>
        <v>0</v>
      </c>
      <c r="D7" s="28" t="str">
        <f>_xlfn.XLOOKUP(Table326[[#This Row],[File Name]],'Analyse 2 Detail 02-03'!A:A,'Analyse 2 Detail 02-03'!R:R,"Not Found",0,1)</f>
        <v>Mölnlycke Health Care NV</v>
      </c>
      <c r="E7" s="2" t="s">
        <v>132</v>
      </c>
      <c r="F7" s="63" t="s">
        <v>9</v>
      </c>
      <c r="G7" s="70">
        <v>0</v>
      </c>
      <c r="H7" s="9"/>
      <c r="I7" s="9"/>
      <c r="J7" s="9"/>
      <c r="K7" s="9"/>
      <c r="L7" s="9"/>
      <c r="M7" s="62"/>
      <c r="N7" s="88"/>
      <c r="O7" s="9"/>
      <c r="P7" s="9"/>
      <c r="Q7" s="9"/>
      <c r="R7" s="9"/>
      <c r="S7" s="9"/>
      <c r="T7" s="9"/>
      <c r="U7" s="11" t="e">
        <f>AVERAGE(Table326[[#This Row],[PO nr]:[Delivery Date]])</f>
        <v>#DIV/0!</v>
      </c>
      <c r="V7" s="20"/>
      <c r="W7" s="39"/>
      <c r="X7" s="39"/>
      <c r="Y7" s="20"/>
      <c r="Z7" s="21"/>
    </row>
    <row r="8" spans="3:26" ht="14.4" x14ac:dyDescent="0.3">
      <c r="C8" t="str">
        <f>_xlfn.XLOOKUP(Table326[[#This Row],[Customer]],'Top 300'!C:C,'Top 300'!A:A,"0",2,1)</f>
        <v>0</v>
      </c>
      <c r="D8" s="30" t="str">
        <f>_xlfn.XLOOKUP(Table326[[#This Row],[File Name]],'Analyse 2 Detail 02-03'!A:A,'Analyse 2 Detail 02-03'!R:R,"Not Found",0,1)</f>
        <v>Mölnlycke Health Care B.V.</v>
      </c>
      <c r="E8" s="2" t="s">
        <v>169</v>
      </c>
      <c r="F8" s="64" t="s">
        <v>9</v>
      </c>
      <c r="G8" s="71">
        <v>0</v>
      </c>
      <c r="H8" s="9"/>
      <c r="I8" s="9"/>
      <c r="J8" s="9"/>
      <c r="K8" s="9"/>
      <c r="L8" s="9"/>
      <c r="M8" s="9"/>
      <c r="N8" s="88"/>
      <c r="O8" s="9"/>
      <c r="P8" s="9"/>
      <c r="Q8" s="9"/>
      <c r="R8" s="9"/>
      <c r="S8" s="9"/>
      <c r="T8" s="9"/>
      <c r="U8" s="11" t="e">
        <f>AVERAGE(Table326[[#This Row],[PO nr]:[Delivery Date]])</f>
        <v>#DIV/0!</v>
      </c>
      <c r="V8" s="21"/>
      <c r="X8" s="54"/>
      <c r="Y8" s="55"/>
      <c r="Z8" s="55"/>
    </row>
    <row r="9" spans="3:26" ht="14.4" x14ac:dyDescent="0.3">
      <c r="C9" t="str">
        <f>_xlfn.XLOOKUP(Table326[[#This Row],[Customer]],'Top 300'!C:C,'Top 300'!A:A,"0",2,1)</f>
        <v>0</v>
      </c>
      <c r="D9" s="30" t="str">
        <f>_xlfn.XLOOKUP(Table326[[#This Row],[File Name]],'Analyse 2 Detail 02-03'!A:A,'Analyse 2 Detail 02-03'!R:R,"Not Found",0,1)</f>
        <v>Mölnlycke Health Care B.V.</v>
      </c>
      <c r="E9" s="2" t="s">
        <v>139</v>
      </c>
      <c r="F9" s="64" t="s">
        <v>9</v>
      </c>
      <c r="G9" s="71">
        <v>0</v>
      </c>
      <c r="H9" s="9"/>
      <c r="I9" s="9"/>
      <c r="J9" s="9"/>
      <c r="K9" s="9"/>
      <c r="L9" s="9"/>
      <c r="M9" s="9"/>
      <c r="N9" s="88"/>
      <c r="O9" s="9"/>
      <c r="P9" s="9"/>
      <c r="Q9" s="9"/>
      <c r="R9" s="9"/>
      <c r="S9" s="9"/>
      <c r="T9" s="9"/>
      <c r="U9" s="11" t="e">
        <f>AVERAGE(Table326[[#This Row],[PO nr]:[Delivery Date]])</f>
        <v>#DIV/0!</v>
      </c>
      <c r="V9" s="21"/>
      <c r="W9" s="39"/>
      <c r="X9" s="39"/>
      <c r="Y9" s="21"/>
      <c r="Z9" s="21"/>
    </row>
    <row r="10" spans="3:26" ht="14.4" x14ac:dyDescent="0.3">
      <c r="C10" t="str">
        <f>_xlfn.XLOOKUP(Table326[[#This Row],[Customer]],'Top 300'!C:C,'Top 300'!A:A,"0",2,1)</f>
        <v>0</v>
      </c>
      <c r="D10" s="30" t="str">
        <f>_xlfn.XLOOKUP(Table326[[#This Row],[File Name]],'Analyse 2 Detail 02-03'!A:A,'Analyse 2 Detail 02-03'!R:R,"Not Found",0,1)</f>
        <v>Mölnlycke Health Care B.V.</v>
      </c>
      <c r="E10" s="2" t="s">
        <v>161</v>
      </c>
      <c r="F10" s="64" t="s">
        <v>9</v>
      </c>
      <c r="G10" s="71">
        <v>0</v>
      </c>
      <c r="H10" s="9"/>
      <c r="I10" s="9"/>
      <c r="J10" s="9"/>
      <c r="K10" s="9"/>
      <c r="L10" s="9"/>
      <c r="M10" s="9"/>
      <c r="N10" s="88"/>
      <c r="O10" s="9"/>
      <c r="P10" s="9"/>
      <c r="Q10" s="9"/>
      <c r="R10" s="9"/>
      <c r="S10" s="9"/>
      <c r="T10" s="9"/>
      <c r="U10" s="11" t="e">
        <f>AVERAGE(Table326[[#This Row],[PO nr]:[Delivery Date]])</f>
        <v>#DIV/0!</v>
      </c>
      <c r="V10" s="21"/>
      <c r="W10" s="39"/>
      <c r="X10" s="40"/>
      <c r="Y10" s="56"/>
      <c r="Z10" s="56"/>
    </row>
    <row r="11" spans="3:26" ht="14.4" x14ac:dyDescent="0.3">
      <c r="C11" t="str">
        <f>_xlfn.XLOOKUP(Table326[[#This Row],[Customer]],'Top 300'!C:C,'Top 300'!A:A,"0",2,1)</f>
        <v>0</v>
      </c>
      <c r="D11" s="30" t="str">
        <f>_xlfn.XLOOKUP(Table326[[#This Row],[File Name]],'Analyse 2 Detail 02-03'!A:A,'Analyse 2 Detail 02-03'!R:R,"Not Found",0,1)</f>
        <v>Mölnlycke Health Care B.V.</v>
      </c>
      <c r="E11" s="2" t="s">
        <v>143</v>
      </c>
      <c r="F11" s="64" t="s">
        <v>9</v>
      </c>
      <c r="G11" s="71">
        <v>0</v>
      </c>
      <c r="H11" s="9"/>
      <c r="I11" s="9"/>
      <c r="J11" s="9"/>
      <c r="K11" s="9"/>
      <c r="L11" s="9"/>
      <c r="M11" s="9"/>
      <c r="N11" s="88"/>
      <c r="O11" s="9"/>
      <c r="P11" s="9"/>
      <c r="Q11" s="9"/>
      <c r="R11" s="9"/>
      <c r="S11" s="9"/>
      <c r="T11" s="9"/>
      <c r="U11" s="11" t="e">
        <f>AVERAGE(Table326[[#This Row],[PO nr]:[Delivery Date]])</f>
        <v>#DIV/0!</v>
      </c>
      <c r="V11" s="21"/>
      <c r="X11" s="54"/>
      <c r="Y11" s="55"/>
      <c r="Z11" s="55"/>
    </row>
    <row r="12" spans="3:26" s="52" customFormat="1" ht="30" customHeight="1" x14ac:dyDescent="0.3">
      <c r="C12" t="str">
        <f>_xlfn.XLOOKUP(Table326[[#This Row],[Customer]],'Top 300'!C:C,'Top 300'!A:A,"0",2,1)</f>
        <v>0</v>
      </c>
      <c r="D12" s="43">
        <f>_xlfn.XLOOKUP(Table326[[#This Row],[File Name]],'Analyse 2 Detail 02-03'!A:A,'Analyse 2 Detail 02-03'!R:R,"Not Found",0,1)</f>
        <v>0</v>
      </c>
      <c r="E12" s="2" t="s">
        <v>173</v>
      </c>
      <c r="F12" s="64" t="s">
        <v>11</v>
      </c>
      <c r="G12" s="71">
        <v>0</v>
      </c>
      <c r="H12" s="46" t="s">
        <v>211</v>
      </c>
      <c r="I12" s="46" t="s">
        <v>211</v>
      </c>
      <c r="J12" s="46" t="s">
        <v>211</v>
      </c>
      <c r="K12" s="46" t="s">
        <v>211</v>
      </c>
      <c r="L12" s="46" t="s">
        <v>211</v>
      </c>
      <c r="M12" s="46" t="s">
        <v>211</v>
      </c>
      <c r="N12" s="46" t="s">
        <v>211</v>
      </c>
      <c r="O12" s="46" t="s">
        <v>211</v>
      </c>
      <c r="P12" s="46" t="s">
        <v>211</v>
      </c>
      <c r="Q12" s="46" t="s">
        <v>211</v>
      </c>
      <c r="R12" s="46" t="s">
        <v>211</v>
      </c>
      <c r="S12" s="46" t="s">
        <v>211</v>
      </c>
      <c r="T12" s="46" t="s">
        <v>211</v>
      </c>
      <c r="U12" s="11" t="e">
        <f>AVERAGE(Table326[[#This Row],[PO nr]:[Delivery Date]])</f>
        <v>#DIV/0!</v>
      </c>
      <c r="V12" s="50" t="s">
        <v>1816</v>
      </c>
      <c r="W12" s="21" t="s">
        <v>1814</v>
      </c>
      <c r="X12" s="51"/>
      <c r="Y12" s="57"/>
      <c r="Z12" s="57"/>
    </row>
    <row r="13" spans="3:26" s="52" customFormat="1" ht="28.5" customHeight="1" x14ac:dyDescent="0.3">
      <c r="C13" t="str">
        <f>_xlfn.XLOOKUP(Table326[[#This Row],[Customer]],'Top 300'!C:C,'Top 300'!A:A,"0",2,1)</f>
        <v>X</v>
      </c>
      <c r="D13" s="43" t="str">
        <f>_xlfn.XLOOKUP(Table326[[#This Row],[File Name]],'Analyse 2 Detail 02-03'!A:A,'Analyse 2 Detail 02-03'!R:R,"Not Found",0,1)</f>
        <v>Essity Belgium NV</v>
      </c>
      <c r="E13" s="2" t="s">
        <v>129</v>
      </c>
      <c r="F13" s="64" t="s">
        <v>9</v>
      </c>
      <c r="G13" s="71">
        <v>0</v>
      </c>
      <c r="H13" s="46"/>
      <c r="I13" s="46"/>
      <c r="J13" s="46"/>
      <c r="K13" s="46"/>
      <c r="L13" s="46"/>
      <c r="M13" s="46"/>
      <c r="N13" s="89"/>
      <c r="O13" s="60"/>
      <c r="P13" s="60"/>
      <c r="Q13" s="60"/>
      <c r="R13" s="60"/>
      <c r="S13" s="60"/>
      <c r="T13" s="61"/>
      <c r="U13" s="11" t="e">
        <f>AVERAGE(Table326[[#This Row],[PO nr]:[Delivery Date]])</f>
        <v>#DIV/0!</v>
      </c>
      <c r="V13" s="50"/>
      <c r="W13" s="83"/>
      <c r="X13" s="51"/>
      <c r="Y13" s="57"/>
      <c r="Z13" s="57"/>
    </row>
    <row r="14" spans="3:26" ht="14.4" x14ac:dyDescent="0.3">
      <c r="C14" t="str">
        <f>_xlfn.XLOOKUP(Table326[[#This Row],[Customer]],'Top 300'!C:C,'Top 300'!A:A,"0",2,1)</f>
        <v>X</v>
      </c>
      <c r="D14" s="30" t="str">
        <f>_xlfn.XLOOKUP(Table326[[#This Row],[File Name]],'Analyse 2 Detail 02-03'!A:A,'Analyse 2 Detail 02-03'!R:R,"Not Found",0,1)</f>
        <v>Essity Belgium NV</v>
      </c>
      <c r="E14" s="2" t="s">
        <v>129</v>
      </c>
      <c r="F14" s="64" t="s">
        <v>9</v>
      </c>
      <c r="G14" s="71">
        <v>0</v>
      </c>
      <c r="H14" s="9"/>
      <c r="I14" s="9"/>
      <c r="J14" s="9"/>
      <c r="K14" s="9"/>
      <c r="L14" s="9"/>
      <c r="M14" s="9"/>
      <c r="N14" s="88"/>
      <c r="O14" s="9"/>
      <c r="P14" s="9"/>
      <c r="Q14" s="9"/>
      <c r="R14" s="9"/>
      <c r="S14" s="9"/>
      <c r="T14" s="9"/>
      <c r="U14" s="11" t="e">
        <f>AVERAGE(Table326[[#This Row],[PO nr]:[Delivery Date]])</f>
        <v>#DIV/0!</v>
      </c>
      <c r="V14" s="21"/>
      <c r="X14" s="54"/>
      <c r="Y14" s="55"/>
      <c r="Z14" s="55"/>
    </row>
    <row r="15" spans="3:26" ht="14.4" x14ac:dyDescent="0.3">
      <c r="C15" t="str">
        <f>_xlfn.XLOOKUP(Table326[[#This Row],[Customer]],'Top 300'!C:C,'Top 300'!A:A,"0",2,1)</f>
        <v>0</v>
      </c>
      <c r="D15" s="30" t="str">
        <f>_xlfn.XLOOKUP(Table326[[#This Row],[File Name]],'Analyse 2 Detail 02-03'!A:A,'Analyse 2 Detail 02-03'!R:R,"Not Found",0,1)</f>
        <v>Essity Netherlands B.V.</v>
      </c>
      <c r="E15" s="2" t="s">
        <v>170</v>
      </c>
      <c r="F15" s="64" t="s">
        <v>9</v>
      </c>
      <c r="G15" s="71">
        <v>1</v>
      </c>
      <c r="H15" s="9">
        <v>1</v>
      </c>
      <c r="I15" s="9">
        <v>1</v>
      </c>
      <c r="J15" s="9">
        <v>1</v>
      </c>
      <c r="K15" s="9">
        <v>1</v>
      </c>
      <c r="L15" s="9">
        <v>1</v>
      </c>
      <c r="M15" s="9">
        <v>1</v>
      </c>
      <c r="N15" s="88">
        <v>1</v>
      </c>
      <c r="O15" s="9">
        <v>1</v>
      </c>
      <c r="P15" s="9">
        <v>1</v>
      </c>
      <c r="Q15" s="9">
        <v>1</v>
      </c>
      <c r="R15" s="9">
        <v>1</v>
      </c>
      <c r="S15" s="9">
        <v>1</v>
      </c>
      <c r="T15" s="10">
        <v>0.5</v>
      </c>
      <c r="U15" s="11">
        <f>AVERAGE(Table326[[#This Row],[PO nr]:[Delivery Date]])</f>
        <v>0.96153846153846156</v>
      </c>
      <c r="V15" s="84" t="s">
        <v>199</v>
      </c>
      <c r="W15" t="s">
        <v>200</v>
      </c>
      <c r="X15" s="54"/>
      <c r="Y15" s="56"/>
      <c r="Z15" s="56"/>
    </row>
    <row r="16" spans="3:26" ht="14.4" x14ac:dyDescent="0.3">
      <c r="C16" t="str">
        <f>_xlfn.XLOOKUP(Table326[[#This Row],[Customer]],'Top 300'!C:C,'Top 300'!A:A,"0",2,1)</f>
        <v>0</v>
      </c>
      <c r="D16" s="30" t="str">
        <f>_xlfn.XLOOKUP(Table326[[#This Row],[File Name]],'Analyse 2 Detail 02-03'!A:A,'Analyse 2 Detail 02-03'!R:R,"Not Found",0,1)</f>
        <v>Essity Netherlands B.V.</v>
      </c>
      <c r="E16" s="2" t="s">
        <v>106</v>
      </c>
      <c r="F16" s="64" t="s">
        <v>9</v>
      </c>
      <c r="G16" s="71">
        <v>2</v>
      </c>
      <c r="H16" s="9">
        <v>1</v>
      </c>
      <c r="I16" s="9">
        <v>1</v>
      </c>
      <c r="J16" s="9">
        <v>1</v>
      </c>
      <c r="K16" s="9">
        <v>1</v>
      </c>
      <c r="L16" s="9">
        <v>1</v>
      </c>
      <c r="M16" s="9">
        <v>1</v>
      </c>
      <c r="N16" s="88">
        <v>1</v>
      </c>
      <c r="O16" s="9">
        <v>1</v>
      </c>
      <c r="P16" s="9">
        <v>1</v>
      </c>
      <c r="Q16" s="9">
        <v>1</v>
      </c>
      <c r="R16" s="9">
        <v>1</v>
      </c>
      <c r="S16" s="9">
        <v>1</v>
      </c>
      <c r="T16" s="9">
        <v>0.5</v>
      </c>
      <c r="U16" s="11">
        <f>AVERAGE(Table326[[#This Row],[PO nr]:[Delivery Date]])</f>
        <v>0.96153846153846156</v>
      </c>
      <c r="V16" s="84" t="s">
        <v>199</v>
      </c>
      <c r="W16" t="s">
        <v>200</v>
      </c>
      <c r="X16" s="41"/>
      <c r="Y16" s="55"/>
      <c r="Z16" s="55"/>
    </row>
    <row r="17" spans="3:26" ht="14.4" x14ac:dyDescent="0.3">
      <c r="C17" t="str">
        <f>_xlfn.XLOOKUP(Table326[[#This Row],[Customer]],'Top 300'!C:C,'Top 300'!A:A,"0",2,1)</f>
        <v>X</v>
      </c>
      <c r="D17" s="30" t="str">
        <f>_xlfn.XLOOKUP(Table326[[#This Row],[File Name]],'Analyse 2 Detail 02-03'!A:A,'Analyse 2 Detail 02-03'!R:R,"Not Found",0,1)</f>
        <v>Essity Belgium NV</v>
      </c>
      <c r="E17" s="2" t="s">
        <v>136</v>
      </c>
      <c r="F17" s="64" t="s">
        <v>9</v>
      </c>
      <c r="G17" s="71">
        <v>4</v>
      </c>
      <c r="H17" s="9">
        <v>1</v>
      </c>
      <c r="I17" s="9">
        <v>1</v>
      </c>
      <c r="J17" s="9">
        <v>1</v>
      </c>
      <c r="K17" s="9">
        <v>1</v>
      </c>
      <c r="L17" s="9">
        <v>1</v>
      </c>
      <c r="M17" s="9">
        <v>1</v>
      </c>
      <c r="N17" s="88">
        <v>1</v>
      </c>
      <c r="O17" s="9">
        <v>1</v>
      </c>
      <c r="P17" s="9">
        <v>1</v>
      </c>
      <c r="Q17" s="9">
        <v>1</v>
      </c>
      <c r="R17" s="9">
        <v>1</v>
      </c>
      <c r="S17" s="9">
        <v>0.5</v>
      </c>
      <c r="T17" s="10">
        <v>0.5</v>
      </c>
      <c r="U17" s="11">
        <f>AVERAGE(Table326[[#This Row],[PO nr]:[Delivery Date]])</f>
        <v>0.92307692307692313</v>
      </c>
      <c r="V17" s="21" t="s">
        <v>195</v>
      </c>
      <c r="W17" s="39" t="s">
        <v>197</v>
      </c>
      <c r="X17" s="39" t="s">
        <v>2329</v>
      </c>
      <c r="Y17" s="21"/>
      <c r="Z17" s="21"/>
    </row>
    <row r="18" spans="3:26" ht="14.4" x14ac:dyDescent="0.3">
      <c r="C18" t="str">
        <f>_xlfn.XLOOKUP(Table326[[#This Row],[Customer]],'Top 300'!C:C,'Top 300'!A:A,"0",2,1)</f>
        <v>X</v>
      </c>
      <c r="D18" s="30" t="str">
        <f>_xlfn.XLOOKUP(Table326[[#This Row],[File Name]],'Analyse 2 Detail 02-03'!A:A,'Analyse 2 Detail 02-03'!R:R,"Not Found",0,1)</f>
        <v>Essity Belgium NV</v>
      </c>
      <c r="E18" s="2" t="s">
        <v>136</v>
      </c>
      <c r="F18" s="64" t="s">
        <v>9</v>
      </c>
      <c r="G18" s="71">
        <v>1</v>
      </c>
      <c r="H18" s="9">
        <v>1</v>
      </c>
      <c r="I18" s="9">
        <v>1</v>
      </c>
      <c r="J18" s="9">
        <v>1</v>
      </c>
      <c r="K18" s="9">
        <v>1</v>
      </c>
      <c r="L18" s="9">
        <v>1</v>
      </c>
      <c r="M18" s="9">
        <v>1</v>
      </c>
      <c r="N18" s="88">
        <v>1</v>
      </c>
      <c r="O18" s="9">
        <v>1</v>
      </c>
      <c r="P18" s="9">
        <v>1</v>
      </c>
      <c r="Q18" s="9">
        <v>1</v>
      </c>
      <c r="R18" s="9">
        <v>1</v>
      </c>
      <c r="S18" s="9">
        <v>1</v>
      </c>
      <c r="T18" s="10">
        <v>0.5</v>
      </c>
      <c r="U18" s="11">
        <f>AVERAGE(Table326[[#This Row],[PO nr]:[Delivery Date]])</f>
        <v>0.96153846153846156</v>
      </c>
      <c r="V18" s="21" t="s">
        <v>198</v>
      </c>
      <c r="W18" s="39" t="s">
        <v>197</v>
      </c>
      <c r="X18" s="39" t="s">
        <v>2329</v>
      </c>
      <c r="Y18" s="55"/>
      <c r="Z18" s="55"/>
    </row>
    <row r="19" spans="3:26" ht="14.4" x14ac:dyDescent="0.3">
      <c r="C19" t="str">
        <f>_xlfn.XLOOKUP(Table326[[#This Row],[Customer]],'Top 300'!C:C,'Top 300'!A:A,"0",2,1)</f>
        <v>0</v>
      </c>
      <c r="D19" s="30" t="str">
        <f>_xlfn.XLOOKUP(Table326[[#This Row],[File Name]],'Analyse 2 Detail 02-03'!A:A,'Analyse 2 Detail 02-03'!R:R,"Not Found",0,1)</f>
        <v>Essity Netherlands B.V. Health &amp; Medical</v>
      </c>
      <c r="E19" s="2" t="s">
        <v>166</v>
      </c>
      <c r="F19" s="64" t="s">
        <v>9</v>
      </c>
      <c r="G19" s="71">
        <v>0</v>
      </c>
      <c r="H19" s="9"/>
      <c r="I19" s="9"/>
      <c r="J19" s="9"/>
      <c r="K19" s="9"/>
      <c r="L19" s="9"/>
      <c r="M19" s="9"/>
      <c r="N19" s="88"/>
      <c r="O19" s="9"/>
      <c r="P19" s="9"/>
      <c r="Q19" s="9"/>
      <c r="R19" s="9"/>
      <c r="S19" s="9"/>
      <c r="T19" s="10"/>
      <c r="U19" s="11" t="e">
        <f>AVERAGE(Table326[[#This Row],[PO nr]:[Delivery Date]])</f>
        <v>#DIV/0!</v>
      </c>
      <c r="V19" s="21"/>
      <c r="W19" s="39"/>
      <c r="X19" s="39"/>
      <c r="Y19" s="21"/>
      <c r="Z19" s="21"/>
    </row>
    <row r="20" spans="3:26" ht="14.4" x14ac:dyDescent="0.3">
      <c r="C20" t="str">
        <f>_xlfn.XLOOKUP(Table326[[#This Row],[Customer]],'Top 300'!C:C,'Top 300'!A:A,"0",2,1)</f>
        <v>0</v>
      </c>
      <c r="D20" s="30" t="str">
        <f>_xlfn.XLOOKUP(Table326[[#This Row],[File Name]],'Analyse 2 Detail 02-03'!A:A,'Analyse 2 Detail 02-03'!R:R,"Not Found",0,1)</f>
        <v>Essity Netherlands B.V.</v>
      </c>
      <c r="E20" s="2" t="s">
        <v>128</v>
      </c>
      <c r="F20" s="64" t="s">
        <v>9</v>
      </c>
      <c r="G20" s="71">
        <v>0</v>
      </c>
      <c r="H20" s="9"/>
      <c r="I20" s="9"/>
      <c r="J20" s="9"/>
      <c r="K20" s="9"/>
      <c r="L20" s="9"/>
      <c r="M20" s="9"/>
      <c r="N20" s="88"/>
      <c r="O20" s="9"/>
      <c r="P20" s="9"/>
      <c r="Q20" s="9"/>
      <c r="R20" s="9"/>
      <c r="S20" s="9"/>
      <c r="T20" s="10"/>
      <c r="U20" s="11" t="e">
        <f>AVERAGE(Table326[[#This Row],[PO nr]:[Delivery Date]])</f>
        <v>#DIV/0!</v>
      </c>
      <c r="V20" s="21"/>
      <c r="W20" s="39"/>
      <c r="X20" s="40"/>
      <c r="Y20" s="56"/>
      <c r="Z20" s="56"/>
    </row>
    <row r="21" spans="3:26" ht="14.4" x14ac:dyDescent="0.3">
      <c r="C21" t="str">
        <f>_xlfn.XLOOKUP(Table326[[#This Row],[Customer]],'Top 300'!C:C,'Top 300'!A:A,"0",2,1)</f>
        <v>0</v>
      </c>
      <c r="D21" s="30" t="str">
        <f>_xlfn.XLOOKUP(Table326[[#This Row],[File Name]],'Analyse 2 Detail 02-03'!A:A,'Analyse 2 Detail 02-03'!R:R,"Not Found",0,1)</f>
        <v>Essity Netherlands B.V.</v>
      </c>
      <c r="E21" s="2" t="s">
        <v>167</v>
      </c>
      <c r="F21" s="64" t="s">
        <v>9</v>
      </c>
      <c r="G21" s="71">
        <v>0</v>
      </c>
      <c r="H21" s="9"/>
      <c r="I21" s="9"/>
      <c r="J21" s="9"/>
      <c r="K21" s="9"/>
      <c r="L21" s="9"/>
      <c r="M21" s="9"/>
      <c r="N21" s="88"/>
      <c r="O21" s="12"/>
      <c r="P21" s="9"/>
      <c r="Q21" s="9"/>
      <c r="R21" s="9"/>
      <c r="S21" s="9"/>
      <c r="T21" s="10"/>
      <c r="U21" s="11" t="e">
        <f>AVERAGE(Table326[[#This Row],[PO nr]:[Delivery Date]])</f>
        <v>#DIV/0!</v>
      </c>
      <c r="V21" s="21"/>
      <c r="W21" s="39"/>
      <c r="X21" s="39"/>
      <c r="Y21" s="21"/>
      <c r="Z21" s="21"/>
    </row>
    <row r="22" spans="3:26" s="52" customFormat="1" ht="28.2" customHeight="1" x14ac:dyDescent="0.3">
      <c r="C22" t="str">
        <f>_xlfn.XLOOKUP(Table326[[#This Row],[Customer]],'Top 300'!C:C,'Top 300'!A:A,"0",2,1)</f>
        <v>0</v>
      </c>
      <c r="D22" s="43" t="str">
        <f>_xlfn.XLOOKUP(Table326[[#This Row],[File Name]],'Analyse 2 Detail 02-03'!A:A,'Analyse 2 Detail 02-03'!R:R,"Not Found",0,1)</f>
        <v>Essity Netherlands B.V.</v>
      </c>
      <c r="E22" s="2" t="s">
        <v>144</v>
      </c>
      <c r="F22" s="64" t="s">
        <v>9</v>
      </c>
      <c r="G22" s="71">
        <v>1</v>
      </c>
      <c r="H22" s="46">
        <v>1</v>
      </c>
      <c r="I22" s="46">
        <v>1</v>
      </c>
      <c r="J22" s="46">
        <v>1</v>
      </c>
      <c r="K22" s="46">
        <v>1</v>
      </c>
      <c r="L22" s="46">
        <v>1</v>
      </c>
      <c r="M22" s="46">
        <v>1</v>
      </c>
      <c r="N22" s="90">
        <v>1</v>
      </c>
      <c r="O22" s="46">
        <v>1</v>
      </c>
      <c r="P22" s="46">
        <v>1</v>
      </c>
      <c r="Q22" s="46">
        <v>1</v>
      </c>
      <c r="R22" s="46">
        <v>1</v>
      </c>
      <c r="S22" s="46">
        <v>1</v>
      </c>
      <c r="T22" s="46">
        <v>0.5</v>
      </c>
      <c r="U22" s="11">
        <f>AVERAGE(Table326[[#This Row],[PO nr]:[Delivery Date]])</f>
        <v>0.96153846153846156</v>
      </c>
      <c r="V22" s="84" t="s">
        <v>199</v>
      </c>
      <c r="W22" t="s">
        <v>200</v>
      </c>
      <c r="X22" s="51"/>
      <c r="Y22" s="58"/>
      <c r="Z22" s="58"/>
    </row>
    <row r="23" spans="3:26" ht="14.4" x14ac:dyDescent="0.3">
      <c r="C23" t="str">
        <f>_xlfn.XLOOKUP(Table326[[#This Row],[Customer]],'Top 300'!C:C,'Top 300'!A:A,"0",2,1)</f>
        <v>0</v>
      </c>
      <c r="D23" s="30" t="str">
        <f>_xlfn.XLOOKUP(Table326[[#This Row],[File Name]],'Analyse 2 Detail 02-03'!A:A,'Analyse 2 Detail 02-03'!R:R,"Not Found",0,1)</f>
        <v>Essity Netherlands B.V.</v>
      </c>
      <c r="E23" s="2" t="s">
        <v>163</v>
      </c>
      <c r="F23" s="64" t="s">
        <v>9</v>
      </c>
      <c r="G23" s="71">
        <v>1</v>
      </c>
      <c r="H23" s="46">
        <v>1</v>
      </c>
      <c r="I23" s="46">
        <v>1</v>
      </c>
      <c r="J23" s="46">
        <v>1</v>
      </c>
      <c r="K23" s="46">
        <v>1</v>
      </c>
      <c r="L23" s="46">
        <v>1</v>
      </c>
      <c r="M23" s="46">
        <v>1</v>
      </c>
      <c r="N23" s="90">
        <v>1</v>
      </c>
      <c r="O23" s="46">
        <v>1</v>
      </c>
      <c r="P23" s="46">
        <v>1</v>
      </c>
      <c r="Q23" s="46">
        <v>1</v>
      </c>
      <c r="R23" s="46">
        <v>1</v>
      </c>
      <c r="S23" s="46">
        <v>1</v>
      </c>
      <c r="T23" s="46">
        <v>0.5</v>
      </c>
      <c r="U23" s="11">
        <f>AVERAGE(Table326[[#This Row],[PO nr]:[Delivery Date]])</f>
        <v>0.96153846153846156</v>
      </c>
      <c r="V23" s="84" t="s">
        <v>199</v>
      </c>
      <c r="W23" t="s">
        <v>200</v>
      </c>
      <c r="X23" s="41"/>
      <c r="Y23" s="55"/>
      <c r="Z23" s="55"/>
    </row>
    <row r="24" spans="3:26" ht="14.4" x14ac:dyDescent="0.3">
      <c r="C24" t="str">
        <f>_xlfn.XLOOKUP(Table326[[#This Row],[Customer]],'Top 300'!C:C,'Top 300'!A:A,"0",2,1)</f>
        <v>0</v>
      </c>
      <c r="D24" s="30" t="str">
        <f>_xlfn.XLOOKUP(Table326[[#This Row],[File Name]],'Analyse 2 Detail 02-03'!A:A,'Analyse 2 Detail 02-03'!R:R,"Not Found",0,1)</f>
        <v>Essity Netherlands B.V.</v>
      </c>
      <c r="E24" s="2" t="s">
        <v>159</v>
      </c>
      <c r="F24" s="64" t="s">
        <v>9</v>
      </c>
      <c r="G24" s="71">
        <v>1</v>
      </c>
      <c r="H24" s="9">
        <v>1</v>
      </c>
      <c r="I24" s="9">
        <v>1</v>
      </c>
      <c r="J24" s="9">
        <v>1</v>
      </c>
      <c r="K24" s="9">
        <v>1</v>
      </c>
      <c r="L24" s="9">
        <v>1</v>
      </c>
      <c r="M24" s="9">
        <v>1</v>
      </c>
      <c r="N24" s="88">
        <v>1</v>
      </c>
      <c r="O24" s="9">
        <v>1</v>
      </c>
      <c r="P24" s="9">
        <v>1</v>
      </c>
      <c r="Q24" s="9">
        <v>1</v>
      </c>
      <c r="R24" s="9">
        <v>1</v>
      </c>
      <c r="S24" s="9">
        <v>1</v>
      </c>
      <c r="T24" s="9">
        <v>0.5</v>
      </c>
      <c r="U24" s="11">
        <f>AVERAGE(Table326[[#This Row],[PO nr]:[Delivery Date]])</f>
        <v>0.96153846153846156</v>
      </c>
      <c r="V24" s="84" t="s">
        <v>199</v>
      </c>
      <c r="W24" t="s">
        <v>200</v>
      </c>
      <c r="X24" s="39"/>
      <c r="Y24" s="21"/>
      <c r="Z24" s="21"/>
    </row>
    <row r="25" spans="3:26" ht="14.4" x14ac:dyDescent="0.3">
      <c r="C25" t="str">
        <f>_xlfn.XLOOKUP(Table326[[#This Row],[Customer]],'Top 300'!C:C,'Top 300'!A:A,"0",2,1)</f>
        <v>X</v>
      </c>
      <c r="D25" s="30" t="str">
        <f>_xlfn.XLOOKUP(Table326[[#This Row],[File Name]],'Analyse 2 Detail 02-03'!A:A,'Analyse 2 Detail 02-03'!R:R,"Not Found",0,1)</f>
        <v>Becton Dickinson BV</v>
      </c>
      <c r="E25" s="2" t="s">
        <v>185</v>
      </c>
      <c r="F25" s="64" t="s">
        <v>9</v>
      </c>
      <c r="G25" s="71">
        <v>0</v>
      </c>
      <c r="H25" s="9"/>
      <c r="I25" s="9"/>
      <c r="J25" s="9"/>
      <c r="K25" s="9"/>
      <c r="L25" s="9"/>
      <c r="M25" s="9"/>
      <c r="N25" s="88"/>
      <c r="O25" s="9"/>
      <c r="P25" s="9"/>
      <c r="Q25" s="9"/>
      <c r="R25" s="9"/>
      <c r="S25" s="9"/>
      <c r="T25" s="9"/>
      <c r="U25" s="11" t="e">
        <f>AVERAGE(Table326[[#This Row],[PO nr]:[Delivery Date]])</f>
        <v>#DIV/0!</v>
      </c>
      <c r="V25" s="21"/>
      <c r="W25" s="39"/>
      <c r="X25" s="41"/>
      <c r="Y25" s="55"/>
      <c r="Z25" s="56"/>
    </row>
    <row r="26" spans="3:26" ht="14.4" x14ac:dyDescent="0.3">
      <c r="C26" t="str">
        <f>_xlfn.XLOOKUP(Table326[[#This Row],[Customer]],'Top 300'!C:C,'Top 300'!A:A,"0",2,1)</f>
        <v>X</v>
      </c>
      <c r="D26" s="30" t="str">
        <f>_xlfn.XLOOKUP(Table326[[#This Row],[File Name]],'Analyse 2 Detail 02-03'!A:A,'Analyse 2 Detail 02-03'!R:R,"Not Found",0,1)</f>
        <v>Becton Dickinson BV</v>
      </c>
      <c r="E26" s="2" t="s">
        <v>172</v>
      </c>
      <c r="F26" s="64" t="s">
        <v>9</v>
      </c>
      <c r="G26" s="71">
        <v>0</v>
      </c>
      <c r="H26" s="9"/>
      <c r="I26" s="9"/>
      <c r="J26" s="9"/>
      <c r="K26" s="9"/>
      <c r="L26" s="9"/>
      <c r="M26" s="9"/>
      <c r="N26" s="88"/>
      <c r="O26" s="9"/>
      <c r="P26" s="9"/>
      <c r="Q26" s="9"/>
      <c r="R26" s="9"/>
      <c r="S26" s="9"/>
      <c r="T26" s="9"/>
      <c r="U26" s="11" t="e">
        <f>AVERAGE(Table326[[#This Row],[PO nr]:[Delivery Date]])</f>
        <v>#DIV/0!</v>
      </c>
      <c r="V26" s="21"/>
      <c r="W26" s="39"/>
      <c r="X26" s="39"/>
      <c r="Y26" s="21"/>
      <c r="Z26" s="21"/>
    </row>
    <row r="27" spans="3:26" ht="14.4" x14ac:dyDescent="0.3">
      <c r="C27" t="str">
        <f>_xlfn.XLOOKUP(Table326[[#This Row],[Customer]],'Top 300'!C:C,'Top 300'!A:A,"0",2,1)</f>
        <v>X</v>
      </c>
      <c r="D27" s="30" t="str">
        <f>_xlfn.XLOOKUP(Table326[[#This Row],[File Name]],'Analyse 2 Detail 02-03'!A:A,'Analyse 2 Detail 02-03'!R:R,"Not Found",0,1)</f>
        <v>Becton Dickinson BV</v>
      </c>
      <c r="E27" s="2" t="s">
        <v>152</v>
      </c>
      <c r="F27" s="64" t="s">
        <v>9</v>
      </c>
      <c r="G27" s="71">
        <v>2</v>
      </c>
      <c r="H27" s="9">
        <v>1</v>
      </c>
      <c r="I27" s="9">
        <v>1</v>
      </c>
      <c r="J27" s="9">
        <v>1</v>
      </c>
      <c r="K27" s="9">
        <v>1</v>
      </c>
      <c r="L27" s="9">
        <v>1</v>
      </c>
      <c r="M27" s="9">
        <v>1</v>
      </c>
      <c r="N27" s="88">
        <v>1</v>
      </c>
      <c r="O27" s="9">
        <v>1</v>
      </c>
      <c r="P27" s="9">
        <v>1</v>
      </c>
      <c r="Q27" s="9">
        <v>1</v>
      </c>
      <c r="R27" s="9">
        <v>0.5</v>
      </c>
      <c r="S27" s="9">
        <v>1</v>
      </c>
      <c r="T27" s="9">
        <v>1</v>
      </c>
      <c r="U27" s="11">
        <f>AVERAGE(Table326[[#This Row],[PO nr]:[Delivery Date]])</f>
        <v>0.96153846153846156</v>
      </c>
      <c r="V27" s="21" t="s">
        <v>201</v>
      </c>
      <c r="W27" s="39" t="s">
        <v>202</v>
      </c>
      <c r="X27" s="39" t="s">
        <v>2332</v>
      </c>
      <c r="Y27" s="21"/>
      <c r="Z27" s="21"/>
    </row>
    <row r="28" spans="3:26" ht="57.6" x14ac:dyDescent="0.3">
      <c r="C28" t="str">
        <f>_xlfn.XLOOKUP(Table326[[#This Row],[Customer]],'Top 300'!C:C,'Top 300'!A:A,"0",2,1)</f>
        <v>0</v>
      </c>
      <c r="D28" s="30" t="str">
        <f>_xlfn.XLOOKUP(Table326[[#This Row],[File Name]],'Analyse 2 Detail 02-03'!A:A,'Analyse 2 Detail 02-03'!R:R,"Not Found",0,1)</f>
        <v>Medline Int'l Belgium BV</v>
      </c>
      <c r="E28" s="2" t="s">
        <v>142</v>
      </c>
      <c r="F28" s="64" t="s">
        <v>9</v>
      </c>
      <c r="G28" s="71">
        <v>2</v>
      </c>
      <c r="H28" s="25">
        <v>1</v>
      </c>
      <c r="I28" s="25">
        <v>1</v>
      </c>
      <c r="J28" s="25">
        <v>1</v>
      </c>
      <c r="K28" s="25">
        <v>1</v>
      </c>
      <c r="L28" s="25">
        <v>1</v>
      </c>
      <c r="M28" s="9">
        <v>1</v>
      </c>
      <c r="N28" s="88">
        <v>1</v>
      </c>
      <c r="O28" s="25">
        <v>1</v>
      </c>
      <c r="P28" s="25">
        <v>0.5</v>
      </c>
      <c r="Q28" s="25">
        <v>1</v>
      </c>
      <c r="R28" s="25">
        <v>0.5</v>
      </c>
      <c r="S28" s="25">
        <v>1</v>
      </c>
      <c r="T28" s="10">
        <v>1</v>
      </c>
      <c r="U28" s="11">
        <f>AVERAGE(Table326[[#This Row],[PO nr]:[Delivery Date]])</f>
        <v>0.92307692307692313</v>
      </c>
      <c r="V28" s="21" t="s">
        <v>203</v>
      </c>
      <c r="W28" s="21" t="s">
        <v>204</v>
      </c>
      <c r="X28" s="50" t="s">
        <v>2334</v>
      </c>
      <c r="Y28" s="21"/>
      <c r="Z28" s="21"/>
    </row>
    <row r="29" spans="3:26" ht="15" customHeight="1" x14ac:dyDescent="0.3">
      <c r="C29" t="str">
        <f>_xlfn.XLOOKUP(Table326[[#This Row],[Customer]],'Top 300'!C:C,'Top 300'!A:A,"0",2,1)</f>
        <v>0</v>
      </c>
      <c r="D29" s="30" t="str">
        <f>_xlfn.XLOOKUP(Table326[[#This Row],[File Name]],'Analyse 2 Detail 02-03'!A:A,'Analyse 2 Detail 02-03'!R:R,"Not Found",0,1)</f>
        <v>VYGON NEDERLAND B.V.</v>
      </c>
      <c r="E29" s="2" t="s">
        <v>121</v>
      </c>
      <c r="F29" s="64" t="s">
        <v>11</v>
      </c>
      <c r="G29" s="71">
        <v>0</v>
      </c>
      <c r="M29" s="9"/>
      <c r="T29" s="23"/>
      <c r="U29" s="11" t="e">
        <f>AVERAGE(Table326[[#This Row],[PO nr]:[Delivery Date]])</f>
        <v>#DIV/0!</v>
      </c>
      <c r="V29" s="21"/>
      <c r="W29" s="21"/>
      <c r="X29" s="21"/>
      <c r="Y29" s="21"/>
      <c r="Z29" s="21"/>
    </row>
    <row r="30" spans="3:26" ht="15" customHeight="1" x14ac:dyDescent="0.3">
      <c r="C30" t="str">
        <f>_xlfn.XLOOKUP(Table326[[#This Row],[Customer]],'Top 300'!C:C,'Top 300'!A:A,"0",2,1)</f>
        <v>0</v>
      </c>
      <c r="D30" s="30" t="str">
        <f>_xlfn.XLOOKUP(Table326[[#This Row],[File Name]],'Analyse 2 Detail 02-03'!A:A,'Analyse 2 Detail 02-03'!R:R,"Not Found",0,1)</f>
        <v>VYGON NEDERLAND B.V.</v>
      </c>
      <c r="E30" s="2" t="s">
        <v>121</v>
      </c>
      <c r="F30" s="64" t="s">
        <v>11</v>
      </c>
      <c r="G30" s="71">
        <v>0</v>
      </c>
      <c r="M30" s="9"/>
      <c r="T30" s="23"/>
      <c r="U30" s="11" t="e">
        <f>AVERAGE(Table326[[#This Row],[PO nr]:[Delivery Date]])</f>
        <v>#DIV/0!</v>
      </c>
      <c r="V30" s="21"/>
      <c r="W30" s="21"/>
      <c r="X30" s="21"/>
      <c r="Y30" s="21"/>
      <c r="Z30" s="21"/>
    </row>
    <row r="31" spans="3:26" ht="57.6" x14ac:dyDescent="0.3">
      <c r="C31" t="str">
        <f>_xlfn.XLOOKUP(Table326[[#This Row],[Customer]],'Top 300'!C:C,'Top 300'!A:A,"0",2,1)</f>
        <v>0</v>
      </c>
      <c r="D31" s="30" t="str">
        <f>_xlfn.XLOOKUP(Table326[[#This Row],[File Name]],'Analyse 2 Detail 02-03'!A:A,'Analyse 2 Detail 02-03'!R:R,"Not Found",0,1)</f>
        <v>VYGON NEDERLAND B.V.</v>
      </c>
      <c r="E31" s="2" t="s">
        <v>121</v>
      </c>
      <c r="F31" s="64" t="s">
        <v>9</v>
      </c>
      <c r="G31" s="71">
        <v>3</v>
      </c>
      <c r="H31" s="25">
        <v>1</v>
      </c>
      <c r="I31" s="25">
        <v>1</v>
      </c>
      <c r="J31" s="25">
        <v>1</v>
      </c>
      <c r="K31" s="25">
        <v>1</v>
      </c>
      <c r="L31" s="25">
        <v>1</v>
      </c>
      <c r="M31" s="9">
        <v>0.5</v>
      </c>
      <c r="N31" s="88">
        <v>1</v>
      </c>
      <c r="O31" s="25">
        <v>1</v>
      </c>
      <c r="P31" s="25">
        <v>1</v>
      </c>
      <c r="Q31" s="25">
        <v>1</v>
      </c>
      <c r="R31" s="25">
        <v>0.5</v>
      </c>
      <c r="S31" s="25">
        <v>0.5</v>
      </c>
      <c r="T31" s="10">
        <v>1</v>
      </c>
      <c r="U31" s="11">
        <f>AVERAGE(Table326[[#This Row],[PO nr]:[Delivery Date]])</f>
        <v>0.88461538461538458</v>
      </c>
      <c r="V31" s="84" t="s">
        <v>205</v>
      </c>
      <c r="W31" s="21" t="s">
        <v>206</v>
      </c>
      <c r="X31" s="50" t="s">
        <v>2335</v>
      </c>
      <c r="Y31" s="21"/>
      <c r="Z31" s="21"/>
    </row>
    <row r="32" spans="3:26" ht="15" customHeight="1" x14ac:dyDescent="0.3">
      <c r="C32" t="str">
        <f>_xlfn.XLOOKUP(Table326[[#This Row],[Customer]],'Top 300'!C:C,'Top 300'!A:A,"0",2,1)</f>
        <v>0</v>
      </c>
      <c r="D32" s="30" t="str">
        <f>_xlfn.XLOOKUP(Table326[[#This Row],[File Name]],'Analyse 2 Detail 02-03'!A:A,'Analyse 2 Detail 02-03'!R:R,"Not Found",0,1)</f>
        <v>King Belgium SA/NV</v>
      </c>
      <c r="E32" s="2" t="s">
        <v>181</v>
      </c>
      <c r="F32" s="64" t="s">
        <v>9</v>
      </c>
      <c r="G32" s="71">
        <v>0</v>
      </c>
      <c r="M32" s="9"/>
      <c r="T32" s="23"/>
      <c r="U32" s="11" t="e">
        <f>AVERAGE(Table326[[#This Row],[PO nr]:[Delivery Date]])</f>
        <v>#DIV/0!</v>
      </c>
      <c r="V32" s="21"/>
      <c r="W32" s="21"/>
      <c r="X32" s="21"/>
      <c r="Y32" s="21"/>
      <c r="Z32" s="21"/>
    </row>
    <row r="33" spans="3:26" ht="15" customHeight="1" x14ac:dyDescent="0.3">
      <c r="C33" t="str">
        <f>_xlfn.XLOOKUP(Table326[[#This Row],[Customer]],'Top 300'!C:C,'Top 300'!A:A,"0",2,1)</f>
        <v>0</v>
      </c>
      <c r="D33" s="30" t="str">
        <f>_xlfn.XLOOKUP(Table326[[#This Row],[File Name]],'Analyse 2 Detail 02-03'!A:A,'Analyse 2 Detail 02-03'!R:R,"Not Found",0,1)</f>
        <v>King Belgium SA/NV</v>
      </c>
      <c r="E33" s="2" t="s">
        <v>120</v>
      </c>
      <c r="F33" s="64" t="s">
        <v>9</v>
      </c>
      <c r="G33" s="71">
        <v>0</v>
      </c>
      <c r="M33" s="9"/>
      <c r="T33" s="23"/>
      <c r="U33" s="11" t="e">
        <f>AVERAGE(Table326[[#This Row],[PO nr]:[Delivery Date]])</f>
        <v>#DIV/0!</v>
      </c>
      <c r="V33" s="21"/>
      <c r="W33" s="21"/>
      <c r="X33" s="21"/>
      <c r="Y33" s="21"/>
      <c r="Z33" s="21"/>
    </row>
    <row r="34" spans="3:26" ht="15" customHeight="1" x14ac:dyDescent="0.3">
      <c r="C34" t="str">
        <f>_xlfn.XLOOKUP(Table326[[#This Row],[Customer]],'Top 300'!C:C,'Top 300'!A:A,"0",2,1)</f>
        <v>0</v>
      </c>
      <c r="D34" s="30" t="str">
        <f>_xlfn.XLOOKUP(Table326[[#This Row],[File Name]],'Analyse 2 Detail 02-03'!A:A,'Analyse 2 Detail 02-03'!R:R,"Not Found",0,1)</f>
        <v>King Belgium SA/NV</v>
      </c>
      <c r="E34" s="2" t="s">
        <v>145</v>
      </c>
      <c r="F34" s="64" t="s">
        <v>9</v>
      </c>
      <c r="G34" s="71">
        <v>0</v>
      </c>
      <c r="M34" s="9"/>
      <c r="T34" s="23"/>
      <c r="U34" s="11" t="e">
        <f>AVERAGE(Table326[[#This Row],[PO nr]:[Delivery Date]])</f>
        <v>#DIV/0!</v>
      </c>
      <c r="V34" s="21"/>
      <c r="W34" s="21"/>
      <c r="X34" s="21"/>
      <c r="Y34" s="21"/>
      <c r="Z34" s="21"/>
    </row>
    <row r="35" spans="3:26" ht="15" customHeight="1" x14ac:dyDescent="0.3">
      <c r="C35" t="str">
        <f>_xlfn.XLOOKUP(Table326[[#This Row],[Customer]],'Top 300'!C:C,'Top 300'!A:A,"0",2,1)</f>
        <v>0</v>
      </c>
      <c r="D35" s="30" t="str">
        <f>_xlfn.XLOOKUP(Table326[[#This Row],[File Name]],'Analyse 2 Detail 02-03'!A:A,'Analyse 2 Detail 02-03'!R:R,"Not Found",0,1)</f>
        <v>King Belgium SA/NV</v>
      </c>
      <c r="E35" s="2" t="s">
        <v>182</v>
      </c>
      <c r="F35" s="64" t="s">
        <v>9</v>
      </c>
      <c r="G35" s="71">
        <v>0</v>
      </c>
      <c r="M35" s="9"/>
      <c r="T35" s="23"/>
      <c r="U35" s="11" t="e">
        <f>AVERAGE(Table326[[#This Row],[PO nr]:[Delivery Date]])</f>
        <v>#DIV/0!</v>
      </c>
      <c r="V35" s="21"/>
      <c r="W35" s="21"/>
      <c r="X35" s="21"/>
      <c r="Y35" s="21"/>
      <c r="Z35" s="21"/>
    </row>
    <row r="36" spans="3:26" ht="15" customHeight="1" x14ac:dyDescent="0.3">
      <c r="C36" t="str">
        <f>_xlfn.XLOOKUP(Table326[[#This Row],[Customer]],'Top 300'!C:C,'Top 300'!A:A,"0",2,1)</f>
        <v>0</v>
      </c>
      <c r="D36" s="30" t="str">
        <f>_xlfn.XLOOKUP(Table326[[#This Row],[File Name]],'Analyse 2 Detail 02-03'!A:A,'Analyse 2 Detail 02-03'!R:R,"Not Found",0,1)</f>
        <v>King Belgium SA/NV</v>
      </c>
      <c r="E36" s="2" t="s">
        <v>151</v>
      </c>
      <c r="F36" s="64" t="s">
        <v>9</v>
      </c>
      <c r="G36" s="71">
        <v>1</v>
      </c>
      <c r="H36" s="25">
        <v>1</v>
      </c>
      <c r="I36" s="25">
        <v>1</v>
      </c>
      <c r="J36" s="25">
        <v>1</v>
      </c>
      <c r="K36" s="25">
        <v>1</v>
      </c>
      <c r="L36" s="25">
        <v>1</v>
      </c>
      <c r="M36" s="9">
        <v>1</v>
      </c>
      <c r="N36" s="88">
        <v>0</v>
      </c>
      <c r="O36" s="25">
        <v>1</v>
      </c>
      <c r="P36" s="25">
        <v>1</v>
      </c>
      <c r="Q36" s="25">
        <v>1</v>
      </c>
      <c r="R36" s="25">
        <v>1</v>
      </c>
      <c r="S36" s="25">
        <v>1</v>
      </c>
      <c r="T36" s="10">
        <v>1</v>
      </c>
      <c r="U36" s="11">
        <f>AVERAGE(Table326[[#This Row],[PO nr]:[Delivery Date]])</f>
        <v>0.92307692307692313</v>
      </c>
      <c r="V36" s="21" t="s">
        <v>207</v>
      </c>
      <c r="W36" s="21"/>
      <c r="X36" s="21" t="s">
        <v>2324</v>
      </c>
      <c r="Y36" s="21"/>
      <c r="Z36" s="21"/>
    </row>
    <row r="37" spans="3:26" ht="15" customHeight="1" x14ac:dyDescent="0.3">
      <c r="C37" t="str">
        <f>_xlfn.XLOOKUP(Table326[[#This Row],[Customer]],'Top 300'!C:C,'Top 300'!A:A,"0",2,1)</f>
        <v>0</v>
      </c>
      <c r="D37" s="30" t="str">
        <f>_xlfn.XLOOKUP(Table326[[#This Row],[File Name]],'Analyse 2 Detail 02-03'!A:A,'Analyse 2 Detail 02-03'!R:R,"Not Found",0,1)</f>
        <v>King Belgium SA/NV</v>
      </c>
      <c r="E37" s="2" t="s">
        <v>171</v>
      </c>
      <c r="F37" s="64" t="s">
        <v>9</v>
      </c>
      <c r="G37" s="71">
        <v>0</v>
      </c>
      <c r="M37" s="9"/>
      <c r="T37" s="23"/>
      <c r="U37" s="11" t="e">
        <f>AVERAGE(Table326[[#This Row],[PO nr]:[Delivery Date]])</f>
        <v>#DIV/0!</v>
      </c>
      <c r="V37" s="21"/>
      <c r="W37" s="21"/>
      <c r="X37" s="21"/>
      <c r="Y37" s="21"/>
      <c r="Z37" s="21"/>
    </row>
    <row r="38" spans="3:26" ht="15" customHeight="1" x14ac:dyDescent="0.3">
      <c r="C38" t="str">
        <f>_xlfn.XLOOKUP(Table326[[#This Row],[Customer]],'Top 300'!C:C,'Top 300'!A:A,"0",2,1)</f>
        <v>0</v>
      </c>
      <c r="D38" s="30" t="str">
        <f>_xlfn.XLOOKUP(Table326[[#This Row],[File Name]],'Analyse 2 Detail 02-03'!A:A,'Analyse 2 Detail 02-03'!R:R,"Not Found",0,1)</f>
        <v>Duomed Belgium NV/SA</v>
      </c>
      <c r="E38" s="2" t="s">
        <v>113</v>
      </c>
      <c r="F38" s="64" t="s">
        <v>9</v>
      </c>
      <c r="G38" s="71">
        <v>0</v>
      </c>
      <c r="M38" s="9"/>
      <c r="T38" s="23"/>
      <c r="U38" s="11" t="e">
        <f>AVERAGE(Table326[[#This Row],[PO nr]:[Delivery Date]])</f>
        <v>#DIV/0!</v>
      </c>
      <c r="V38" s="21"/>
      <c r="W38" s="21"/>
      <c r="X38" s="21"/>
      <c r="Y38" s="21"/>
      <c r="Z38" s="21"/>
    </row>
    <row r="39" spans="3:26" ht="15" customHeight="1" x14ac:dyDescent="0.3">
      <c r="C39" t="str">
        <f>_xlfn.XLOOKUP(Table326[[#This Row],[Customer]],'Top 300'!C:C,'Top 300'!A:A,"0",2,1)</f>
        <v>0</v>
      </c>
      <c r="D39" s="30" t="str">
        <f>_xlfn.XLOOKUP(Table326[[#This Row],[File Name]],'Analyse 2 Detail 02-03'!A:A,'Analyse 2 Detail 02-03'!R:R,"Not Found",0,1)</f>
        <v>King Belgium SA/NV</v>
      </c>
      <c r="E39" s="2" t="s">
        <v>134</v>
      </c>
      <c r="F39" s="64" t="s">
        <v>9</v>
      </c>
      <c r="G39" s="71">
        <v>0</v>
      </c>
      <c r="M39" s="9"/>
      <c r="T39" s="23"/>
      <c r="U39" s="11" t="e">
        <f>AVERAGE(Table326[[#This Row],[PO nr]:[Delivery Date]])</f>
        <v>#DIV/0!</v>
      </c>
      <c r="V39" s="21"/>
      <c r="W39" s="21"/>
      <c r="X39" s="21"/>
      <c r="Y39" s="21"/>
      <c r="Z39" s="21"/>
    </row>
    <row r="40" spans="3:26" ht="15" customHeight="1" x14ac:dyDescent="0.3">
      <c r="C40" t="str">
        <f>_xlfn.XLOOKUP(Table326[[#This Row],[Customer]],'Top 300'!C:C,'Top 300'!A:A,"0",2,1)</f>
        <v>0</v>
      </c>
      <c r="D40" s="30">
        <f>_xlfn.XLOOKUP(Table326[[#This Row],[File Name]],'Analyse 2 Detail 02-03'!A:A,'Analyse 2 Detail 02-03'!R:R,"Not Found",0,1)</f>
        <v>0</v>
      </c>
      <c r="E40" s="2" t="s">
        <v>125</v>
      </c>
      <c r="F40" s="64" t="s">
        <v>11</v>
      </c>
      <c r="G40" s="71">
        <v>0</v>
      </c>
      <c r="H40" s="46" t="s">
        <v>211</v>
      </c>
      <c r="I40" s="46" t="s">
        <v>211</v>
      </c>
      <c r="J40" s="46" t="s">
        <v>211</v>
      </c>
      <c r="K40" s="46" t="s">
        <v>211</v>
      </c>
      <c r="L40" s="46" t="s">
        <v>211</v>
      </c>
      <c r="M40" s="46" t="s">
        <v>211</v>
      </c>
      <c r="N40" s="46" t="s">
        <v>211</v>
      </c>
      <c r="O40" s="46" t="s">
        <v>211</v>
      </c>
      <c r="P40" s="46" t="s">
        <v>211</v>
      </c>
      <c r="Q40" s="46" t="s">
        <v>211</v>
      </c>
      <c r="R40" s="46" t="s">
        <v>211</v>
      </c>
      <c r="S40" s="46" t="s">
        <v>211</v>
      </c>
      <c r="T40" s="46" t="s">
        <v>211</v>
      </c>
      <c r="U40" s="11" t="e">
        <f>AVERAGE(Table326[[#This Row],[PO nr]:[Delivery Date]])</f>
        <v>#DIV/0!</v>
      </c>
      <c r="V40" s="21" t="s">
        <v>1817</v>
      </c>
      <c r="W40" s="21" t="s">
        <v>1814</v>
      </c>
      <c r="X40" s="21"/>
      <c r="Y40" s="21"/>
      <c r="Z40" s="21"/>
    </row>
    <row r="41" spans="3:26" ht="15" customHeight="1" x14ac:dyDescent="0.3">
      <c r="C41" t="str">
        <f>_xlfn.XLOOKUP(Table326[[#This Row],[Customer]],'Top 300'!C:C,'Top 300'!A:A,"0",2,1)</f>
        <v>0</v>
      </c>
      <c r="D41" s="30" t="str">
        <f>_xlfn.XLOOKUP(Table326[[#This Row],[File Name]],'Analyse 2 Detail 02-03'!A:A,'Analyse 2 Detail 02-03'!R:R,"Not Found",0,1)</f>
        <v>Medline International Netherlands B.V.</v>
      </c>
      <c r="E41" s="2" t="s">
        <v>111</v>
      </c>
      <c r="F41" s="64" t="s">
        <v>9</v>
      </c>
      <c r="G41" s="71">
        <v>1</v>
      </c>
      <c r="H41" s="25">
        <v>1</v>
      </c>
      <c r="I41" s="25">
        <v>1</v>
      </c>
      <c r="J41" s="25">
        <v>1</v>
      </c>
      <c r="K41" s="25">
        <v>1</v>
      </c>
      <c r="L41" s="25">
        <v>1</v>
      </c>
      <c r="M41" s="9">
        <v>1</v>
      </c>
      <c r="N41" s="88">
        <v>1</v>
      </c>
      <c r="O41" s="25">
        <v>1</v>
      </c>
      <c r="P41" s="25">
        <v>1</v>
      </c>
      <c r="Q41" s="25">
        <v>1</v>
      </c>
      <c r="R41" s="25">
        <v>1</v>
      </c>
      <c r="S41" s="25">
        <v>1</v>
      </c>
      <c r="T41" s="10">
        <v>1</v>
      </c>
      <c r="U41" s="11">
        <f>AVERAGE(Table326[[#This Row],[PO nr]:[Delivery Date]])</f>
        <v>1</v>
      </c>
      <c r="V41" s="21"/>
      <c r="W41" s="21"/>
      <c r="X41" s="21"/>
      <c r="Y41" s="21"/>
      <c r="Z41" s="21" t="s">
        <v>209</v>
      </c>
    </row>
    <row r="42" spans="3:26" ht="15" customHeight="1" x14ac:dyDescent="0.3">
      <c r="C42" t="str">
        <f>_xlfn.XLOOKUP(Table326[[#This Row],[Customer]],'Top 300'!C:C,'Top 300'!A:A,"0",2,1)</f>
        <v>0</v>
      </c>
      <c r="D42" s="30" t="str">
        <f>_xlfn.XLOOKUP(Table326[[#This Row],[File Name]],'Analyse 2 Detail 02-03'!A:A,'Analyse 2 Detail 02-03'!R:R,"Not Found",0,1)</f>
        <v>N.V. PAUL HARTMANN S.A.</v>
      </c>
      <c r="E42" s="2" t="s">
        <v>133</v>
      </c>
      <c r="F42" s="64" t="s">
        <v>9</v>
      </c>
      <c r="G42" s="71">
        <v>0</v>
      </c>
      <c r="M42" s="9"/>
      <c r="T42" s="23"/>
      <c r="U42" s="11" t="e">
        <f>AVERAGE(Table326[[#This Row],[PO nr]:[Delivery Date]])</f>
        <v>#DIV/0!</v>
      </c>
      <c r="V42" s="21"/>
      <c r="W42" s="21"/>
      <c r="X42" s="21"/>
      <c r="Y42" s="21"/>
      <c r="Z42" s="21"/>
    </row>
    <row r="43" spans="3:26" ht="15" customHeight="1" x14ac:dyDescent="0.3">
      <c r="C43" t="str">
        <f>_xlfn.XLOOKUP(Table326[[#This Row],[Customer]],'Top 300'!C:C,'Top 300'!A:A,"0",2,1)</f>
        <v>0</v>
      </c>
      <c r="D43" s="30" t="str">
        <f>_xlfn.XLOOKUP(Table326[[#This Row],[File Name]],'Analyse 2 Detail 02-03'!A:A,'Analyse 2 Detail 02-03'!R:R,"Not Found",0,1)</f>
        <v>N.V. PAUL HARTMANN S.A.</v>
      </c>
      <c r="E43" s="2" t="s">
        <v>133</v>
      </c>
      <c r="F43" s="64" t="s">
        <v>9</v>
      </c>
      <c r="G43" s="71">
        <v>0</v>
      </c>
      <c r="M43" s="9"/>
      <c r="T43" s="23"/>
      <c r="U43" s="11" t="e">
        <f>AVERAGE(Table326[[#This Row],[PO nr]:[Delivery Date]])</f>
        <v>#DIV/0!</v>
      </c>
      <c r="V43" s="21"/>
      <c r="W43" s="21"/>
      <c r="X43" s="21"/>
      <c r="Y43" s="21"/>
      <c r="Z43" s="21"/>
    </row>
    <row r="44" spans="3:26" ht="15" customHeight="1" x14ac:dyDescent="0.3">
      <c r="C44" t="str">
        <f>_xlfn.XLOOKUP(Table326[[#This Row],[Customer]],'Top 300'!C:C,'Top 300'!A:A,"0",2,1)</f>
        <v>0</v>
      </c>
      <c r="D44" s="30" t="str">
        <f>_xlfn.XLOOKUP(Table326[[#This Row],[File Name]],'Analyse 2 Detail 02-03'!A:A,'Analyse 2 Detail 02-03'!R:R,"Not Found",0,1)</f>
        <v>N.V. PAUL HARTMANN S.A.</v>
      </c>
      <c r="E44" s="2" t="s">
        <v>133</v>
      </c>
      <c r="F44" s="64" t="s">
        <v>9</v>
      </c>
      <c r="G44" s="71">
        <v>0</v>
      </c>
      <c r="M44" s="9"/>
      <c r="T44" s="23"/>
      <c r="U44" s="11" t="e">
        <f>AVERAGE(Table326[[#This Row],[PO nr]:[Delivery Date]])</f>
        <v>#DIV/0!</v>
      </c>
      <c r="V44" s="21"/>
      <c r="W44" s="21"/>
      <c r="X44" s="21"/>
      <c r="Y44" s="21"/>
      <c r="Z44" s="21"/>
    </row>
    <row r="45" spans="3:26" ht="15" customHeight="1" x14ac:dyDescent="0.3">
      <c r="C45" t="str">
        <f>_xlfn.XLOOKUP(Table326[[#This Row],[Customer]],'Top 300'!C:C,'Top 300'!A:A,"0",2,1)</f>
        <v>0</v>
      </c>
      <c r="D45" s="30" t="str">
        <f>_xlfn.XLOOKUP(Table326[[#This Row],[File Name]],'Analyse 2 Detail 02-03'!A:A,'Analyse 2 Detail 02-03'!R:R,"Not Found",0,1)</f>
        <v>N.V. PAUL HARTMANN S.A.</v>
      </c>
      <c r="E45" s="2" t="s">
        <v>133</v>
      </c>
      <c r="F45" s="64" t="s">
        <v>9</v>
      </c>
      <c r="G45" s="71">
        <v>0</v>
      </c>
      <c r="M45" s="9"/>
      <c r="T45" s="23"/>
      <c r="U45" s="11" t="e">
        <f>AVERAGE(Table326[[#This Row],[PO nr]:[Delivery Date]])</f>
        <v>#DIV/0!</v>
      </c>
      <c r="V45" s="21"/>
      <c r="W45" s="21"/>
      <c r="X45" s="21"/>
      <c r="Y45" s="21"/>
      <c r="Z45" s="21"/>
    </row>
    <row r="46" spans="3:26" ht="15" customHeight="1" x14ac:dyDescent="0.3">
      <c r="C46" t="str">
        <f>_xlfn.XLOOKUP(Table326[[#This Row],[Customer]],'Top 300'!C:C,'Top 300'!A:A,"0",2,1)</f>
        <v>0</v>
      </c>
      <c r="D46" s="30" t="str">
        <f>_xlfn.XLOOKUP(Table326[[#This Row],[File Name]],'Analyse 2 Detail 02-03'!A:A,'Analyse 2 Detail 02-03'!R:R,"Not Found",0,1)</f>
        <v>Paul Hartmann B.V.</v>
      </c>
      <c r="E46" s="2" t="s">
        <v>124</v>
      </c>
      <c r="F46" s="64" t="s">
        <v>9</v>
      </c>
      <c r="G46" s="71">
        <v>0</v>
      </c>
      <c r="M46" s="9"/>
      <c r="T46" s="23"/>
      <c r="U46" s="11" t="e">
        <f>AVERAGE(Table326[[#This Row],[PO nr]:[Delivery Date]])</f>
        <v>#DIV/0!</v>
      </c>
      <c r="V46" s="21"/>
      <c r="W46" s="21"/>
      <c r="X46" s="21"/>
      <c r="Y46" s="21"/>
      <c r="Z46" s="21"/>
    </row>
    <row r="47" spans="3:26" ht="15" customHeight="1" x14ac:dyDescent="0.3">
      <c r="C47" t="str">
        <f>_xlfn.XLOOKUP(Table326[[#This Row],[Customer]],'Top 300'!C:C,'Top 300'!A:A,"0",2,1)</f>
        <v>0</v>
      </c>
      <c r="D47" s="30" t="str">
        <f>_xlfn.XLOOKUP(Table326[[#This Row],[File Name]],'Analyse 2 Detail 02-03'!A:A,'Analyse 2 Detail 02-03'!R:R,"Not Found",0,1)</f>
        <v>Paul Hartmann B.V.</v>
      </c>
      <c r="E47" s="2" t="s">
        <v>148</v>
      </c>
      <c r="F47" s="64" t="s">
        <v>9</v>
      </c>
      <c r="G47" s="71">
        <v>0</v>
      </c>
      <c r="M47" s="9"/>
      <c r="T47" s="23"/>
      <c r="U47" s="11" t="e">
        <f>AVERAGE(Table326[[#This Row],[PO nr]:[Delivery Date]])</f>
        <v>#DIV/0!</v>
      </c>
      <c r="V47" s="21"/>
      <c r="W47" s="21"/>
      <c r="X47" s="21"/>
      <c r="Y47" s="21"/>
      <c r="Z47" s="21"/>
    </row>
    <row r="48" spans="3:26" ht="15" customHeight="1" x14ac:dyDescent="0.3">
      <c r="C48" t="str">
        <f>_xlfn.XLOOKUP(Table326[[#This Row],[Customer]],'Top 300'!C:C,'Top 300'!A:A,"0",2,1)</f>
        <v>0</v>
      </c>
      <c r="D48" s="30" t="str">
        <f>_xlfn.XLOOKUP(Table326[[#This Row],[File Name]],'Analyse 2 Detail 02-03'!A:A,'Analyse 2 Detail 02-03'!R:R,"Not Found",0,1)</f>
        <v>Paul Hartmann B.V.</v>
      </c>
      <c r="E48" s="2" t="s">
        <v>176</v>
      </c>
      <c r="F48" s="64" t="s">
        <v>9</v>
      </c>
      <c r="G48" s="71">
        <v>0</v>
      </c>
      <c r="M48" s="9"/>
      <c r="T48" s="23"/>
      <c r="U48" s="11" t="e">
        <f>AVERAGE(Table326[[#This Row],[PO nr]:[Delivery Date]])</f>
        <v>#DIV/0!</v>
      </c>
      <c r="V48" s="21"/>
      <c r="W48" s="21"/>
      <c r="X48" s="21"/>
      <c r="Y48" s="21"/>
      <c r="Z48" s="21"/>
    </row>
    <row r="49" spans="3:26" ht="15" customHeight="1" x14ac:dyDescent="0.3">
      <c r="C49" t="str">
        <f>_xlfn.XLOOKUP(Table326[[#This Row],[Customer]],'Top 300'!C:C,'Top 300'!A:A,"0",2,1)</f>
        <v>0</v>
      </c>
      <c r="D49" s="30">
        <f>_xlfn.XLOOKUP(Table326[[#This Row],[File Name]],'Analyse 2 Detail 02-03'!A:A,'Analyse 2 Detail 02-03'!R:R,"Not Found",0,1)</f>
        <v>0</v>
      </c>
      <c r="E49" s="2" t="s">
        <v>116</v>
      </c>
      <c r="F49" s="64" t="s">
        <v>11</v>
      </c>
      <c r="G49" s="71">
        <v>0</v>
      </c>
      <c r="H49" s="46" t="s">
        <v>211</v>
      </c>
      <c r="I49" s="46" t="s">
        <v>211</v>
      </c>
      <c r="J49" s="46" t="s">
        <v>211</v>
      </c>
      <c r="K49" s="46" t="s">
        <v>211</v>
      </c>
      <c r="L49" s="46" t="s">
        <v>211</v>
      </c>
      <c r="M49" s="46" t="s">
        <v>211</v>
      </c>
      <c r="N49" s="46" t="s">
        <v>211</v>
      </c>
      <c r="O49" s="46" t="s">
        <v>211</v>
      </c>
      <c r="P49" s="46" t="s">
        <v>211</v>
      </c>
      <c r="Q49" s="46" t="s">
        <v>211</v>
      </c>
      <c r="R49" s="46" t="s">
        <v>211</v>
      </c>
      <c r="S49" s="46" t="s">
        <v>211</v>
      </c>
      <c r="T49" s="46" t="s">
        <v>211</v>
      </c>
      <c r="U49" s="11" t="e">
        <f>AVERAGE(Table326[[#This Row],[PO nr]:[Delivery Date]])</f>
        <v>#DIV/0!</v>
      </c>
      <c r="V49" s="21" t="s">
        <v>1818</v>
      </c>
      <c r="W49" s="21" t="s">
        <v>1814</v>
      </c>
      <c r="X49" s="21"/>
      <c r="Y49" s="21"/>
      <c r="Z49" s="21"/>
    </row>
    <row r="50" spans="3:26" ht="15" customHeight="1" x14ac:dyDescent="0.3">
      <c r="C50" t="str">
        <f>_xlfn.XLOOKUP(Table326[[#This Row],[Customer]],'Top 300'!C:C,'Top 300'!A:A,"0",2,1)</f>
        <v>0</v>
      </c>
      <c r="D50" s="30">
        <f>_xlfn.XLOOKUP(Table326[[#This Row],[File Name]],'Analyse 2 Detail 02-03'!A:A,'Analyse 2 Detail 02-03'!R:R,"Not Found",0,1)</f>
        <v>0</v>
      </c>
      <c r="E50" s="2" t="s">
        <v>116</v>
      </c>
      <c r="F50" s="64" t="s">
        <v>11</v>
      </c>
      <c r="G50" s="71">
        <v>0</v>
      </c>
      <c r="H50" s="46" t="s">
        <v>211</v>
      </c>
      <c r="I50" s="46" t="s">
        <v>211</v>
      </c>
      <c r="J50" s="46" t="s">
        <v>211</v>
      </c>
      <c r="K50" s="46" t="s">
        <v>211</v>
      </c>
      <c r="L50" s="46" t="s">
        <v>211</v>
      </c>
      <c r="M50" s="46" t="s">
        <v>211</v>
      </c>
      <c r="N50" s="46" t="s">
        <v>211</v>
      </c>
      <c r="O50" s="46" t="s">
        <v>211</v>
      </c>
      <c r="P50" s="46" t="s">
        <v>211</v>
      </c>
      <c r="Q50" s="46" t="s">
        <v>211</v>
      </c>
      <c r="R50" s="46" t="s">
        <v>211</v>
      </c>
      <c r="S50" s="46" t="s">
        <v>211</v>
      </c>
      <c r="T50" s="46" t="s">
        <v>211</v>
      </c>
      <c r="U50" s="11" t="e">
        <f>AVERAGE(Table326[[#This Row],[PO nr]:[Delivery Date]])</f>
        <v>#DIV/0!</v>
      </c>
      <c r="V50" s="21" t="s">
        <v>1818</v>
      </c>
      <c r="W50" s="21" t="s">
        <v>1814</v>
      </c>
      <c r="X50" s="21"/>
      <c r="Y50" s="21"/>
      <c r="Z50" s="21"/>
    </row>
    <row r="51" spans="3:26" ht="15" customHeight="1" x14ac:dyDescent="0.3">
      <c r="C51" t="str">
        <f>_xlfn.XLOOKUP(Table326[[#This Row],[Customer]],'Top 300'!C:C,'Top 300'!A:A,"0",2,1)</f>
        <v>0</v>
      </c>
      <c r="D51" s="30">
        <f>_xlfn.XLOOKUP(Table326[[#This Row],[File Name]],'Analyse 2 Detail 02-03'!A:A,'Analyse 2 Detail 02-03'!R:R,"Not Found",0,1)</f>
        <v>0</v>
      </c>
      <c r="E51" s="2" t="s">
        <v>116</v>
      </c>
      <c r="F51" s="64" t="s">
        <v>11</v>
      </c>
      <c r="G51" s="71">
        <v>0</v>
      </c>
      <c r="H51" s="46" t="s">
        <v>211</v>
      </c>
      <c r="I51" s="46" t="s">
        <v>211</v>
      </c>
      <c r="J51" s="46" t="s">
        <v>211</v>
      </c>
      <c r="K51" s="46" t="s">
        <v>211</v>
      </c>
      <c r="L51" s="46" t="s">
        <v>211</v>
      </c>
      <c r="M51" s="46" t="s">
        <v>211</v>
      </c>
      <c r="N51" s="46" t="s">
        <v>211</v>
      </c>
      <c r="O51" s="46" t="s">
        <v>211</v>
      </c>
      <c r="P51" s="46" t="s">
        <v>211</v>
      </c>
      <c r="Q51" s="46" t="s">
        <v>211</v>
      </c>
      <c r="R51" s="46" t="s">
        <v>211</v>
      </c>
      <c r="S51" s="46" t="s">
        <v>211</v>
      </c>
      <c r="T51" s="46" t="s">
        <v>211</v>
      </c>
      <c r="U51" s="11" t="e">
        <f>AVERAGE(Table326[[#This Row],[PO nr]:[Delivery Date]])</f>
        <v>#DIV/0!</v>
      </c>
      <c r="V51" s="21" t="s">
        <v>1818</v>
      </c>
      <c r="W51" s="21" t="s">
        <v>1814</v>
      </c>
      <c r="X51" s="21"/>
      <c r="Y51" s="21"/>
      <c r="Z51" s="21"/>
    </row>
    <row r="52" spans="3:26" ht="15" customHeight="1" x14ac:dyDescent="0.3">
      <c r="C52" t="str">
        <f>_xlfn.XLOOKUP(Table326[[#This Row],[Customer]],'Top 300'!C:C,'Top 300'!A:A,"0",2,1)</f>
        <v>0</v>
      </c>
      <c r="D52" s="30">
        <f>_xlfn.XLOOKUP(Table326[[#This Row],[File Name]],'Analyse 2 Detail 02-03'!A:A,'Analyse 2 Detail 02-03'!R:R,"Not Found",0,1)</f>
        <v>0</v>
      </c>
      <c r="E52" s="2" t="s">
        <v>119</v>
      </c>
      <c r="F52" s="64" t="s">
        <v>11</v>
      </c>
      <c r="G52" s="71">
        <v>0</v>
      </c>
      <c r="H52" s="46" t="s">
        <v>211</v>
      </c>
      <c r="I52" s="46" t="s">
        <v>211</v>
      </c>
      <c r="J52" s="46" t="s">
        <v>211</v>
      </c>
      <c r="K52" s="46" t="s">
        <v>211</v>
      </c>
      <c r="L52" s="46" t="s">
        <v>211</v>
      </c>
      <c r="M52" s="46" t="s">
        <v>211</v>
      </c>
      <c r="N52" s="46" t="s">
        <v>211</v>
      </c>
      <c r="O52" s="46" t="s">
        <v>211</v>
      </c>
      <c r="P52" s="46" t="s">
        <v>211</v>
      </c>
      <c r="Q52" s="46" t="s">
        <v>211</v>
      </c>
      <c r="R52" s="46" t="s">
        <v>211</v>
      </c>
      <c r="S52" s="46" t="s">
        <v>211</v>
      </c>
      <c r="T52" s="46" t="s">
        <v>211</v>
      </c>
      <c r="U52" s="11" t="e">
        <f>AVERAGE(Table326[[#This Row],[PO nr]:[Delivery Date]])</f>
        <v>#DIV/0!</v>
      </c>
      <c r="V52" s="21" t="s">
        <v>1819</v>
      </c>
      <c r="W52" s="21" t="s">
        <v>1814</v>
      </c>
      <c r="X52" s="21"/>
      <c r="Y52" s="21"/>
      <c r="Z52" s="21"/>
    </row>
    <row r="53" spans="3:26" ht="15" customHeight="1" x14ac:dyDescent="0.3">
      <c r="C53" t="str">
        <f>_xlfn.XLOOKUP(Table326[[#This Row],[Customer]],'Top 300'!C:C,'Top 300'!A:A,"0",2,1)</f>
        <v>0</v>
      </c>
      <c r="D53" s="30">
        <f>_xlfn.XLOOKUP(Table326[[#This Row],[File Name]],'Analyse 2 Detail 02-03'!A:A,'Analyse 2 Detail 02-03'!R:R,"Not Found",0,1)</f>
        <v>0</v>
      </c>
      <c r="E53" s="2" t="s">
        <v>119</v>
      </c>
      <c r="F53" s="64" t="s">
        <v>11</v>
      </c>
      <c r="G53" s="71">
        <v>0</v>
      </c>
      <c r="H53" s="46" t="s">
        <v>211</v>
      </c>
      <c r="I53" s="46" t="s">
        <v>211</v>
      </c>
      <c r="J53" s="46" t="s">
        <v>211</v>
      </c>
      <c r="K53" s="46" t="s">
        <v>211</v>
      </c>
      <c r="L53" s="46" t="s">
        <v>211</v>
      </c>
      <c r="M53" s="46" t="s">
        <v>211</v>
      </c>
      <c r="N53" s="46" t="s">
        <v>211</v>
      </c>
      <c r="O53" s="46" t="s">
        <v>211</v>
      </c>
      <c r="P53" s="46" t="s">
        <v>211</v>
      </c>
      <c r="Q53" s="46" t="s">
        <v>211</v>
      </c>
      <c r="R53" s="46" t="s">
        <v>211</v>
      </c>
      <c r="S53" s="46" t="s">
        <v>211</v>
      </c>
      <c r="T53" s="46" t="s">
        <v>211</v>
      </c>
      <c r="U53" s="11" t="e">
        <f>AVERAGE(Table326[[#This Row],[PO nr]:[Delivery Date]])</f>
        <v>#DIV/0!</v>
      </c>
      <c r="V53" s="21" t="s">
        <v>1819</v>
      </c>
      <c r="W53" s="21" t="s">
        <v>1814</v>
      </c>
      <c r="X53" s="21"/>
      <c r="Y53" s="21"/>
      <c r="Z53" s="21"/>
    </row>
    <row r="54" spans="3:26" ht="15" customHeight="1" x14ac:dyDescent="0.3">
      <c r="C54" t="str">
        <f>_xlfn.XLOOKUP(Table326[[#This Row],[Customer]],'Top 300'!C:C,'Top 300'!A:A,"0",2,1)</f>
        <v>0</v>
      </c>
      <c r="D54" s="30">
        <f>_xlfn.XLOOKUP(Table326[[#This Row],[File Name]],'Analyse 2 Detail 02-03'!A:A,'Analyse 2 Detail 02-03'!R:R,"Not Found",0,1)</f>
        <v>0</v>
      </c>
      <c r="E54" s="2" t="s">
        <v>184</v>
      </c>
      <c r="F54" s="64" t="s">
        <v>9</v>
      </c>
      <c r="G54" s="71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9">
        <v>0</v>
      </c>
      <c r="N54" s="85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3">
        <v>0</v>
      </c>
      <c r="U54" s="11">
        <f>AVERAGE(Table326[[#This Row],[PO nr]:[Delivery Date]])</f>
        <v>0</v>
      </c>
      <c r="V54" s="21" t="s">
        <v>1815</v>
      </c>
      <c r="W54" s="21" t="s">
        <v>1814</v>
      </c>
      <c r="X54" s="21"/>
      <c r="Y54" s="21"/>
      <c r="Z54" s="21"/>
    </row>
    <row r="55" spans="3:26" ht="15" customHeight="1" x14ac:dyDescent="0.3">
      <c r="C55" t="str">
        <f>_xlfn.XLOOKUP(Table326[[#This Row],[Customer]],'Top 300'!C:C,'Top 300'!A:A,"0",2,1)</f>
        <v>0</v>
      </c>
      <c r="D55" s="30" t="str">
        <f>_xlfn.XLOOKUP(Table326[[#This Row],[File Name]],'Analyse 2 Detail 02-03'!A:A,'Analyse 2 Detail 02-03'!R:R,"Not Found",0,1)</f>
        <v>Lyreco Belgium SA/NV</v>
      </c>
      <c r="E55" s="2" t="s">
        <v>147</v>
      </c>
      <c r="F55" s="64" t="s">
        <v>9</v>
      </c>
      <c r="G55" s="71">
        <v>2</v>
      </c>
      <c r="H55" s="25">
        <v>1</v>
      </c>
      <c r="I55" s="25">
        <v>1</v>
      </c>
      <c r="J55" s="25">
        <v>1</v>
      </c>
      <c r="K55" s="25">
        <v>1</v>
      </c>
      <c r="L55" s="25">
        <v>1</v>
      </c>
      <c r="M55" s="9">
        <v>1</v>
      </c>
      <c r="N55" s="88">
        <v>1</v>
      </c>
      <c r="O55" s="25">
        <v>1</v>
      </c>
      <c r="P55" s="25">
        <v>1</v>
      </c>
      <c r="Q55" s="25">
        <v>1</v>
      </c>
      <c r="R55" s="25">
        <v>0.5</v>
      </c>
      <c r="S55" s="25">
        <v>1</v>
      </c>
      <c r="T55" s="10">
        <v>0.5</v>
      </c>
      <c r="U55" s="11">
        <f>AVERAGE(Table326[[#This Row],[PO nr]:[Delivery Date]])</f>
        <v>0.92307692307692313</v>
      </c>
      <c r="V55" s="21" t="s">
        <v>210</v>
      </c>
      <c r="W55" s="21"/>
      <c r="X55" s="21"/>
      <c r="Y55" s="21"/>
      <c r="Z55" s="21"/>
    </row>
    <row r="56" spans="3:26" ht="15" customHeight="1" x14ac:dyDescent="0.3">
      <c r="C56" t="str">
        <f>_xlfn.XLOOKUP(Table326[[#This Row],[Customer]],'Top 300'!C:C,'Top 300'!A:A,"0",2,1)</f>
        <v>0</v>
      </c>
      <c r="D56" s="30" t="str">
        <f>_xlfn.XLOOKUP(Table326[[#This Row],[File Name]],'Analyse 2 Detail 02-03'!A:A,'Analyse 2 Detail 02-03'!R:R,"Not Found",0,1)</f>
        <v>Lyreco Belgium SA/NV</v>
      </c>
      <c r="E56" s="2" t="s">
        <v>127</v>
      </c>
      <c r="F56" s="64" t="s">
        <v>9</v>
      </c>
      <c r="G56" s="71">
        <v>2</v>
      </c>
      <c r="H56" s="25">
        <v>1</v>
      </c>
      <c r="I56" s="25">
        <v>1</v>
      </c>
      <c r="J56" s="25">
        <v>1</v>
      </c>
      <c r="K56" s="25">
        <v>1</v>
      </c>
      <c r="L56" s="25">
        <v>1</v>
      </c>
      <c r="M56" s="9">
        <v>1</v>
      </c>
      <c r="N56" s="88">
        <v>1</v>
      </c>
      <c r="O56" s="25">
        <v>1</v>
      </c>
      <c r="P56" s="25">
        <v>1</v>
      </c>
      <c r="Q56" s="25">
        <v>1</v>
      </c>
      <c r="R56" s="25">
        <v>0.5</v>
      </c>
      <c r="S56" s="25">
        <v>1</v>
      </c>
      <c r="T56" s="10">
        <v>0.5</v>
      </c>
      <c r="U56" s="11">
        <f>AVERAGE(Table326[[#This Row],[PO nr]:[Delivery Date]])</f>
        <v>0.92307692307692313</v>
      </c>
      <c r="V56" s="21" t="s">
        <v>210</v>
      </c>
      <c r="W56" s="21"/>
      <c r="X56" s="21"/>
      <c r="Y56" s="21"/>
      <c r="Z56" s="21"/>
    </row>
    <row r="57" spans="3:26" ht="15" customHeight="1" x14ac:dyDescent="0.3">
      <c r="C57" t="str">
        <f>_xlfn.XLOOKUP(Table326[[#This Row],[Customer]],'Top 300'!C:C,'Top 300'!A:A,"0",2,1)</f>
        <v>0</v>
      </c>
      <c r="D57" s="30" t="str">
        <f>_xlfn.XLOOKUP(Table326[[#This Row],[File Name]],'Analyse 2 Detail 02-03'!A:A,'Analyse 2 Detail 02-03'!R:R,"Not Found",0,1)</f>
        <v>Lyreco Belgium SA/NV</v>
      </c>
      <c r="E57" s="2" t="s">
        <v>107</v>
      </c>
      <c r="F57" s="64" t="s">
        <v>9</v>
      </c>
      <c r="G57" s="71">
        <v>2</v>
      </c>
      <c r="H57" s="25">
        <v>1</v>
      </c>
      <c r="I57" s="25">
        <v>1</v>
      </c>
      <c r="J57" s="25">
        <v>1</v>
      </c>
      <c r="K57" s="25">
        <v>1</v>
      </c>
      <c r="L57" s="25">
        <v>1</v>
      </c>
      <c r="M57" s="9">
        <v>1</v>
      </c>
      <c r="N57" s="88">
        <v>1</v>
      </c>
      <c r="O57" s="25">
        <v>1</v>
      </c>
      <c r="P57" s="25">
        <v>1</v>
      </c>
      <c r="Q57" s="25">
        <v>1</v>
      </c>
      <c r="R57" s="25">
        <v>0.5</v>
      </c>
      <c r="S57" s="25">
        <v>1</v>
      </c>
      <c r="T57" s="10">
        <v>0.5</v>
      </c>
      <c r="U57" s="11">
        <f>AVERAGE(Table326[[#This Row],[PO nr]:[Delivery Date]])</f>
        <v>0.92307692307692313</v>
      </c>
      <c r="V57" s="21" t="s">
        <v>210</v>
      </c>
      <c r="W57" s="21"/>
      <c r="X57" s="21"/>
      <c r="Y57" s="21"/>
      <c r="Z57" s="21"/>
    </row>
    <row r="58" spans="3:26" ht="15" customHeight="1" x14ac:dyDescent="0.3">
      <c r="C58" t="str">
        <f>_xlfn.XLOOKUP(Table326[[#This Row],[Customer]],'Top 300'!C:C,'Top 300'!A:A,"0",2,1)</f>
        <v>0</v>
      </c>
      <c r="D58" s="30" t="str">
        <f>_xlfn.XLOOKUP(Table326[[#This Row],[File Name]],'Analyse 2 Detail 02-03'!A:A,'Analyse 2 Detail 02-03'!R:R,"Not Found",0,1)</f>
        <v>Mediq Nederland B.V.</v>
      </c>
      <c r="E58" s="2" t="s">
        <v>131</v>
      </c>
      <c r="F58" s="64" t="s">
        <v>9</v>
      </c>
      <c r="G58" s="71">
        <v>0</v>
      </c>
      <c r="M58" s="9"/>
      <c r="T58" s="23"/>
      <c r="U58" s="11" t="e">
        <f>AVERAGE(Table326[[#This Row],[PO nr]:[Delivery Date]])</f>
        <v>#DIV/0!</v>
      </c>
      <c r="V58" s="21"/>
      <c r="W58" s="21"/>
      <c r="X58" s="21"/>
      <c r="Y58" s="21"/>
      <c r="Z58" s="21"/>
    </row>
    <row r="59" spans="3:26" ht="15" customHeight="1" x14ac:dyDescent="0.3">
      <c r="C59" t="str">
        <f>_xlfn.XLOOKUP(Table326[[#This Row],[Customer]],'Top 300'!C:C,'Top 300'!A:A,"0",2,1)</f>
        <v>0</v>
      </c>
      <c r="D59" s="30" t="str">
        <f>_xlfn.XLOOKUP(Table326[[#This Row],[File Name]],'Analyse 2 Detail 02-03'!A:A,'Analyse 2 Detail 02-03'!R:R,"Not Found",0,1)</f>
        <v>Mediq Nederland B.V.</v>
      </c>
      <c r="E59" s="2" t="s">
        <v>158</v>
      </c>
      <c r="F59" s="64" t="s">
        <v>9</v>
      </c>
      <c r="G59" s="71">
        <v>0</v>
      </c>
      <c r="M59" s="9"/>
      <c r="T59" s="23"/>
      <c r="U59" s="11" t="e">
        <f>AVERAGE(Table326[[#This Row],[PO nr]:[Delivery Date]])</f>
        <v>#DIV/0!</v>
      </c>
      <c r="V59" s="21"/>
      <c r="W59" s="21"/>
      <c r="X59" s="21"/>
      <c r="Y59" s="21"/>
      <c r="Z59" s="21"/>
    </row>
    <row r="60" spans="3:26" ht="15" customHeight="1" x14ac:dyDescent="0.3">
      <c r="C60" t="str">
        <f>_xlfn.XLOOKUP(Table326[[#This Row],[Customer]],'Top 300'!C:C,'Top 300'!A:A,"0",2,1)</f>
        <v>0</v>
      </c>
      <c r="D60" s="30">
        <f>_xlfn.XLOOKUP(Table326[[#This Row],[File Name]],'Analyse 2 Detail 02-03'!A:A,'Analyse 2 Detail 02-03'!R:R,"Not Found",0,1)</f>
        <v>0</v>
      </c>
      <c r="E60" s="2" t="s">
        <v>162</v>
      </c>
      <c r="F60" s="64" t="s">
        <v>11</v>
      </c>
      <c r="G60" s="71">
        <v>0</v>
      </c>
      <c r="M60" s="9"/>
      <c r="T60" s="23"/>
      <c r="U60" s="11" t="e">
        <f>AVERAGE(Table326[[#This Row],[PO nr]:[Delivery Date]])</f>
        <v>#DIV/0!</v>
      </c>
      <c r="V60" s="21"/>
      <c r="W60" s="21"/>
      <c r="X60" s="21"/>
      <c r="Y60" s="21"/>
      <c r="Z60" s="21"/>
    </row>
    <row r="61" spans="3:26" ht="15" customHeight="1" x14ac:dyDescent="0.3">
      <c r="C61" t="str">
        <f>_xlfn.XLOOKUP(Table326[[#This Row],[Customer]],'Top 300'!C:C,'Top 300'!A:A,"0",2,1)</f>
        <v>0</v>
      </c>
      <c r="D61" s="30" t="str">
        <f>_xlfn.XLOOKUP(Table326[[#This Row],[File Name]],'Analyse 2 Detail 02-03'!A:A,'Analyse 2 Detail 02-03'!R:R,"Not Found",0,1)</f>
        <v>Medtronic Trading NL BV</v>
      </c>
      <c r="E61" s="2" t="s">
        <v>110</v>
      </c>
      <c r="F61" s="64" t="s">
        <v>9</v>
      </c>
      <c r="G61" s="71">
        <v>2</v>
      </c>
      <c r="H61" s="25" t="s">
        <v>211</v>
      </c>
      <c r="I61" s="25" t="s">
        <v>211</v>
      </c>
      <c r="J61" s="25" t="s">
        <v>211</v>
      </c>
      <c r="K61" s="25" t="s">
        <v>211</v>
      </c>
      <c r="L61" s="25" t="s">
        <v>211</v>
      </c>
      <c r="M61" s="25" t="s">
        <v>211</v>
      </c>
      <c r="N61" s="25" t="s">
        <v>211</v>
      </c>
      <c r="O61" s="25" t="s">
        <v>211</v>
      </c>
      <c r="P61" s="25" t="s">
        <v>211</v>
      </c>
      <c r="Q61" s="25" t="s">
        <v>211</v>
      </c>
      <c r="R61" s="25" t="s">
        <v>211</v>
      </c>
      <c r="S61" s="25" t="s">
        <v>211</v>
      </c>
      <c r="T61" s="25" t="s">
        <v>211</v>
      </c>
      <c r="U61" s="11" t="e">
        <f>AVERAGE(Table326[[#This Row],[PO nr]:[Delivery Date]])</f>
        <v>#DIV/0!</v>
      </c>
      <c r="V61" s="84" t="s">
        <v>212</v>
      </c>
      <c r="W61" s="21" t="s">
        <v>213</v>
      </c>
      <c r="X61" s="21"/>
      <c r="Y61" s="21"/>
      <c r="Z61" s="21"/>
    </row>
    <row r="62" spans="3:26" ht="15" customHeight="1" x14ac:dyDescent="0.3">
      <c r="C62" t="str">
        <f>_xlfn.XLOOKUP(Table326[[#This Row],[Customer]],'Top 300'!C:C,'Top 300'!A:A,"0",2,1)</f>
        <v>0</v>
      </c>
      <c r="D62" s="30" t="str">
        <f>_xlfn.XLOOKUP(Table326[[#This Row],[File Name]],'Analyse 2 Detail 02-03'!A:A,'Analyse 2 Detail 02-03'!R:R,"Not Found",0,1)</f>
        <v>Medtronic Trading NL BV</v>
      </c>
      <c r="E62" s="2" t="s">
        <v>110</v>
      </c>
      <c r="F62" s="64" t="s">
        <v>9</v>
      </c>
      <c r="G62" s="71">
        <v>2</v>
      </c>
      <c r="H62" s="25" t="s">
        <v>211</v>
      </c>
      <c r="I62" s="25" t="s">
        <v>211</v>
      </c>
      <c r="J62" s="25" t="s">
        <v>211</v>
      </c>
      <c r="K62" s="25" t="s">
        <v>211</v>
      </c>
      <c r="L62" s="25" t="s">
        <v>211</v>
      </c>
      <c r="M62" s="25" t="s">
        <v>211</v>
      </c>
      <c r="N62" s="25" t="s">
        <v>211</v>
      </c>
      <c r="O62" s="25" t="s">
        <v>211</v>
      </c>
      <c r="P62" s="25" t="s">
        <v>211</v>
      </c>
      <c r="Q62" s="25" t="s">
        <v>211</v>
      </c>
      <c r="R62" s="25" t="s">
        <v>211</v>
      </c>
      <c r="S62" s="25" t="s">
        <v>211</v>
      </c>
      <c r="T62" s="25" t="s">
        <v>211</v>
      </c>
      <c r="U62" s="11" t="e">
        <f>AVERAGE(Table326[[#This Row],[PO nr]:[Delivery Date]])</f>
        <v>#DIV/0!</v>
      </c>
      <c r="V62" s="84" t="s">
        <v>212</v>
      </c>
      <c r="W62" s="21" t="s">
        <v>213</v>
      </c>
      <c r="X62" s="21"/>
      <c r="Y62" s="21"/>
      <c r="Z62" s="21"/>
    </row>
    <row r="63" spans="3:26" ht="15" customHeight="1" x14ac:dyDescent="0.3">
      <c r="C63" t="str">
        <f>_xlfn.XLOOKUP(Table326[[#This Row],[Customer]],'Top 300'!C:C,'Top 300'!A:A,"0",2,1)</f>
        <v>0</v>
      </c>
      <c r="D63" s="30" t="str">
        <f>_xlfn.XLOOKUP(Table326[[#This Row],[File Name]],'Analyse 2 Detail 02-03'!A:A,'Analyse 2 Detail 02-03'!R:R,"Not Found",0,1)</f>
        <v>Medtronic Trading NL BV</v>
      </c>
      <c r="E63" s="2" t="s">
        <v>108</v>
      </c>
      <c r="F63" s="64" t="s">
        <v>9</v>
      </c>
      <c r="G63" s="71">
        <v>7</v>
      </c>
      <c r="H63" s="25" t="s">
        <v>211</v>
      </c>
      <c r="I63" s="25" t="s">
        <v>211</v>
      </c>
      <c r="J63" s="25" t="s">
        <v>211</v>
      </c>
      <c r="K63" s="25" t="s">
        <v>211</v>
      </c>
      <c r="L63" s="25" t="s">
        <v>211</v>
      </c>
      <c r="M63" s="25" t="s">
        <v>211</v>
      </c>
      <c r="N63" s="25" t="s">
        <v>211</v>
      </c>
      <c r="O63" s="25" t="s">
        <v>211</v>
      </c>
      <c r="P63" s="25" t="s">
        <v>211</v>
      </c>
      <c r="Q63" s="25" t="s">
        <v>211</v>
      </c>
      <c r="R63" s="25" t="s">
        <v>211</v>
      </c>
      <c r="S63" s="25" t="s">
        <v>211</v>
      </c>
      <c r="T63" s="25" t="s">
        <v>211</v>
      </c>
      <c r="U63" s="11" t="e">
        <f>AVERAGE(Table326[[#This Row],[PO nr]:[Delivery Date]])</f>
        <v>#DIV/0!</v>
      </c>
      <c r="V63" s="84" t="s">
        <v>212</v>
      </c>
      <c r="W63" s="21" t="s">
        <v>213</v>
      </c>
      <c r="X63" s="21"/>
      <c r="Y63" s="21"/>
      <c r="Z63" s="21"/>
    </row>
    <row r="64" spans="3:26" ht="15" customHeight="1" x14ac:dyDescent="0.3">
      <c r="C64" t="str">
        <f>_xlfn.XLOOKUP(Table326[[#This Row],[Customer]],'Top 300'!C:C,'Top 300'!A:A,"0",2,1)</f>
        <v>0</v>
      </c>
      <c r="D64" s="30" t="str">
        <f>_xlfn.XLOOKUP(Table326[[#This Row],[File Name]],'Analyse 2 Detail 02-03'!A:A,'Analyse 2 Detail 02-03'!R:R,"Not Found",0,1)</f>
        <v>Medtronic Trading NL BV</v>
      </c>
      <c r="E64" s="2" t="s">
        <v>130</v>
      </c>
      <c r="F64" s="64" t="s">
        <v>9</v>
      </c>
      <c r="G64" s="71">
        <v>1</v>
      </c>
      <c r="H64" s="25" t="s">
        <v>211</v>
      </c>
      <c r="I64" s="25" t="s">
        <v>211</v>
      </c>
      <c r="J64" s="25" t="s">
        <v>211</v>
      </c>
      <c r="K64" s="25" t="s">
        <v>211</v>
      </c>
      <c r="L64" s="25" t="s">
        <v>211</v>
      </c>
      <c r="M64" s="25" t="s">
        <v>211</v>
      </c>
      <c r="N64" s="25" t="s">
        <v>211</v>
      </c>
      <c r="O64" s="25" t="s">
        <v>211</v>
      </c>
      <c r="P64" s="25" t="s">
        <v>211</v>
      </c>
      <c r="Q64" s="25" t="s">
        <v>211</v>
      </c>
      <c r="R64" s="25" t="s">
        <v>211</v>
      </c>
      <c r="S64" s="25" t="s">
        <v>211</v>
      </c>
      <c r="T64" s="25" t="s">
        <v>211</v>
      </c>
      <c r="U64" s="11" t="e">
        <f>AVERAGE(Table326[[#This Row],[PO nr]:[Delivery Date]])</f>
        <v>#DIV/0!</v>
      </c>
      <c r="V64" s="84" t="s">
        <v>212</v>
      </c>
      <c r="W64" s="21" t="s">
        <v>213</v>
      </c>
      <c r="X64" s="21"/>
      <c r="Y64" s="21"/>
      <c r="Z64" s="21"/>
    </row>
    <row r="65" spans="3:26" ht="15" customHeight="1" x14ac:dyDescent="0.3">
      <c r="C65" t="str">
        <f>_xlfn.XLOOKUP(Table326[[#This Row],[Customer]],'Top 300'!C:C,'Top 300'!A:A,"0",2,1)</f>
        <v>0</v>
      </c>
      <c r="D65" s="30" t="str">
        <f>_xlfn.XLOOKUP(Table326[[#This Row],[File Name]],'Analyse 2 Detail 02-03'!A:A,'Analyse 2 Detail 02-03'!R:R,"Not Found",0,1)</f>
        <v>Fresenius Kabi nv/sa</v>
      </c>
      <c r="E65" s="2" t="s">
        <v>156</v>
      </c>
      <c r="F65" s="64" t="s">
        <v>9</v>
      </c>
      <c r="G65" s="71">
        <v>0</v>
      </c>
      <c r="M65" s="9"/>
      <c r="T65" s="23"/>
      <c r="U65" s="11" t="e">
        <f>AVERAGE(Table326[[#This Row],[PO nr]:[Delivery Date]])</f>
        <v>#DIV/0!</v>
      </c>
      <c r="V65" s="21"/>
      <c r="W65" s="21"/>
      <c r="X65" s="21"/>
      <c r="Y65" s="21"/>
      <c r="Z65" s="21"/>
    </row>
    <row r="66" spans="3:26" ht="15" customHeight="1" x14ac:dyDescent="0.3">
      <c r="C66" t="str">
        <f>_xlfn.XLOOKUP(Table326[[#This Row],[Customer]],'Top 300'!C:C,'Top 300'!A:A,"0",2,1)</f>
        <v>0</v>
      </c>
      <c r="D66" s="30" t="str">
        <f>_xlfn.XLOOKUP(Table326[[#This Row],[File Name]],'Analyse 2 Detail 02-03'!A:A,'Analyse 2 Detail 02-03'!R:R,"Not Found",0,1)</f>
        <v>Fresenius Kabi Nederland B.V.</v>
      </c>
      <c r="E66" s="2" t="s">
        <v>153</v>
      </c>
      <c r="F66" s="64" t="s">
        <v>9</v>
      </c>
      <c r="G66" s="71">
        <v>0</v>
      </c>
      <c r="M66" s="9"/>
      <c r="T66" s="23"/>
      <c r="U66" s="11" t="e">
        <f>AVERAGE(Table326[[#This Row],[PO nr]:[Delivery Date]])</f>
        <v>#DIV/0!</v>
      </c>
      <c r="V66" s="21"/>
      <c r="W66" s="21"/>
      <c r="X66" s="21"/>
      <c r="Y66" s="21"/>
      <c r="Z66" s="21"/>
    </row>
    <row r="67" spans="3:26" ht="15" customHeight="1" x14ac:dyDescent="0.3">
      <c r="C67" t="str">
        <f>_xlfn.XLOOKUP(Table326[[#This Row],[Customer]],'Top 300'!C:C,'Top 300'!A:A,"0",2,1)</f>
        <v>0</v>
      </c>
      <c r="D67" s="30" t="str">
        <f>_xlfn.XLOOKUP(Table326[[#This Row],[File Name]],'Analyse 2 Detail 02-03'!A:A,'Analyse 2 Detail 02-03'!R:R,"Not Found",0,1)</f>
        <v>Fresenius Kabi Nederland B.V.</v>
      </c>
      <c r="E67" s="2" t="s">
        <v>153</v>
      </c>
      <c r="F67" s="64" t="s">
        <v>9</v>
      </c>
      <c r="G67" s="71">
        <v>0</v>
      </c>
      <c r="M67" s="9"/>
      <c r="T67" s="23"/>
      <c r="U67" s="11" t="e">
        <f>AVERAGE(Table326[[#This Row],[PO nr]:[Delivery Date]])</f>
        <v>#DIV/0!</v>
      </c>
      <c r="V67" s="21"/>
      <c r="W67" s="21"/>
      <c r="X67" s="21"/>
      <c r="Y67" s="21"/>
      <c r="Z67" s="21"/>
    </row>
    <row r="68" spans="3:26" ht="15" customHeight="1" x14ac:dyDescent="0.3">
      <c r="C68" t="str">
        <f>_xlfn.XLOOKUP(Table326[[#This Row],[Customer]],'Top 300'!C:C,'Top 300'!A:A,"0",2,1)</f>
        <v>0</v>
      </c>
      <c r="D68" s="30" t="str">
        <f>_xlfn.XLOOKUP(Table326[[#This Row],[File Name]],'Analyse 2 Detail 02-03'!A:A,'Analyse 2 Detail 02-03'!R:R,"Not Found",0,1)</f>
        <v>Duomed Belgium NV/SA</v>
      </c>
      <c r="E68" s="2" t="s">
        <v>188</v>
      </c>
      <c r="F68" s="64" t="s">
        <v>9</v>
      </c>
      <c r="G68" s="71">
        <v>0</v>
      </c>
      <c r="M68" s="9"/>
      <c r="T68" s="23"/>
      <c r="U68" s="11" t="e">
        <f>AVERAGE(Table326[[#This Row],[PO nr]:[Delivery Date]])</f>
        <v>#DIV/0!</v>
      </c>
      <c r="V68" s="21"/>
      <c r="W68" s="21"/>
      <c r="X68" s="21"/>
      <c r="Y68" s="21"/>
      <c r="Z68" s="21"/>
    </row>
    <row r="69" spans="3:26" ht="15" customHeight="1" x14ac:dyDescent="0.3">
      <c r="C69" t="str">
        <f>_xlfn.XLOOKUP(Table326[[#This Row],[Customer]],'Top 300'!C:C,'Top 300'!A:A,"0",2,1)</f>
        <v>0</v>
      </c>
      <c r="D69" s="30" t="str">
        <f>_xlfn.XLOOKUP(Table326[[#This Row],[File Name]],'Analyse 2 Detail 02-03'!A:A,'Analyse 2 Detail 02-03'!R:R,"Not Found",0,1)</f>
        <v>Duomed Belgium NV/SA</v>
      </c>
      <c r="E69" s="2" t="s">
        <v>135</v>
      </c>
      <c r="F69" s="64" t="s">
        <v>9</v>
      </c>
      <c r="G69" s="71">
        <v>0</v>
      </c>
      <c r="M69" s="9"/>
      <c r="T69" s="23"/>
      <c r="U69" s="11" t="e">
        <f>AVERAGE(Table326[[#This Row],[PO nr]:[Delivery Date]])</f>
        <v>#DIV/0!</v>
      </c>
      <c r="V69" s="21"/>
      <c r="W69" s="21"/>
      <c r="X69" s="21"/>
      <c r="Y69" s="21"/>
      <c r="Z69" s="21"/>
    </row>
    <row r="70" spans="3:26" ht="15" customHeight="1" x14ac:dyDescent="0.3">
      <c r="C70" t="str">
        <f>_xlfn.XLOOKUP(Table326[[#This Row],[Customer]],'Top 300'!C:C,'Top 300'!A:A,"0",2,1)</f>
        <v>0</v>
      </c>
      <c r="D70" s="30" t="str">
        <f>_xlfn.XLOOKUP(Table326[[#This Row],[File Name]],'Analyse 2 Detail 02-03'!A:A,'Analyse 2 Detail 02-03'!R:R,"Not Found",0,1)</f>
        <v>Duomed Belgium NV/SA</v>
      </c>
      <c r="E70" s="2" t="s">
        <v>104</v>
      </c>
      <c r="F70" s="64" t="s">
        <v>9</v>
      </c>
      <c r="G70" s="71">
        <v>0</v>
      </c>
      <c r="M70" s="9"/>
      <c r="T70" s="23"/>
      <c r="U70" s="11" t="e">
        <f>AVERAGE(Table326[[#This Row],[PO nr]:[Delivery Date]])</f>
        <v>#DIV/0!</v>
      </c>
      <c r="V70" s="21"/>
      <c r="W70" s="21"/>
      <c r="X70" s="21"/>
      <c r="Y70" s="21"/>
      <c r="Z70" s="21"/>
    </row>
    <row r="71" spans="3:26" ht="15" customHeight="1" x14ac:dyDescent="0.3">
      <c r="C71" t="str">
        <f>_xlfn.XLOOKUP(Table326[[#This Row],[Customer]],'Top 300'!C:C,'Top 300'!A:A,"0",2,1)</f>
        <v>0</v>
      </c>
      <c r="D71" s="30" t="str">
        <f>_xlfn.XLOOKUP(Table326[[#This Row],[File Name]],'Analyse 2 Detail 02-03'!A:A,'Analyse 2 Detail 02-03'!R:R,"Not Found",0,1)</f>
        <v>Duomed Belgium NV/SA</v>
      </c>
      <c r="E71" s="2" t="s">
        <v>183</v>
      </c>
      <c r="F71" s="64" t="s">
        <v>9</v>
      </c>
      <c r="G71" s="71">
        <v>0</v>
      </c>
      <c r="M71" s="9"/>
      <c r="T71" s="23"/>
      <c r="U71" s="11" t="e">
        <f>AVERAGE(Table326[[#This Row],[PO nr]:[Delivery Date]])</f>
        <v>#DIV/0!</v>
      </c>
      <c r="V71" s="21"/>
      <c r="W71" s="21"/>
      <c r="X71" s="21"/>
      <c r="Y71" s="21"/>
      <c r="Z71" s="21"/>
    </row>
    <row r="72" spans="3:26" ht="15" customHeight="1" x14ac:dyDescent="0.3">
      <c r="C72" t="str">
        <f>_xlfn.XLOOKUP(Table326[[#This Row],[Customer]],'Top 300'!C:C,'Top 300'!A:A,"0",2,1)</f>
        <v>0</v>
      </c>
      <c r="D72" s="30" t="str">
        <f>_xlfn.XLOOKUP(Table326[[#This Row],[File Name]],'Analyse 2 Detail 02-03'!A:A,'Analyse 2 Detail 02-03'!R:R,"Not Found",0,1)</f>
        <v>Duomed Belgium NV/SA</v>
      </c>
      <c r="E72" s="2" t="s">
        <v>122</v>
      </c>
      <c r="F72" s="64" t="s">
        <v>9</v>
      </c>
      <c r="G72" s="71">
        <v>0</v>
      </c>
      <c r="M72" s="9"/>
      <c r="T72" s="23"/>
      <c r="U72" s="11" t="e">
        <f>AVERAGE(Table326[[#This Row],[PO nr]:[Delivery Date]])</f>
        <v>#DIV/0!</v>
      </c>
      <c r="V72" s="21"/>
      <c r="W72" s="21"/>
      <c r="X72" s="21"/>
      <c r="Y72" s="21"/>
      <c r="Z72" s="21"/>
    </row>
    <row r="73" spans="3:26" ht="15" customHeight="1" x14ac:dyDescent="0.3">
      <c r="C73" t="str">
        <f>_xlfn.XLOOKUP(Table326[[#This Row],[Customer]],'Top 300'!C:C,'Top 300'!A:A,"0",2,1)</f>
        <v>0</v>
      </c>
      <c r="D73" s="30" t="str">
        <f>_xlfn.XLOOKUP(Table326[[#This Row],[File Name]],'Analyse 2 Detail 02-03'!A:A,'Analyse 2 Detail 02-03'!R:R,"Not Found",0,1)</f>
        <v>Duomed Belgium NV/SA</v>
      </c>
      <c r="E73" s="2" t="s">
        <v>187</v>
      </c>
      <c r="F73" s="64" t="s">
        <v>9</v>
      </c>
      <c r="G73" s="71">
        <v>0</v>
      </c>
      <c r="M73" s="9"/>
      <c r="T73" s="23"/>
      <c r="U73" s="11" t="e">
        <f>AVERAGE(Table326[[#This Row],[PO nr]:[Delivery Date]])</f>
        <v>#DIV/0!</v>
      </c>
      <c r="V73" s="21"/>
      <c r="W73" s="21"/>
      <c r="X73" s="21"/>
      <c r="Y73" s="21"/>
      <c r="Z73" s="21"/>
    </row>
    <row r="74" spans="3:26" ht="15" customHeight="1" x14ac:dyDescent="0.3">
      <c r="C74" t="str">
        <f>_xlfn.XLOOKUP(Table326[[#This Row],[Customer]],'Top 300'!C:C,'Top 300'!A:A,"0",2,1)</f>
        <v>0</v>
      </c>
      <c r="D74" s="30">
        <f>_xlfn.XLOOKUP(Table326[[#This Row],[File Name]],'Analyse 2 Detail 02-03'!A:A,'Analyse 2 Detail 02-03'!R:R,"Not Found",0,1)</f>
        <v>0</v>
      </c>
      <c r="E74" s="2" t="s">
        <v>160</v>
      </c>
      <c r="F74" s="64" t="s">
        <v>9</v>
      </c>
      <c r="G74" s="71">
        <v>0</v>
      </c>
      <c r="M74" s="9"/>
      <c r="T74" s="23"/>
      <c r="U74" s="11" t="e">
        <f>AVERAGE(Table326[[#This Row],[PO nr]:[Delivery Date]])</f>
        <v>#DIV/0!</v>
      </c>
      <c r="V74" s="21"/>
      <c r="W74" s="21"/>
      <c r="X74" s="21"/>
      <c r="Y74" s="21"/>
      <c r="Z74" s="21"/>
    </row>
    <row r="75" spans="3:26" ht="15" customHeight="1" x14ac:dyDescent="0.3">
      <c r="C75" t="str">
        <f>_xlfn.XLOOKUP(Table326[[#This Row],[Customer]],'Top 300'!C:C,'Top 300'!A:A,"0",2,1)</f>
        <v>0</v>
      </c>
      <c r="D75" s="30" t="str">
        <f>_xlfn.XLOOKUP(Table326[[#This Row],[File Name]],'Analyse 2 Detail 02-03'!A:A,'Analyse 2 Detail 02-03'!R:R,"Not Found",0,1)</f>
        <v>Medica Europe B.V.</v>
      </c>
      <c r="E75" s="2" t="s">
        <v>109</v>
      </c>
      <c r="F75" s="64" t="s">
        <v>9</v>
      </c>
      <c r="G75" s="71">
        <v>0</v>
      </c>
      <c r="M75" s="9"/>
      <c r="T75" s="23"/>
      <c r="U75" s="11" t="e">
        <f>AVERAGE(Table326[[#This Row],[PO nr]:[Delivery Date]])</f>
        <v>#DIV/0!</v>
      </c>
      <c r="V75" s="21"/>
      <c r="W75" s="21"/>
      <c r="X75" s="21"/>
      <c r="Y75" s="21"/>
      <c r="Z75" s="21"/>
    </row>
    <row r="76" spans="3:26" ht="15" customHeight="1" x14ac:dyDescent="0.3">
      <c r="C76" t="str">
        <f>_xlfn.XLOOKUP(Table326[[#This Row],[Customer]],'Top 300'!C:C,'Top 300'!A:A,"0",2,1)</f>
        <v>0</v>
      </c>
      <c r="D76" s="30" t="str">
        <f>_xlfn.XLOOKUP(Table326[[#This Row],[File Name]],'Analyse 2 Detail 02-03'!A:A,'Analyse 2 Detail 02-03'!R:R,"Not Found",0,1)</f>
        <v>Medica Europe B.V.</v>
      </c>
      <c r="E76" s="2" t="s">
        <v>109</v>
      </c>
      <c r="F76" s="64" t="s">
        <v>9</v>
      </c>
      <c r="G76" s="71">
        <v>0</v>
      </c>
      <c r="M76" s="9"/>
      <c r="T76" s="23"/>
      <c r="U76" s="11" t="e">
        <f>AVERAGE(Table326[[#This Row],[PO nr]:[Delivery Date]])</f>
        <v>#DIV/0!</v>
      </c>
      <c r="V76" s="21"/>
      <c r="W76" s="21"/>
      <c r="X76" s="21"/>
      <c r="Y76" s="21"/>
      <c r="Z76" s="21"/>
    </row>
    <row r="77" spans="3:26" ht="15" customHeight="1" x14ac:dyDescent="0.3">
      <c r="C77" t="str">
        <f>_xlfn.XLOOKUP(Table326[[#This Row],[Customer]],'Top 300'!C:C,'Top 300'!A:A,"0",2,1)</f>
        <v>0</v>
      </c>
      <c r="D77" s="30" t="str">
        <f>_xlfn.XLOOKUP(Table326[[#This Row],[File Name]],'Analyse 2 Detail 02-03'!A:A,'Analyse 2 Detail 02-03'!R:R,"Not Found",0,1)</f>
        <v>Fresenius Medical Care Nederland BV</v>
      </c>
      <c r="E77" s="2" t="s">
        <v>179</v>
      </c>
      <c r="F77" s="64" t="s">
        <v>9</v>
      </c>
      <c r="G77" s="71">
        <v>5</v>
      </c>
      <c r="H77" s="25">
        <v>1</v>
      </c>
      <c r="I77" s="25">
        <v>1</v>
      </c>
      <c r="J77" s="25">
        <v>1</v>
      </c>
      <c r="K77" s="25">
        <v>1</v>
      </c>
      <c r="L77" s="25">
        <v>1</v>
      </c>
      <c r="M77" s="25">
        <v>1</v>
      </c>
      <c r="N77" s="25">
        <v>1</v>
      </c>
      <c r="O77" s="25">
        <v>1</v>
      </c>
      <c r="P77" s="25">
        <v>1</v>
      </c>
      <c r="Q77" s="25">
        <v>1</v>
      </c>
      <c r="R77" s="25">
        <v>1</v>
      </c>
      <c r="S77" s="25">
        <v>0.5</v>
      </c>
      <c r="T77" s="10">
        <v>0.5</v>
      </c>
      <c r="U77" s="11">
        <f>AVERAGE(Table326[[#This Row],[PO nr]:[Delivery Date]])</f>
        <v>0.92307692307692313</v>
      </c>
      <c r="V77" s="21" t="s">
        <v>214</v>
      </c>
      <c r="W77" s="21" t="s">
        <v>215</v>
      </c>
      <c r="X77" s="21"/>
      <c r="Y77" s="21"/>
      <c r="Z77" s="21"/>
    </row>
    <row r="78" spans="3:26" ht="15" customHeight="1" x14ac:dyDescent="0.3">
      <c r="C78" t="str">
        <f>_xlfn.XLOOKUP(Table326[[#This Row],[Customer]],'Top 300'!C:C,'Top 300'!A:A,"0",2,1)</f>
        <v>0</v>
      </c>
      <c r="D78" s="30">
        <f>_xlfn.XLOOKUP(Table326[[#This Row],[File Name]],'Analyse 2 Detail 02-03'!A:A,'Analyse 2 Detail 02-03'!R:R,"Not Found",0,1)</f>
        <v>0</v>
      </c>
      <c r="E78" s="2" t="s">
        <v>150</v>
      </c>
      <c r="F78" s="64" t="s">
        <v>9</v>
      </c>
      <c r="G78" s="71">
        <v>0</v>
      </c>
      <c r="M78" s="9"/>
      <c r="T78" s="23"/>
      <c r="U78" s="11" t="e">
        <f>AVERAGE(Table326[[#This Row],[PO nr]:[Delivery Date]])</f>
        <v>#DIV/0!</v>
      </c>
      <c r="V78" s="21"/>
      <c r="W78" s="21"/>
      <c r="X78" s="21"/>
      <c r="Y78" s="21"/>
      <c r="Z78" s="21"/>
    </row>
    <row r="79" spans="3:26" ht="15" customHeight="1" x14ac:dyDescent="0.3">
      <c r="C79" t="str">
        <f>_xlfn.XLOOKUP(Table326[[#This Row],[Customer]],'Top 300'!C:C,'Top 300'!A:A,"0",2,1)</f>
        <v>0</v>
      </c>
      <c r="D79" s="30" t="str">
        <f>_xlfn.XLOOKUP(Table326[[#This Row],[File Name]],'Analyse 2 Detail 02-03'!A:A,'Analyse 2 Detail 02-03'!R:R,"Not Found",0,1)</f>
        <v>Fresenius Medical Care Nederland BV</v>
      </c>
      <c r="E79" s="2" t="s">
        <v>155</v>
      </c>
      <c r="F79" s="64" t="s">
        <v>9</v>
      </c>
      <c r="G79" s="71">
        <v>3</v>
      </c>
      <c r="H79" s="25">
        <v>1</v>
      </c>
      <c r="I79" s="25">
        <v>1</v>
      </c>
      <c r="J79" s="25">
        <v>1</v>
      </c>
      <c r="K79" s="25">
        <v>1</v>
      </c>
      <c r="L79" s="25">
        <v>1</v>
      </c>
      <c r="M79" s="25">
        <v>1</v>
      </c>
      <c r="N79" s="25">
        <v>1</v>
      </c>
      <c r="O79" s="25">
        <v>1</v>
      </c>
      <c r="P79" s="25">
        <v>1</v>
      </c>
      <c r="Q79" s="25">
        <v>1</v>
      </c>
      <c r="R79" s="25">
        <v>1</v>
      </c>
      <c r="S79" s="25">
        <v>1</v>
      </c>
      <c r="T79" s="10">
        <v>0.5</v>
      </c>
      <c r="U79" s="11">
        <f>AVERAGE(Table326[[#This Row],[PO nr]:[Delivery Date]])</f>
        <v>0.96153846153846156</v>
      </c>
      <c r="V79" s="21" t="s">
        <v>216</v>
      </c>
      <c r="W79" s="21"/>
      <c r="X79" s="21"/>
      <c r="Y79" s="21"/>
      <c r="Z79" s="21"/>
    </row>
    <row r="80" spans="3:26" ht="15" customHeight="1" x14ac:dyDescent="0.3">
      <c r="C80" t="str">
        <f>_xlfn.XLOOKUP(Table326[[#This Row],[Customer]],'Top 300'!C:C,'Top 300'!A:A,"0",2,1)</f>
        <v>0</v>
      </c>
      <c r="D80" s="30" t="str">
        <f>_xlfn.XLOOKUP(Table326[[#This Row],[File Name]],'Analyse 2 Detail 02-03'!A:A,'Analyse 2 Detail 02-03'!R:R,"Not Found",0,1)</f>
        <v>Fresenius Medical Care Nederland BV</v>
      </c>
      <c r="E80" s="2" t="s">
        <v>138</v>
      </c>
      <c r="F80" s="64" t="s">
        <v>9</v>
      </c>
      <c r="G80" s="71">
        <v>1</v>
      </c>
      <c r="H80" s="25">
        <v>1</v>
      </c>
      <c r="I80" s="25">
        <v>1</v>
      </c>
      <c r="J80" s="25">
        <v>1</v>
      </c>
      <c r="K80" s="25">
        <v>1</v>
      </c>
      <c r="L80" s="25">
        <v>1</v>
      </c>
      <c r="M80" s="25">
        <v>1</v>
      </c>
      <c r="N80" s="25">
        <v>1</v>
      </c>
      <c r="O80" s="25">
        <v>1</v>
      </c>
      <c r="P80" s="25">
        <v>1</v>
      </c>
      <c r="Q80" s="25">
        <v>1</v>
      </c>
      <c r="R80" s="25">
        <v>1</v>
      </c>
      <c r="S80" s="25">
        <v>0.5</v>
      </c>
      <c r="T80" s="10">
        <v>0.5</v>
      </c>
      <c r="U80" s="11">
        <f>AVERAGE(Table326[[#This Row],[PO nr]:[Delivery Date]])</f>
        <v>0.92307692307692313</v>
      </c>
      <c r="V80" s="21" t="s">
        <v>217</v>
      </c>
      <c r="W80" s="21" t="s">
        <v>215</v>
      </c>
      <c r="X80" s="21"/>
      <c r="Y80" s="21"/>
      <c r="Z80" s="21"/>
    </row>
    <row r="81" spans="3:26" ht="15" customHeight="1" x14ac:dyDescent="0.3">
      <c r="C81" t="str">
        <f>_xlfn.XLOOKUP(Table326[[#This Row],[Customer]],'Top 300'!C:C,'Top 300'!A:A,"0",2,1)</f>
        <v>0</v>
      </c>
      <c r="D81" s="30">
        <f>_xlfn.XLOOKUP(Table326[[#This Row],[File Name]],'Analyse 2 Detail 02-03'!A:A,'Analyse 2 Detail 02-03'!R:R,"Not Found",0,1)</f>
        <v>0</v>
      </c>
      <c r="E81" s="2" t="s">
        <v>114</v>
      </c>
      <c r="F81" s="64" t="s">
        <v>11</v>
      </c>
      <c r="G81" s="71">
        <v>0</v>
      </c>
      <c r="M81" s="9"/>
      <c r="T81" s="23"/>
      <c r="U81" s="11" t="e">
        <f>AVERAGE(Table326[[#This Row],[PO nr]:[Delivery Date]])</f>
        <v>#DIV/0!</v>
      </c>
      <c r="V81" s="21"/>
      <c r="W81" s="21"/>
      <c r="X81" s="21"/>
      <c r="Y81" s="21"/>
      <c r="Z81" s="21"/>
    </row>
    <row r="82" spans="3:26" ht="15" customHeight="1" x14ac:dyDescent="0.3">
      <c r="C82" t="str">
        <f>_xlfn.XLOOKUP(Table326[[#This Row],[Customer]],'Top 300'!C:C,'Top 300'!A:A,"0",2,1)</f>
        <v>0</v>
      </c>
      <c r="D82" s="30">
        <f>_xlfn.XLOOKUP(Table326[[#This Row],[File Name]],'Analyse 2 Detail 02-03'!A:A,'Analyse 2 Detail 02-03'!R:R,"Not Found",0,1)</f>
        <v>0</v>
      </c>
      <c r="E82" s="2" t="s">
        <v>186</v>
      </c>
      <c r="F82" s="64" t="s">
        <v>11</v>
      </c>
      <c r="G82" s="71">
        <v>0</v>
      </c>
      <c r="M82" s="9"/>
      <c r="T82" s="23"/>
      <c r="U82" s="11" t="e">
        <f>AVERAGE(Table326[[#This Row],[PO nr]:[Delivery Date]])</f>
        <v>#DIV/0!</v>
      </c>
      <c r="V82" s="21"/>
      <c r="W82" s="21"/>
      <c r="X82" s="21"/>
      <c r="Y82" s="21"/>
      <c r="Z82" s="21"/>
    </row>
    <row r="83" spans="3:26" ht="15" customHeight="1" x14ac:dyDescent="0.3">
      <c r="C83" t="str">
        <f>_xlfn.XLOOKUP(Table326[[#This Row],[Customer]],'Top 300'!C:C,'Top 300'!A:A,"0",2,1)</f>
        <v>0</v>
      </c>
      <c r="D83" s="30">
        <f>_xlfn.XLOOKUP(Table326[[#This Row],[File Name]],'Analyse 2 Detail 02-03'!A:A,'Analyse 2 Detail 02-03'!R:R,"Not Found",0,1)</f>
        <v>0</v>
      </c>
      <c r="E83" s="2" t="s">
        <v>146</v>
      </c>
      <c r="F83" s="64" t="s">
        <v>11</v>
      </c>
      <c r="G83" s="71">
        <v>0</v>
      </c>
      <c r="M83" s="9"/>
      <c r="T83" s="23"/>
      <c r="U83" s="11" t="e">
        <f>AVERAGE(Table326[[#This Row],[PO nr]:[Delivery Date]])</f>
        <v>#DIV/0!</v>
      </c>
      <c r="V83" s="21"/>
      <c r="W83" s="21"/>
      <c r="X83" s="21"/>
      <c r="Y83" s="21"/>
      <c r="Z83" s="21"/>
    </row>
    <row r="84" spans="3:26" ht="15" customHeight="1" x14ac:dyDescent="0.3">
      <c r="C84" t="str">
        <f>_xlfn.XLOOKUP(Table326[[#This Row],[Customer]],'Top 300'!C:C,'Top 300'!A:A,"0",2,1)</f>
        <v>0</v>
      </c>
      <c r="D84" s="30">
        <f>_xlfn.XLOOKUP(Table326[[#This Row],[File Name]],'Analyse 2 Detail 02-03'!A:A,'Analyse 2 Detail 02-03'!R:R,"Not Found",0,1)</f>
        <v>0</v>
      </c>
      <c r="E84" s="2" t="s">
        <v>154</v>
      </c>
      <c r="F84" s="64" t="s">
        <v>11</v>
      </c>
      <c r="G84" s="71">
        <v>0</v>
      </c>
      <c r="M84" s="9"/>
      <c r="T84" s="23"/>
      <c r="U84" s="11" t="e">
        <f>AVERAGE(Table326[[#This Row],[PO nr]:[Delivery Date]])</f>
        <v>#DIV/0!</v>
      </c>
      <c r="V84" s="21"/>
      <c r="W84" s="21"/>
      <c r="X84" s="21"/>
      <c r="Y84" s="21"/>
      <c r="Z84" s="21"/>
    </row>
    <row r="85" spans="3:26" ht="15" customHeight="1" x14ac:dyDescent="0.3">
      <c r="C85" t="str">
        <f>_xlfn.XLOOKUP(Table326[[#This Row],[Customer]],'Top 300'!C:C,'Top 300'!A:A,"0",2,1)</f>
        <v>0</v>
      </c>
      <c r="D85" s="30">
        <f>_xlfn.XLOOKUP(Table326[[#This Row],[File Name]],'Analyse 2 Detail 02-03'!A:A,'Analyse 2 Detail 02-03'!R:R,"Not Found",0,1)</f>
        <v>0</v>
      </c>
      <c r="E85" s="2" t="s">
        <v>164</v>
      </c>
      <c r="F85" s="64" t="s">
        <v>11</v>
      </c>
      <c r="G85" s="71">
        <v>0</v>
      </c>
      <c r="M85" s="9"/>
      <c r="T85" s="23"/>
      <c r="U85" s="11" t="e">
        <f>AVERAGE(Table326[[#This Row],[PO nr]:[Delivery Date]])</f>
        <v>#DIV/0!</v>
      </c>
      <c r="V85" s="21"/>
      <c r="W85" s="21"/>
      <c r="X85" s="21"/>
      <c r="Y85" s="21"/>
      <c r="Z85" s="21"/>
    </row>
    <row r="86" spans="3:26" ht="15" customHeight="1" x14ac:dyDescent="0.3">
      <c r="C86" t="str">
        <f>_xlfn.XLOOKUP(Table326[[#This Row],[Customer]],'Top 300'!C:C,'Top 300'!A:A,"0",2,1)</f>
        <v>0</v>
      </c>
      <c r="D86" s="30">
        <f>_xlfn.XLOOKUP(Table326[[#This Row],[File Name]],'Analyse 2 Detail 02-03'!A:A,'Analyse 2 Detail 02-03'!R:R,"Not Found",0,1)</f>
        <v>0</v>
      </c>
      <c r="E86" s="2" t="s">
        <v>141</v>
      </c>
      <c r="F86" s="64" t="s">
        <v>11</v>
      </c>
      <c r="G86" s="71">
        <v>0</v>
      </c>
      <c r="M86" s="9"/>
      <c r="T86" s="23"/>
      <c r="U86" s="11" t="e">
        <f>AVERAGE(Table326[[#This Row],[PO nr]:[Delivery Date]])</f>
        <v>#DIV/0!</v>
      </c>
      <c r="V86" s="21"/>
      <c r="W86" s="21"/>
      <c r="X86" s="21"/>
      <c r="Y86" s="21"/>
      <c r="Z86" s="21"/>
    </row>
    <row r="87" spans="3:26" ht="15" customHeight="1" x14ac:dyDescent="0.3">
      <c r="C87" t="str">
        <f>_xlfn.XLOOKUP(Table326[[#This Row],[Customer]],'Top 300'!C:C,'Top 300'!A:A,"0",2,1)</f>
        <v>0</v>
      </c>
      <c r="D87" s="30">
        <f>_xlfn.XLOOKUP(Table326[[#This Row],[File Name]],'Analyse 2 Detail 02-03'!A:A,'Analyse 2 Detail 02-03'!R:R,"Not Found",0,1)</f>
        <v>0</v>
      </c>
      <c r="E87" s="2" t="s">
        <v>141</v>
      </c>
      <c r="F87" s="64" t="s">
        <v>11</v>
      </c>
      <c r="G87" s="71">
        <v>0</v>
      </c>
      <c r="M87" s="9"/>
      <c r="T87" s="23"/>
      <c r="U87" s="11" t="e">
        <f>AVERAGE(Table326[[#This Row],[PO nr]:[Delivery Date]])</f>
        <v>#DIV/0!</v>
      </c>
      <c r="V87" s="21"/>
      <c r="W87" s="21"/>
      <c r="X87" s="21"/>
      <c r="Y87" s="21"/>
      <c r="Z87" s="21"/>
    </row>
    <row r="88" spans="3:26" ht="15" customHeight="1" x14ac:dyDescent="0.3">
      <c r="C88" t="str">
        <f>_xlfn.XLOOKUP(Table326[[#This Row],[Customer]],'Top 300'!C:C,'Top 300'!A:A,"0",2,1)</f>
        <v>0</v>
      </c>
      <c r="D88" s="30">
        <f>_xlfn.XLOOKUP(Table326[[#This Row],[File Name]],'Analyse 2 Detail 02-03'!A:A,'Analyse 2 Detail 02-03'!R:R,"Not Found",0,1)</f>
        <v>0</v>
      </c>
      <c r="E88" s="2" t="s">
        <v>117</v>
      </c>
      <c r="F88" s="64" t="s">
        <v>11</v>
      </c>
      <c r="G88" s="71">
        <v>0</v>
      </c>
      <c r="M88" s="9"/>
      <c r="T88" s="23"/>
      <c r="U88" s="11" t="e">
        <f>AVERAGE(Table326[[#This Row],[PO nr]:[Delivery Date]])</f>
        <v>#DIV/0!</v>
      </c>
      <c r="V88" s="21"/>
      <c r="W88" s="21"/>
      <c r="X88" s="21"/>
      <c r="Y88" s="21"/>
      <c r="Z88" s="21"/>
    </row>
    <row r="89" spans="3:26" ht="15" customHeight="1" x14ac:dyDescent="0.3">
      <c r="C89" t="str">
        <f>_xlfn.XLOOKUP(Table326[[#This Row],[Customer]],'Top 300'!C:C,'Top 300'!A:A,"0",2,1)</f>
        <v>0</v>
      </c>
      <c r="D89" s="30">
        <f>_xlfn.XLOOKUP(Table326[[#This Row],[File Name]],'Analyse 2 Detail 02-03'!A:A,'Analyse 2 Detail 02-03'!R:R,"Not Found",0,1)</f>
        <v>0</v>
      </c>
      <c r="E89" s="2" t="s">
        <v>168</v>
      </c>
      <c r="F89" s="64" t="s">
        <v>11</v>
      </c>
      <c r="G89" s="71">
        <v>0</v>
      </c>
      <c r="M89" s="9"/>
      <c r="T89" s="23"/>
      <c r="U89" s="11" t="e">
        <f>AVERAGE(Table326[[#This Row],[PO nr]:[Delivery Date]])</f>
        <v>#DIV/0!</v>
      </c>
      <c r="V89" s="21"/>
      <c r="W89" s="21"/>
      <c r="X89" s="21"/>
      <c r="Y89" s="21"/>
      <c r="Z89" s="21"/>
    </row>
    <row r="90" spans="3:26" ht="15" customHeight="1" x14ac:dyDescent="0.3">
      <c r="C90" t="str">
        <f>_xlfn.XLOOKUP(Table326[[#This Row],[Customer]],'Top 300'!C:C,'Top 300'!A:A,"0",2,1)</f>
        <v>X</v>
      </c>
      <c r="D90" s="30" t="str">
        <f>_xlfn.XLOOKUP(Table326[[#This Row],[File Name]],'Analyse 2 Detail 02-03'!A:A,'Analyse 2 Detail 02-03'!R:R,"Not Found",0,1)</f>
        <v>QRS Healthcare BV</v>
      </c>
      <c r="E90" s="2" t="s">
        <v>180</v>
      </c>
      <c r="F90" s="64" t="s">
        <v>9</v>
      </c>
      <c r="G90" s="71">
        <v>0</v>
      </c>
      <c r="M90" s="9"/>
      <c r="T90" s="23"/>
      <c r="U90" s="11" t="e">
        <f>AVERAGE(Table326[[#This Row],[PO nr]:[Delivery Date]])</f>
        <v>#DIV/0!</v>
      </c>
      <c r="V90" s="21"/>
      <c r="W90" s="21"/>
      <c r="X90" s="21"/>
      <c r="Y90" s="21"/>
      <c r="Z90" s="21"/>
    </row>
    <row r="91" spans="3:26" ht="15" customHeight="1" x14ac:dyDescent="0.3">
      <c r="C91" t="str">
        <f>_xlfn.XLOOKUP(Table326[[#This Row],[Customer]],'Top 300'!C:C,'Top 300'!A:A,"0",2,1)</f>
        <v>0</v>
      </c>
      <c r="D91" s="30" t="str">
        <f>_xlfn.XLOOKUP(Table326[[#This Row],[File Name]],'Analyse 2 Detail 02-03'!A:A,'Analyse 2 Detail 02-03'!R:R,"Not Found",0,1)</f>
        <v>Brocacef BV</v>
      </c>
      <c r="E91" s="2" t="s">
        <v>175</v>
      </c>
      <c r="F91" s="64" t="s">
        <v>9</v>
      </c>
      <c r="G91" s="71">
        <v>11</v>
      </c>
      <c r="H91" s="25">
        <v>1</v>
      </c>
      <c r="I91" s="25">
        <v>1</v>
      </c>
      <c r="J91" s="25">
        <v>1</v>
      </c>
      <c r="K91" s="25">
        <v>1</v>
      </c>
      <c r="L91" s="25">
        <v>1</v>
      </c>
      <c r="M91" s="9">
        <v>0.5</v>
      </c>
      <c r="N91" s="88">
        <v>1</v>
      </c>
      <c r="O91" s="25">
        <v>1</v>
      </c>
      <c r="P91" s="25">
        <v>1</v>
      </c>
      <c r="Q91" s="25">
        <v>1</v>
      </c>
      <c r="R91" s="25">
        <v>1</v>
      </c>
      <c r="S91" s="25">
        <v>0.5</v>
      </c>
      <c r="T91" s="10">
        <v>0.5</v>
      </c>
      <c r="U91" s="11">
        <f>AVERAGE(Table326[[#This Row],[PO nr]:[Delivery Date]])</f>
        <v>0.88461538461538458</v>
      </c>
      <c r="V91" s="21" t="s">
        <v>218</v>
      </c>
      <c r="W91" s="21"/>
      <c r="X91" s="21"/>
      <c r="Y91" s="21"/>
      <c r="Z91" s="21"/>
    </row>
    <row r="92" spans="3:26" ht="15" customHeight="1" x14ac:dyDescent="0.3">
      <c r="C92" t="str">
        <f>_xlfn.XLOOKUP(Table326[[#This Row],[Customer]],'Top 300'!C:C,'Top 300'!A:A,"0",2,1)</f>
        <v>0</v>
      </c>
      <c r="D92" s="30" t="str">
        <f>_xlfn.XLOOKUP(Table326[[#This Row],[File Name]],'Analyse 2 Detail 02-03'!A:A,'Analyse 2 Detail 02-03'!R:R,"Not Found",0,1)</f>
        <v>Brocacef</v>
      </c>
      <c r="E92" s="2" t="s">
        <v>140</v>
      </c>
      <c r="F92" s="64" t="s">
        <v>9</v>
      </c>
      <c r="G92" s="71">
        <v>2</v>
      </c>
      <c r="H92" s="25">
        <v>1</v>
      </c>
      <c r="I92" s="25">
        <v>1</v>
      </c>
      <c r="J92" s="25">
        <v>1</v>
      </c>
      <c r="K92" s="25">
        <v>1</v>
      </c>
      <c r="L92" s="25">
        <v>1</v>
      </c>
      <c r="M92" s="9">
        <v>0.5</v>
      </c>
      <c r="N92" s="88">
        <v>1</v>
      </c>
      <c r="O92" s="25">
        <v>1</v>
      </c>
      <c r="P92" s="25">
        <v>1</v>
      </c>
      <c r="Q92" s="25">
        <v>1</v>
      </c>
      <c r="R92" s="25">
        <v>1</v>
      </c>
      <c r="S92" s="25">
        <v>0.5</v>
      </c>
      <c r="T92" s="10">
        <v>1</v>
      </c>
      <c r="U92" s="11">
        <f>AVERAGE(Table326[[#This Row],[PO nr]:[Delivery Date]])</f>
        <v>0.92307692307692313</v>
      </c>
      <c r="V92" s="21" t="s">
        <v>219</v>
      </c>
      <c r="W92" s="21"/>
      <c r="X92" s="21"/>
      <c r="Y92" s="21"/>
      <c r="Z92" s="21"/>
    </row>
    <row r="93" spans="3:26" ht="15" customHeight="1" x14ac:dyDescent="0.3">
      <c r="C93" t="str">
        <f>_xlfn.XLOOKUP(Table326[[#This Row],[Customer]],'Top 300'!C:C,'Top 300'!A:A,"0",2,1)</f>
        <v>0</v>
      </c>
      <c r="D93" s="30" t="str">
        <f>_xlfn.XLOOKUP(Table326[[#This Row],[File Name]],'Analyse 2 Detail 02-03'!A:A,'Analyse 2 Detail 02-03'!R:R,"Not Found",0,1)</f>
        <v>Van Hoeckel</v>
      </c>
      <c r="E93" s="2" t="s">
        <v>118</v>
      </c>
      <c r="F93" s="64" t="s">
        <v>9</v>
      </c>
      <c r="G93" s="71">
        <v>2</v>
      </c>
      <c r="H93" s="25" t="s">
        <v>211</v>
      </c>
      <c r="I93" s="25" t="s">
        <v>211</v>
      </c>
      <c r="J93" s="25" t="s">
        <v>211</v>
      </c>
      <c r="K93" s="25" t="s">
        <v>211</v>
      </c>
      <c r="L93" s="25" t="s">
        <v>211</v>
      </c>
      <c r="M93" s="25" t="s">
        <v>211</v>
      </c>
      <c r="N93" s="25" t="s">
        <v>211</v>
      </c>
      <c r="O93" s="25" t="s">
        <v>211</v>
      </c>
      <c r="P93" s="25" t="s">
        <v>211</v>
      </c>
      <c r="Q93" s="25" t="s">
        <v>211</v>
      </c>
      <c r="R93" s="25" t="s">
        <v>211</v>
      </c>
      <c r="S93" s="25" t="s">
        <v>211</v>
      </c>
      <c r="T93" s="25" t="s">
        <v>211</v>
      </c>
      <c r="U93" s="11" t="e">
        <f>AVERAGE(Table326[[#This Row],[PO nr]:[Delivery Date]])</f>
        <v>#DIV/0!</v>
      </c>
      <c r="V93" s="84" t="s">
        <v>220</v>
      </c>
      <c r="W93" s="21" t="s">
        <v>222</v>
      </c>
      <c r="X93" s="21"/>
      <c r="Y93" s="21"/>
      <c r="Z93" s="21"/>
    </row>
    <row r="94" spans="3:26" ht="15" customHeight="1" x14ac:dyDescent="0.3">
      <c r="C94" t="str">
        <f>_xlfn.XLOOKUP(Table326[[#This Row],[Customer]],'Top 300'!C:C,'Top 300'!A:A,"0",2,1)</f>
        <v>0</v>
      </c>
      <c r="D94" s="30" t="str">
        <f>_xlfn.XLOOKUP(Table326[[#This Row],[File Name]],'Analyse 2 Detail 02-03'!A:A,'Analyse 2 Detail 02-03'!R:R,"Not Found",0,1)</f>
        <v>Van Hoeckel</v>
      </c>
      <c r="E94" s="2" t="s">
        <v>177</v>
      </c>
      <c r="F94" s="64" t="s">
        <v>9</v>
      </c>
      <c r="G94" s="71">
        <v>3</v>
      </c>
      <c r="H94" s="25">
        <v>1</v>
      </c>
      <c r="I94" s="25">
        <v>0.5</v>
      </c>
      <c r="J94" s="25">
        <v>1</v>
      </c>
      <c r="K94" s="25">
        <v>1</v>
      </c>
      <c r="L94" s="25">
        <v>1</v>
      </c>
      <c r="M94" s="9">
        <v>0.5</v>
      </c>
      <c r="N94" s="88">
        <v>1</v>
      </c>
      <c r="O94" s="25">
        <v>1</v>
      </c>
      <c r="P94" s="25">
        <v>1</v>
      </c>
      <c r="Q94" s="25">
        <v>1</v>
      </c>
      <c r="R94" s="25">
        <v>1</v>
      </c>
      <c r="S94" s="25">
        <v>0.5</v>
      </c>
      <c r="T94" s="10">
        <v>1</v>
      </c>
      <c r="U94" s="11">
        <f>AVERAGE(Table326[[#This Row],[PO nr]:[Delivery Date]])</f>
        <v>0.88461538461538458</v>
      </c>
      <c r="V94" s="84" t="s">
        <v>223</v>
      </c>
      <c r="W94" s="21" t="s">
        <v>222</v>
      </c>
      <c r="X94" s="21"/>
      <c r="Y94" s="21"/>
      <c r="Z94" s="21"/>
    </row>
    <row r="95" spans="3:26" ht="15" customHeight="1" x14ac:dyDescent="0.3">
      <c r="C95" t="str">
        <f>_xlfn.XLOOKUP(Table326[[#This Row],[Customer]],'Top 300'!C:C,'Top 300'!A:A,"0",2,1)</f>
        <v>0</v>
      </c>
      <c r="D95" s="30" t="str">
        <f>_xlfn.XLOOKUP(Table326[[#This Row],[File Name]],'Analyse 2 Detail 02-03'!A:A,'Analyse 2 Detail 02-03'!R:R,"Not Found",0,1)</f>
        <v>Van Hoeckel</v>
      </c>
      <c r="E95" s="2" t="s">
        <v>123</v>
      </c>
      <c r="F95" s="64" t="s">
        <v>9</v>
      </c>
      <c r="G95" s="71">
        <v>4</v>
      </c>
      <c r="H95" s="25">
        <v>1</v>
      </c>
      <c r="I95" s="25">
        <v>0.5</v>
      </c>
      <c r="J95" s="25">
        <v>1</v>
      </c>
      <c r="K95" s="25">
        <v>1</v>
      </c>
      <c r="L95" s="25">
        <v>1</v>
      </c>
      <c r="M95" s="9">
        <v>0.5</v>
      </c>
      <c r="N95" s="88">
        <v>1</v>
      </c>
      <c r="O95" s="25">
        <v>1</v>
      </c>
      <c r="P95" s="25">
        <v>1</v>
      </c>
      <c r="Q95" s="25">
        <v>1</v>
      </c>
      <c r="R95" s="25">
        <v>0.5</v>
      </c>
      <c r="S95" s="25">
        <v>0.5</v>
      </c>
      <c r="T95" s="10">
        <v>1</v>
      </c>
      <c r="U95" s="11">
        <f>AVERAGE(Table326[[#This Row],[PO nr]:[Delivery Date]])</f>
        <v>0.84615384615384615</v>
      </c>
      <c r="V95" s="84" t="s">
        <v>221</v>
      </c>
      <c r="W95" s="21" t="s">
        <v>222</v>
      </c>
      <c r="X95" s="21"/>
      <c r="Y95" s="21"/>
      <c r="Z95" s="21"/>
    </row>
    <row r="96" spans="3:26" ht="15" customHeight="1" x14ac:dyDescent="0.3">
      <c r="C96" t="str">
        <f>_xlfn.XLOOKUP(Table326[[#This Row],[Customer]],'Top 300'!C:C,'Top 300'!A:A,"0",2,1)</f>
        <v>0</v>
      </c>
      <c r="D96" s="30" t="str">
        <f>_xlfn.XLOOKUP(Table326[[#This Row],[File Name]],'Analyse 2 Detail 02-03'!A:A,'Analyse 2 Detail 02-03'!R:R,"Not Found",0,1)</f>
        <v>G3 Medical B.V.</v>
      </c>
      <c r="E96" s="2" t="s">
        <v>105</v>
      </c>
      <c r="F96" s="64" t="s">
        <v>9</v>
      </c>
      <c r="G96" s="71">
        <v>0</v>
      </c>
      <c r="M96" s="9"/>
      <c r="T96" s="23"/>
      <c r="U96" s="11" t="e">
        <f>AVERAGE(Table326[[#This Row],[PO nr]:[Delivery Date]])</f>
        <v>#DIV/0!</v>
      </c>
      <c r="V96" s="21"/>
      <c r="W96" s="21"/>
      <c r="X96" s="21"/>
      <c r="Y96" s="21"/>
      <c r="Z96" s="21"/>
    </row>
    <row r="97" spans="3:26" ht="15" customHeight="1" x14ac:dyDescent="0.3">
      <c r="C97" t="str">
        <f>_xlfn.XLOOKUP(Table326[[#This Row],[Customer]],'Top 300'!C:C,'Top 300'!A:A,"0",2,1)</f>
        <v>0</v>
      </c>
      <c r="D97" s="30" t="str">
        <f>_xlfn.XLOOKUP(Table326[[#This Row],[File Name]],'Analyse 2 Detail 02-03'!A:A,'Analyse 2 Detail 02-03'!R:R,"Not Found",0,1)</f>
        <v>G3 Medical B.V.</v>
      </c>
      <c r="E97" s="2" t="s">
        <v>126</v>
      </c>
      <c r="F97" s="64" t="s">
        <v>9</v>
      </c>
      <c r="G97" s="71">
        <v>0</v>
      </c>
      <c r="M97" s="9"/>
      <c r="T97" s="23"/>
      <c r="U97" s="11" t="e">
        <f>AVERAGE(Table326[[#This Row],[PO nr]:[Delivery Date]])</f>
        <v>#DIV/0!</v>
      </c>
      <c r="V97" s="21"/>
      <c r="W97" s="21"/>
      <c r="X97" s="21"/>
      <c r="Y97" s="21"/>
      <c r="Z97" s="21"/>
    </row>
    <row r="98" spans="3:26" ht="15" customHeight="1" x14ac:dyDescent="0.3">
      <c r="C98" t="str">
        <f>_xlfn.XLOOKUP(Table326[[#This Row],[Customer]],'Top 300'!C:C,'Top 300'!A:A,"0",2,1)</f>
        <v>0</v>
      </c>
      <c r="D98" s="30">
        <f>_xlfn.XLOOKUP(Table326[[#This Row],[File Name]],'Analyse 2 Detail 02-03'!A:A,'Analyse 2 Detail 02-03'!R:R,"Not Found",0,1)</f>
        <v>0</v>
      </c>
      <c r="E98" s="2" t="s">
        <v>115</v>
      </c>
      <c r="F98" s="64" t="s">
        <v>11</v>
      </c>
      <c r="G98" s="71">
        <v>0</v>
      </c>
      <c r="M98" s="9"/>
      <c r="T98" s="23"/>
      <c r="U98" s="11" t="e">
        <f>AVERAGE(Table326[[#This Row],[PO nr]:[Delivery Date]])</f>
        <v>#DIV/0!</v>
      </c>
      <c r="V98" s="21"/>
      <c r="W98" s="21"/>
      <c r="X98" s="21"/>
      <c r="Y98" s="21"/>
      <c r="Z98" s="21"/>
    </row>
    <row r="99" spans="3:26" ht="15" customHeight="1" x14ac:dyDescent="0.3">
      <c r="C99" t="str">
        <f>_xlfn.XLOOKUP(Table326[[#This Row],[Customer]],'Top 300'!C:C,'Top 300'!A:A,"0",2,1)</f>
        <v>0</v>
      </c>
      <c r="D99" s="30" t="str">
        <f>_xlfn.XLOOKUP(Table326[[#This Row],[File Name]],'Analyse 2 Detail 02-03'!A:A,'Analyse 2 Detail 02-03'!R:R,"Not Found",0,1)</f>
        <v>G3 Medical B.V.</v>
      </c>
      <c r="E99" s="2" t="s">
        <v>137</v>
      </c>
      <c r="F99" s="64" t="s">
        <v>9</v>
      </c>
      <c r="G99" s="71">
        <v>0</v>
      </c>
      <c r="M99" s="9"/>
      <c r="T99" s="23"/>
      <c r="U99" s="11" t="e">
        <f>AVERAGE(Table326[[#This Row],[PO nr]:[Delivery Date]])</f>
        <v>#DIV/0!</v>
      </c>
      <c r="V99" s="21"/>
      <c r="W99" s="21"/>
      <c r="X99" s="21"/>
      <c r="Y99" s="21"/>
      <c r="Z99" s="21"/>
    </row>
    <row r="100" spans="3:26" ht="15" customHeight="1" x14ac:dyDescent="0.3">
      <c r="C100" t="str">
        <f>_xlfn.XLOOKUP(Table326[[#This Row],[Customer]],'Top 300'!C:C,'Top 300'!A:A,"0",2,1)</f>
        <v>0</v>
      </c>
      <c r="D100" s="30" t="str">
        <f>_xlfn.XLOOKUP(Table326[[#This Row],[File Name]],'Analyse 2 Detail 02-03'!A:A,'Analyse 2 Detail 02-03'!R:R,"Not Found",0,1)</f>
        <v>G3 Medical B.V.</v>
      </c>
      <c r="E100" s="2" t="s">
        <v>165</v>
      </c>
      <c r="F100" s="64" t="s">
        <v>9</v>
      </c>
      <c r="G100" s="71">
        <v>0</v>
      </c>
      <c r="M100" s="9"/>
      <c r="T100" s="23"/>
      <c r="U100" s="11" t="e">
        <f>AVERAGE(Table326[[#This Row],[PO nr]:[Delivery Date]])</f>
        <v>#DIV/0!</v>
      </c>
      <c r="V100" s="21"/>
      <c r="W100" s="21"/>
      <c r="X100" s="21"/>
      <c r="Y100" s="21"/>
      <c r="Z100" s="21"/>
    </row>
    <row r="101" spans="3:26" ht="15" customHeight="1" x14ac:dyDescent="0.3">
      <c r="C101" t="str">
        <f>_xlfn.XLOOKUP(Table326[[#This Row],[Customer]],'Top 300'!C:C,'Top 300'!A:A,"0",2,1)</f>
        <v>0</v>
      </c>
      <c r="D101" s="30">
        <f>_xlfn.XLOOKUP(Table326[[#This Row],[File Name]],'Analyse 2 Detail 02-03'!A:A,'Analyse 2 Detail 02-03'!R:R,"Not Found",0,1)</f>
        <v>0</v>
      </c>
      <c r="E101" s="2" t="s">
        <v>149</v>
      </c>
      <c r="F101" s="64" t="s">
        <v>11</v>
      </c>
      <c r="G101" s="71">
        <v>0</v>
      </c>
      <c r="M101" s="9"/>
      <c r="T101" s="23"/>
      <c r="U101" s="11" t="e">
        <f>AVERAGE(Table326[[#This Row],[PO nr]:[Delivery Date]])</f>
        <v>#DIV/0!</v>
      </c>
      <c r="V101" s="21"/>
      <c r="W101" s="21"/>
      <c r="X101" s="21"/>
      <c r="Y101" s="21"/>
      <c r="Z101" s="21"/>
    </row>
    <row r="102" spans="3:26" ht="15" customHeight="1" x14ac:dyDescent="0.3">
      <c r="C102" t="str">
        <f>_xlfn.XLOOKUP(Table326[[#This Row],[Customer]],'Top 300'!C:C,'Top 300'!A:A,"0",2,1)</f>
        <v>0</v>
      </c>
      <c r="D102" s="30">
        <f>_xlfn.XLOOKUP(Table326[[#This Row],[File Name]],'Analyse 2 Detail 02-03'!A:A,'Analyse 2 Detail 02-03'!R:R,"Not Found",0,1)</f>
        <v>0</v>
      </c>
      <c r="E102" s="2" t="s">
        <v>157</v>
      </c>
      <c r="F102" s="64" t="s">
        <v>11</v>
      </c>
      <c r="G102" s="71">
        <v>0</v>
      </c>
      <c r="M102" s="9"/>
      <c r="T102" s="23"/>
      <c r="U102" s="11" t="e">
        <f>AVERAGE(Table326[[#This Row],[PO nr]:[Delivery Date]])</f>
        <v>#DIV/0!</v>
      </c>
      <c r="V102" s="21"/>
      <c r="W102" s="21"/>
      <c r="X102" s="21"/>
      <c r="Y102" s="21"/>
      <c r="Z102" s="21"/>
    </row>
    <row r="103" spans="3:26" ht="15" customHeight="1" x14ac:dyDescent="0.3">
      <c r="C103" t="str">
        <f>_xlfn.XLOOKUP(Table326[[#This Row],[Customer]],'Top 300'!C:C,'Top 300'!A:A,"0",2,1)</f>
        <v>0</v>
      </c>
      <c r="D103" s="30" t="str">
        <f>_xlfn.XLOOKUP(Table326[[#This Row],[File Name]],'Analyse 2 Detail 02-03'!A:A,'Analyse 2 Detail 02-03'!R:R,"Not Found",0,1)</f>
        <v>G3 Medical B.V.</v>
      </c>
      <c r="E103" s="2" t="s">
        <v>112</v>
      </c>
      <c r="F103" s="64" t="s">
        <v>9</v>
      </c>
      <c r="G103" s="71">
        <v>0</v>
      </c>
      <c r="M103" s="9"/>
      <c r="T103" s="23"/>
      <c r="U103" s="11" t="e">
        <f>AVERAGE(Table326[[#This Row],[PO nr]:[Delivery Date]])</f>
        <v>#DIV/0!</v>
      </c>
      <c r="V103" s="21"/>
      <c r="W103" s="21"/>
      <c r="X103" s="21"/>
      <c r="Y103" s="21"/>
      <c r="Z103" s="21"/>
    </row>
    <row r="104" spans="3:26" ht="15" customHeight="1" x14ac:dyDescent="0.3">
      <c r="C104" t="str">
        <f>_xlfn.XLOOKUP(Table326[[#This Row],[Customer]],'Top 300'!C:C,'Top 300'!A:A,"0",2,1)</f>
        <v>0</v>
      </c>
      <c r="D104" s="30" t="str">
        <f>_xlfn.XLOOKUP(Table326[[#This Row],[File Name]],'Analyse 2 Detail 02-03'!A:A,'Analyse 2 Detail 02-03'!R:R,"Not Found",0,1)</f>
        <v>G3 Medical B.V.</v>
      </c>
      <c r="E104" s="2" t="s">
        <v>174</v>
      </c>
      <c r="F104" s="64" t="s">
        <v>9</v>
      </c>
      <c r="G104" s="71">
        <v>0</v>
      </c>
      <c r="M104" s="9"/>
      <c r="T104" s="23"/>
      <c r="U104" s="11" t="e">
        <f>AVERAGE(Table326[[#This Row],[PO nr]:[Delivery Date]])</f>
        <v>#DIV/0!</v>
      </c>
      <c r="V104" s="21"/>
      <c r="W104" s="21"/>
      <c r="X104" s="21"/>
      <c r="Y104" s="21"/>
      <c r="Z104" s="21"/>
    </row>
    <row r="105" spans="3:26" ht="15" customHeight="1" thickBot="1" x14ac:dyDescent="0.35">
      <c r="C105" t="str">
        <f>_xlfn.XLOOKUP(Table326[[#This Row],[Customer]],'Top 300'!C:C,'Top 300'!A:A,"0",2,1)</f>
        <v>0</v>
      </c>
      <c r="D105" s="31" t="str">
        <f>_xlfn.XLOOKUP(Table326[[#This Row],[File Name]],'Analyse 2 Detail 02-03'!A:A,'Analyse 2 Detail 02-03'!R:R,"Not Found",0,1)</f>
        <v>G3 Medical B.V.</v>
      </c>
      <c r="E105" s="32" t="s">
        <v>178</v>
      </c>
      <c r="F105" s="65" t="s">
        <v>9</v>
      </c>
      <c r="G105" s="72">
        <v>0</v>
      </c>
      <c r="H105" s="66"/>
      <c r="I105" s="66"/>
      <c r="J105" s="66"/>
      <c r="K105" s="66"/>
      <c r="L105" s="66"/>
      <c r="M105" s="67"/>
      <c r="N105" s="91"/>
      <c r="O105" s="66"/>
      <c r="P105" s="66"/>
      <c r="Q105" s="66"/>
      <c r="R105" s="66"/>
      <c r="S105" s="66"/>
      <c r="T105" s="68"/>
      <c r="U105" s="11" t="e">
        <f>AVERAGE(Table326[[#This Row],[PO nr]:[Delivery Date]])</f>
        <v>#DIV/0!</v>
      </c>
      <c r="V105" s="69"/>
      <c r="W105" s="69"/>
      <c r="X105" s="69"/>
      <c r="Y105" s="69"/>
      <c r="Z105" s="21"/>
    </row>
  </sheetData>
  <mergeCells count="1">
    <mergeCell ref="H5:T5"/>
  </mergeCells>
  <conditionalFormatting sqref="H4:U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:U105">
    <cfRule type="colorScale" priority="2">
      <colorScale>
        <cfvo type="min"/>
        <cfvo type="percentile" val="50"/>
        <cfvo type="max"/>
        <color rgb="FFF8696B"/>
        <color rgb="FFFFEB84"/>
        <color theme="9" tint="0.59999389629810485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9C6C9-A359-4D2E-BCF8-8B077FFEC7A8}">
  <sheetPr>
    <outlinePr summaryBelow="0"/>
  </sheetPr>
  <dimension ref="A1:I22"/>
  <sheetViews>
    <sheetView workbookViewId="0">
      <pane ySplit="1" topLeftCell="A2" activePane="bottomLeft" state="frozen"/>
      <selection pane="bottomLeft" activeCell="A2" sqref="A2"/>
    </sheetView>
  </sheetViews>
  <sheetFormatPr defaultColWidth="8.88671875" defaultRowHeight="13.8" x14ac:dyDescent="0.25"/>
  <cols>
    <col min="1" max="1" width="13.5546875" style="2" bestFit="1" customWidth="1"/>
    <col min="2" max="2" width="18" style="2" bestFit="1" customWidth="1"/>
    <col min="3" max="3" width="20.33203125" style="2" bestFit="1" customWidth="1"/>
    <col min="4" max="4" width="11.88671875" style="2" bestFit="1" customWidth="1"/>
    <col min="5" max="5" width="19.109375" style="2" bestFit="1" customWidth="1"/>
    <col min="6" max="7" width="13.5546875" style="2" bestFit="1" customWidth="1"/>
    <col min="8" max="8" width="19.109375" style="2" bestFit="1" customWidth="1"/>
    <col min="9" max="9" width="26.88671875" style="2" bestFit="1" customWidth="1"/>
    <col min="10" max="16384" width="8.88671875" style="2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12</v>
      </c>
      <c r="C2" s="2">
        <v>88</v>
      </c>
      <c r="D2" s="2" t="s">
        <v>9</v>
      </c>
      <c r="E2" s="3">
        <v>46071.664606481485</v>
      </c>
      <c r="F2" s="2">
        <v>111303</v>
      </c>
      <c r="G2" s="2" t="s">
        <v>10</v>
      </c>
      <c r="H2" s="2">
        <v>0</v>
      </c>
      <c r="I2" s="2">
        <v>0</v>
      </c>
    </row>
    <row r="3" spans="1:9" x14ac:dyDescent="0.25">
      <c r="A3" s="2" t="s">
        <v>13</v>
      </c>
      <c r="C3" s="2">
        <v>85</v>
      </c>
      <c r="D3" s="2" t="s">
        <v>9</v>
      </c>
      <c r="E3" s="3">
        <v>46071.664606481485</v>
      </c>
      <c r="F3" s="2">
        <v>140250</v>
      </c>
      <c r="G3" s="2" t="s">
        <v>10</v>
      </c>
      <c r="H3" s="2">
        <v>6</v>
      </c>
      <c r="I3" s="2">
        <v>0</v>
      </c>
    </row>
    <row r="4" spans="1:9" x14ac:dyDescent="0.25">
      <c r="A4" s="2" t="s">
        <v>14</v>
      </c>
      <c r="C4" s="2">
        <v>85</v>
      </c>
      <c r="D4" s="2" t="s">
        <v>9</v>
      </c>
      <c r="E4" s="3">
        <v>46071.664606481485</v>
      </c>
      <c r="F4" s="2">
        <v>16242</v>
      </c>
      <c r="G4" s="2" t="s">
        <v>10</v>
      </c>
      <c r="H4" s="2">
        <v>14</v>
      </c>
      <c r="I4" s="2">
        <v>0</v>
      </c>
    </row>
    <row r="5" spans="1:9" x14ac:dyDescent="0.25">
      <c r="A5" s="2" t="s">
        <v>15</v>
      </c>
      <c r="C5" s="2">
        <v>92</v>
      </c>
      <c r="D5" s="2" t="s">
        <v>9</v>
      </c>
      <c r="E5" s="3">
        <v>46071.664606481485</v>
      </c>
      <c r="F5" s="2">
        <v>22869</v>
      </c>
      <c r="G5" s="2" t="s">
        <v>10</v>
      </c>
      <c r="H5" s="2">
        <v>1</v>
      </c>
      <c r="I5" s="2">
        <v>0</v>
      </c>
    </row>
    <row r="6" spans="1:9" x14ac:dyDescent="0.25">
      <c r="A6" s="2" t="s">
        <v>16</v>
      </c>
      <c r="C6" s="2">
        <v>85</v>
      </c>
      <c r="D6" s="2" t="s">
        <v>9</v>
      </c>
      <c r="E6" s="3">
        <v>46071.664606481485</v>
      </c>
      <c r="F6" s="2">
        <v>142035</v>
      </c>
      <c r="G6" s="2" t="s">
        <v>10</v>
      </c>
      <c r="H6" s="2">
        <v>1</v>
      </c>
      <c r="I6" s="2">
        <v>0</v>
      </c>
    </row>
    <row r="7" spans="1:9" x14ac:dyDescent="0.25">
      <c r="A7" s="2" t="s">
        <v>17</v>
      </c>
      <c r="C7" s="2">
        <v>92</v>
      </c>
      <c r="D7" s="2" t="s">
        <v>9</v>
      </c>
      <c r="E7" s="3">
        <v>46071.664606481485</v>
      </c>
      <c r="F7" s="2">
        <v>80430</v>
      </c>
      <c r="G7" s="2" t="s">
        <v>10</v>
      </c>
      <c r="H7" s="2">
        <v>30</v>
      </c>
      <c r="I7" s="2">
        <v>0</v>
      </c>
    </row>
    <row r="8" spans="1:9" x14ac:dyDescent="0.25">
      <c r="A8" s="2" t="s">
        <v>18</v>
      </c>
      <c r="C8" s="2">
        <v>88</v>
      </c>
      <c r="D8" s="2" t="s">
        <v>9</v>
      </c>
      <c r="E8" s="3">
        <v>46071.664606481485</v>
      </c>
      <c r="F8" s="2">
        <v>78681</v>
      </c>
      <c r="G8" s="2" t="s">
        <v>10</v>
      </c>
      <c r="H8" s="2">
        <v>12</v>
      </c>
      <c r="I8" s="2">
        <v>0</v>
      </c>
    </row>
    <row r="9" spans="1:9" x14ac:dyDescent="0.25">
      <c r="A9" s="2" t="s">
        <v>19</v>
      </c>
      <c r="C9" s="2">
        <v>90</v>
      </c>
      <c r="D9" s="2" t="s">
        <v>9</v>
      </c>
      <c r="E9" s="3">
        <v>46071.664606481485</v>
      </c>
      <c r="F9" s="2">
        <v>140505</v>
      </c>
      <c r="G9" s="2" t="s">
        <v>10</v>
      </c>
      <c r="H9" s="2">
        <v>4</v>
      </c>
      <c r="I9" s="2">
        <v>0</v>
      </c>
    </row>
    <row r="10" spans="1:9" x14ac:dyDescent="0.25">
      <c r="A10" s="2" t="s">
        <v>20</v>
      </c>
      <c r="C10" s="2">
        <v>85</v>
      </c>
      <c r="D10" s="2" t="s">
        <v>9</v>
      </c>
      <c r="E10" s="3">
        <v>46071.664606481485</v>
      </c>
      <c r="F10" s="2">
        <v>21165</v>
      </c>
      <c r="G10" s="2" t="s">
        <v>10</v>
      </c>
      <c r="H10" s="2">
        <v>0</v>
      </c>
      <c r="I10" s="2">
        <v>0</v>
      </c>
    </row>
    <row r="11" spans="1:9" x14ac:dyDescent="0.25">
      <c r="A11" s="2" t="s">
        <v>21</v>
      </c>
      <c r="C11" s="2">
        <v>85</v>
      </c>
      <c r="D11" s="2" t="s">
        <v>9</v>
      </c>
      <c r="E11" s="3">
        <v>46071.664606481485</v>
      </c>
      <c r="F11" s="2">
        <v>112647</v>
      </c>
      <c r="G11" s="2" t="s">
        <v>10</v>
      </c>
      <c r="H11" s="2">
        <v>0</v>
      </c>
      <c r="I11" s="2">
        <v>0</v>
      </c>
    </row>
    <row r="12" spans="1:9" x14ac:dyDescent="0.25">
      <c r="A12" s="2" t="s">
        <v>22</v>
      </c>
      <c r="C12" s="2">
        <v>88</v>
      </c>
      <c r="D12" s="2" t="s">
        <v>9</v>
      </c>
      <c r="E12" s="3">
        <v>46071.664606481485</v>
      </c>
      <c r="F12" s="2">
        <v>141015</v>
      </c>
      <c r="G12" s="2" t="s">
        <v>10</v>
      </c>
      <c r="H12" s="2">
        <v>0</v>
      </c>
      <c r="I12" s="2">
        <v>0</v>
      </c>
    </row>
    <row r="13" spans="1:9" x14ac:dyDescent="0.25">
      <c r="A13" s="2" t="s">
        <v>23</v>
      </c>
      <c r="C13" s="2">
        <v>90</v>
      </c>
      <c r="D13" s="2" t="s">
        <v>9</v>
      </c>
      <c r="E13" s="3">
        <v>46071.664606481485</v>
      </c>
      <c r="F13" s="2">
        <v>68516</v>
      </c>
      <c r="G13" s="2" t="s">
        <v>10</v>
      </c>
      <c r="H13" s="2">
        <v>0</v>
      </c>
      <c r="I13" s="2">
        <v>0</v>
      </c>
    </row>
    <row r="14" spans="1:9" x14ac:dyDescent="0.25">
      <c r="A14" s="2" t="s">
        <v>24</v>
      </c>
      <c r="C14" s="2">
        <v>85</v>
      </c>
      <c r="D14" s="2" t="s">
        <v>9</v>
      </c>
      <c r="E14" s="3">
        <v>46071.646585648152</v>
      </c>
      <c r="F14" s="2">
        <v>438090</v>
      </c>
      <c r="G14" s="2" t="s">
        <v>10</v>
      </c>
      <c r="H14" s="2">
        <v>0</v>
      </c>
      <c r="I14" s="2">
        <v>2</v>
      </c>
    </row>
    <row r="15" spans="1:9" x14ac:dyDescent="0.25">
      <c r="A15" s="2" t="s">
        <v>25</v>
      </c>
      <c r="C15" s="2">
        <v>92</v>
      </c>
      <c r="D15" s="2" t="s">
        <v>9</v>
      </c>
      <c r="E15" s="3">
        <v>46071.646585648152</v>
      </c>
      <c r="F15" s="2">
        <v>196969</v>
      </c>
      <c r="G15" s="2" t="s">
        <v>10</v>
      </c>
      <c r="H15" s="2">
        <v>29</v>
      </c>
      <c r="I15" s="2">
        <v>0</v>
      </c>
    </row>
    <row r="16" spans="1:9" x14ac:dyDescent="0.25">
      <c r="A16" s="2" t="s">
        <v>26</v>
      </c>
      <c r="C16" s="2">
        <v>28</v>
      </c>
      <c r="D16" s="2" t="s">
        <v>11</v>
      </c>
      <c r="E16" s="3">
        <v>46071.646585648152</v>
      </c>
      <c r="F16" s="2">
        <v>123488</v>
      </c>
      <c r="G16" s="2" t="s">
        <v>10</v>
      </c>
      <c r="H16" s="2">
        <v>0</v>
      </c>
      <c r="I16" s="2">
        <v>0</v>
      </c>
    </row>
    <row r="17" spans="1:9" x14ac:dyDescent="0.25">
      <c r="A17" s="2" t="s">
        <v>27</v>
      </c>
      <c r="C17" s="2">
        <v>85</v>
      </c>
      <c r="D17" s="2" t="s">
        <v>9</v>
      </c>
      <c r="E17" s="3">
        <v>46071.646585648152</v>
      </c>
      <c r="F17" s="2">
        <v>36606</v>
      </c>
      <c r="G17" s="2" t="s">
        <v>10</v>
      </c>
      <c r="H17" s="2">
        <v>0</v>
      </c>
      <c r="I17" s="2">
        <v>0</v>
      </c>
    </row>
    <row r="18" spans="1:9" x14ac:dyDescent="0.25">
      <c r="A18" s="2" t="s">
        <v>28</v>
      </c>
      <c r="C18" s="2">
        <v>90</v>
      </c>
      <c r="D18" s="2" t="s">
        <v>9</v>
      </c>
      <c r="E18" s="3">
        <v>46071.646585648152</v>
      </c>
      <c r="F18" s="2">
        <v>32884</v>
      </c>
      <c r="G18" s="2" t="s">
        <v>10</v>
      </c>
      <c r="H18" s="2">
        <v>7</v>
      </c>
      <c r="I18" s="2">
        <v>0</v>
      </c>
    </row>
    <row r="19" spans="1:9" x14ac:dyDescent="0.25">
      <c r="A19" s="2" t="s">
        <v>29</v>
      </c>
      <c r="C19" s="2">
        <v>90</v>
      </c>
      <c r="D19" s="2" t="s">
        <v>9</v>
      </c>
      <c r="E19" s="3">
        <v>46071.646585648152</v>
      </c>
      <c r="F19" s="2">
        <v>1952302</v>
      </c>
      <c r="G19" s="2" t="s">
        <v>10</v>
      </c>
      <c r="H19" s="2">
        <v>0</v>
      </c>
      <c r="I19" s="2">
        <v>0</v>
      </c>
    </row>
    <row r="20" spans="1:9" x14ac:dyDescent="0.25">
      <c r="A20" s="2" t="s">
        <v>30</v>
      </c>
      <c r="C20" s="2">
        <v>85</v>
      </c>
      <c r="D20" s="2" t="s">
        <v>9</v>
      </c>
      <c r="E20" s="3">
        <v>46071.646585648152</v>
      </c>
      <c r="F20" s="2">
        <v>314560</v>
      </c>
      <c r="G20" s="2" t="s">
        <v>10</v>
      </c>
      <c r="H20" s="2">
        <v>1</v>
      </c>
      <c r="I20" s="2">
        <v>0</v>
      </c>
    </row>
    <row r="21" spans="1:9" x14ac:dyDescent="0.25">
      <c r="A21" s="2" t="s">
        <v>31</v>
      </c>
      <c r="C21" s="2">
        <v>85</v>
      </c>
      <c r="D21" s="2" t="s">
        <v>9</v>
      </c>
      <c r="E21" s="3">
        <v>46071.646585648152</v>
      </c>
      <c r="F21" s="2">
        <v>46443</v>
      </c>
      <c r="G21" s="2" t="s">
        <v>10</v>
      </c>
      <c r="H21" s="2">
        <v>0</v>
      </c>
      <c r="I21" s="2">
        <v>0</v>
      </c>
    </row>
    <row r="22" spans="1:9" x14ac:dyDescent="0.25">
      <c r="A22" s="2" t="s">
        <v>32</v>
      </c>
      <c r="C22" s="2">
        <v>85</v>
      </c>
      <c r="D22" s="2" t="s">
        <v>9</v>
      </c>
      <c r="E22" s="3">
        <v>46071.646585648152</v>
      </c>
      <c r="F22" s="2">
        <v>314184</v>
      </c>
      <c r="G22" s="2" t="s">
        <v>10</v>
      </c>
      <c r="H22" s="2">
        <v>1</v>
      </c>
      <c r="I22" s="2">
        <v>0</v>
      </c>
    </row>
  </sheetData>
  <autoFilter ref="A1:I22" xr:uid="{00000000-0009-0000-0000-000000000000}">
    <sortState xmlns:xlrd2="http://schemas.microsoft.com/office/spreadsheetml/2017/richdata2" ref="A3:I22">
      <sortCondition descending="1" ref="E1:E22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FB754-E406-4DB9-A5F2-CB16DC50E852}">
  <sheetPr>
    <outlinePr summaryBelow="0"/>
  </sheetPr>
  <dimension ref="A1:I100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1" width="82.88671875" style="2" bestFit="1" customWidth="1"/>
    <col min="2" max="2" width="18" style="2" bestFit="1" customWidth="1"/>
    <col min="3" max="3" width="20.21875" style="2" bestFit="1" customWidth="1"/>
    <col min="4" max="4" width="11.88671875" style="2" bestFit="1" customWidth="1"/>
    <col min="5" max="5" width="19.109375" style="2" bestFit="1" customWidth="1"/>
    <col min="6" max="7" width="13.5546875" style="2" bestFit="1" customWidth="1"/>
    <col min="8" max="8" width="19.109375" style="2" bestFit="1" customWidth="1"/>
    <col min="9" max="9" width="26.88671875" style="2" bestFit="1" customWidth="1"/>
    <col min="10" max="16384" width="8.88671875" style="2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132</v>
      </c>
      <c r="C2" s="2">
        <v>88</v>
      </c>
      <c r="D2" s="2" t="s">
        <v>9</v>
      </c>
      <c r="E2" s="3">
        <v>46080.530787037038</v>
      </c>
      <c r="F2" s="2">
        <v>35061</v>
      </c>
      <c r="G2" s="2" t="s">
        <v>10</v>
      </c>
      <c r="H2" s="2">
        <v>0</v>
      </c>
      <c r="I2" s="2">
        <v>13</v>
      </c>
    </row>
    <row r="3" spans="1:9" x14ac:dyDescent="0.25">
      <c r="A3" s="2" t="s">
        <v>169</v>
      </c>
      <c r="C3" s="2">
        <v>82</v>
      </c>
      <c r="D3" s="2" t="s">
        <v>9</v>
      </c>
      <c r="E3" s="3">
        <v>46080.530787037038</v>
      </c>
      <c r="F3" s="2">
        <v>34837</v>
      </c>
      <c r="G3" s="2" t="s">
        <v>10</v>
      </c>
      <c r="H3" s="2">
        <v>0</v>
      </c>
      <c r="I3" s="2">
        <v>0</v>
      </c>
    </row>
    <row r="4" spans="1:9" x14ac:dyDescent="0.25">
      <c r="A4" s="2" t="s">
        <v>139</v>
      </c>
      <c r="C4" s="2">
        <v>90</v>
      </c>
      <c r="D4" s="2" t="s">
        <v>9</v>
      </c>
      <c r="E4" s="3">
        <v>46080.530752314815</v>
      </c>
      <c r="F4" s="2">
        <v>35265</v>
      </c>
      <c r="G4" s="2" t="s">
        <v>10</v>
      </c>
      <c r="H4" s="2">
        <v>0</v>
      </c>
      <c r="I4" s="2">
        <v>0</v>
      </c>
    </row>
    <row r="5" spans="1:9" x14ac:dyDescent="0.25">
      <c r="A5" s="2" t="s">
        <v>161</v>
      </c>
      <c r="C5" s="2">
        <v>85</v>
      </c>
      <c r="D5" s="2" t="s">
        <v>9</v>
      </c>
      <c r="E5" s="3">
        <v>46080.530787037038</v>
      </c>
      <c r="F5" s="2">
        <v>58986</v>
      </c>
      <c r="G5" s="2" t="s">
        <v>10</v>
      </c>
      <c r="H5" s="2">
        <v>0</v>
      </c>
      <c r="I5" s="2">
        <v>255</v>
      </c>
    </row>
    <row r="6" spans="1:9" x14ac:dyDescent="0.25">
      <c r="A6" s="2" t="s">
        <v>143</v>
      </c>
      <c r="C6" s="2">
        <v>92</v>
      </c>
      <c r="D6" s="2" t="s">
        <v>9</v>
      </c>
      <c r="E6" s="3">
        <v>46080.530787037038</v>
      </c>
      <c r="F6" s="2">
        <v>35794</v>
      </c>
      <c r="G6" s="2" t="s">
        <v>10</v>
      </c>
      <c r="H6" s="2">
        <v>0</v>
      </c>
      <c r="I6" s="2">
        <v>0</v>
      </c>
    </row>
    <row r="7" spans="1:9" x14ac:dyDescent="0.25">
      <c r="A7" s="2" t="s">
        <v>173</v>
      </c>
      <c r="C7" s="2">
        <v>28</v>
      </c>
      <c r="D7" s="2" t="s">
        <v>11</v>
      </c>
      <c r="E7" s="3">
        <v>46080.530763888892</v>
      </c>
      <c r="F7" s="2">
        <v>105937</v>
      </c>
      <c r="G7" s="2" t="s">
        <v>10</v>
      </c>
      <c r="H7" s="2">
        <v>0</v>
      </c>
      <c r="I7" s="2">
        <v>0</v>
      </c>
    </row>
    <row r="8" spans="1:9" x14ac:dyDescent="0.25">
      <c r="A8" s="2" t="s">
        <v>129</v>
      </c>
      <c r="C8" s="2">
        <v>92</v>
      </c>
      <c r="D8" s="2" t="s">
        <v>9</v>
      </c>
      <c r="E8" s="3">
        <v>46080.530787037038</v>
      </c>
      <c r="F8" s="2">
        <v>138975</v>
      </c>
      <c r="G8" s="2" t="s">
        <v>10</v>
      </c>
      <c r="H8" s="2">
        <v>0</v>
      </c>
      <c r="I8" s="2">
        <v>12</v>
      </c>
    </row>
    <row r="9" spans="1:9" x14ac:dyDescent="0.25">
      <c r="A9" s="2" t="s">
        <v>129</v>
      </c>
      <c r="C9" s="2">
        <v>92</v>
      </c>
      <c r="D9" s="2" t="s">
        <v>9</v>
      </c>
      <c r="E9" s="3">
        <v>46080.530787037038</v>
      </c>
      <c r="F9" s="2">
        <v>139995</v>
      </c>
      <c r="G9" s="2" t="s">
        <v>10</v>
      </c>
      <c r="H9" s="2">
        <v>0</v>
      </c>
      <c r="I9" s="2">
        <v>0</v>
      </c>
    </row>
    <row r="10" spans="1:9" x14ac:dyDescent="0.25">
      <c r="A10" s="2" t="s">
        <v>170</v>
      </c>
      <c r="C10" s="2">
        <v>88</v>
      </c>
      <c r="D10" s="2" t="s">
        <v>9</v>
      </c>
      <c r="E10" s="3">
        <v>46080.530763888892</v>
      </c>
      <c r="F10" s="2">
        <v>139995</v>
      </c>
      <c r="G10" s="2" t="s">
        <v>10</v>
      </c>
      <c r="H10" s="2">
        <v>1</v>
      </c>
      <c r="I10" s="2">
        <v>0</v>
      </c>
    </row>
    <row r="11" spans="1:9" x14ac:dyDescent="0.25">
      <c r="A11" s="2" t="s">
        <v>106</v>
      </c>
      <c r="C11" s="2">
        <v>88</v>
      </c>
      <c r="D11" s="2" t="s">
        <v>9</v>
      </c>
      <c r="E11" s="3">
        <v>46080.530763888892</v>
      </c>
      <c r="F11" s="2">
        <v>140760</v>
      </c>
      <c r="G11" s="2" t="s">
        <v>10</v>
      </c>
      <c r="H11" s="2">
        <v>2</v>
      </c>
      <c r="I11" s="2">
        <v>0</v>
      </c>
    </row>
    <row r="12" spans="1:9" x14ac:dyDescent="0.25">
      <c r="A12" s="2" t="s">
        <v>136</v>
      </c>
      <c r="C12" s="2">
        <v>92</v>
      </c>
      <c r="D12" s="2" t="s">
        <v>9</v>
      </c>
      <c r="E12" s="3">
        <v>46080.530752314815</v>
      </c>
      <c r="F12" s="2">
        <v>140505</v>
      </c>
      <c r="G12" s="2" t="s">
        <v>10</v>
      </c>
      <c r="H12" s="2">
        <v>4</v>
      </c>
      <c r="I12" s="2">
        <v>0</v>
      </c>
    </row>
    <row r="13" spans="1:9" x14ac:dyDescent="0.25">
      <c r="A13" s="2" t="s">
        <v>136</v>
      </c>
      <c r="C13" s="2">
        <v>85</v>
      </c>
      <c r="D13" s="2" t="s">
        <v>9</v>
      </c>
      <c r="E13" s="3">
        <v>46080.530752314815</v>
      </c>
      <c r="F13" s="2">
        <v>142035</v>
      </c>
      <c r="G13" s="2" t="s">
        <v>10</v>
      </c>
      <c r="H13" s="2">
        <v>1</v>
      </c>
      <c r="I13" s="2">
        <v>0</v>
      </c>
    </row>
    <row r="14" spans="1:9" x14ac:dyDescent="0.25">
      <c r="A14" s="2" t="s">
        <v>166</v>
      </c>
      <c r="C14" s="2">
        <v>87</v>
      </c>
      <c r="D14" s="2" t="s">
        <v>9</v>
      </c>
      <c r="E14" s="3">
        <v>46080.559351851851</v>
      </c>
      <c r="F14" s="2">
        <v>218790</v>
      </c>
      <c r="G14" s="2" t="s">
        <v>10</v>
      </c>
      <c r="H14" s="2">
        <v>0</v>
      </c>
      <c r="I14" s="2">
        <v>1140</v>
      </c>
    </row>
    <row r="15" spans="1:9" x14ac:dyDescent="0.25">
      <c r="A15" s="2" t="s">
        <v>128</v>
      </c>
      <c r="C15" s="2">
        <v>92</v>
      </c>
      <c r="D15" s="2" t="s">
        <v>9</v>
      </c>
      <c r="E15" s="3">
        <v>46080.559351851851</v>
      </c>
      <c r="F15" s="2">
        <v>139995</v>
      </c>
      <c r="G15" s="2" t="s">
        <v>10</v>
      </c>
      <c r="H15" s="2">
        <v>0</v>
      </c>
      <c r="I15" s="2">
        <v>0</v>
      </c>
    </row>
    <row r="16" spans="1:9" x14ac:dyDescent="0.25">
      <c r="A16" s="2" t="s">
        <v>167</v>
      </c>
      <c r="C16" s="2">
        <v>92</v>
      </c>
      <c r="D16" s="2" t="s">
        <v>9</v>
      </c>
      <c r="E16" s="3">
        <v>46080.530763888892</v>
      </c>
      <c r="F16" s="2">
        <v>141015</v>
      </c>
      <c r="G16" s="2" t="s">
        <v>10</v>
      </c>
      <c r="H16" s="2">
        <v>0</v>
      </c>
      <c r="I16" s="2">
        <v>0</v>
      </c>
    </row>
    <row r="17" spans="1:9" x14ac:dyDescent="0.25">
      <c r="A17" s="2" t="s">
        <v>144</v>
      </c>
      <c r="C17" s="2">
        <v>88</v>
      </c>
      <c r="D17" s="2" t="s">
        <v>9</v>
      </c>
      <c r="E17" s="3">
        <v>46080.559351851851</v>
      </c>
      <c r="F17" s="2">
        <v>139995</v>
      </c>
      <c r="G17" s="2" t="s">
        <v>10</v>
      </c>
      <c r="H17" s="2">
        <v>1</v>
      </c>
      <c r="I17" s="2">
        <v>0</v>
      </c>
    </row>
    <row r="18" spans="1:9" x14ac:dyDescent="0.25">
      <c r="A18" s="2" t="s">
        <v>163</v>
      </c>
      <c r="C18" s="2">
        <v>85</v>
      </c>
      <c r="D18" s="2" t="s">
        <v>9</v>
      </c>
      <c r="E18" s="3">
        <v>46080.530763888892</v>
      </c>
      <c r="F18" s="2">
        <v>139995</v>
      </c>
      <c r="G18" s="2" t="s">
        <v>10</v>
      </c>
      <c r="H18" s="2">
        <v>1</v>
      </c>
      <c r="I18" s="2">
        <v>0</v>
      </c>
    </row>
    <row r="19" spans="1:9" x14ac:dyDescent="0.25">
      <c r="A19" s="2" t="s">
        <v>159</v>
      </c>
      <c r="C19" s="2">
        <v>88</v>
      </c>
      <c r="D19" s="2" t="s">
        <v>9</v>
      </c>
      <c r="E19" s="3">
        <v>46080.530752314815</v>
      </c>
      <c r="F19" s="2">
        <v>139995</v>
      </c>
      <c r="G19" s="2" t="s">
        <v>10</v>
      </c>
      <c r="H19" s="2">
        <v>1</v>
      </c>
      <c r="I19" s="2">
        <v>0</v>
      </c>
    </row>
    <row r="20" spans="1:9" x14ac:dyDescent="0.25">
      <c r="A20" s="2" t="s">
        <v>185</v>
      </c>
      <c r="C20" s="2">
        <v>92</v>
      </c>
      <c r="D20" s="2" t="s">
        <v>9</v>
      </c>
      <c r="E20" s="3">
        <v>46080.530798611115</v>
      </c>
      <c r="F20" s="2">
        <v>194284</v>
      </c>
      <c r="G20" s="2" t="s">
        <v>10</v>
      </c>
      <c r="H20" s="2">
        <v>0</v>
      </c>
      <c r="I20" s="2">
        <v>2</v>
      </c>
    </row>
    <row r="21" spans="1:9" x14ac:dyDescent="0.25">
      <c r="A21" s="2" t="s">
        <v>172</v>
      </c>
      <c r="C21" s="2">
        <v>88</v>
      </c>
      <c r="D21" s="2" t="s">
        <v>9</v>
      </c>
      <c r="E21" s="3">
        <v>46080.530787037038</v>
      </c>
      <c r="F21" s="2">
        <v>196969</v>
      </c>
      <c r="G21" s="2" t="s">
        <v>10</v>
      </c>
      <c r="H21" s="2">
        <v>0</v>
      </c>
      <c r="I21" s="2">
        <v>174</v>
      </c>
    </row>
    <row r="22" spans="1:9" x14ac:dyDescent="0.25">
      <c r="A22" s="2" t="s">
        <v>152</v>
      </c>
      <c r="C22" s="2">
        <v>92</v>
      </c>
      <c r="D22" s="2" t="s">
        <v>9</v>
      </c>
      <c r="E22" s="3">
        <v>46080.530798611115</v>
      </c>
      <c r="F22" s="2">
        <v>194841</v>
      </c>
      <c r="G22" s="2" t="s">
        <v>10</v>
      </c>
      <c r="H22" s="2">
        <v>2</v>
      </c>
      <c r="I22" s="2">
        <v>58</v>
      </c>
    </row>
    <row r="23" spans="1:9" x14ac:dyDescent="0.25">
      <c r="A23" s="2" t="s">
        <v>142</v>
      </c>
      <c r="C23" s="2">
        <v>92</v>
      </c>
      <c r="D23" s="2" t="s">
        <v>9</v>
      </c>
      <c r="E23" s="3">
        <v>46080.530752314815</v>
      </c>
      <c r="F23" s="2">
        <v>4856</v>
      </c>
      <c r="G23" s="2" t="s">
        <v>10</v>
      </c>
      <c r="H23" s="2">
        <v>2</v>
      </c>
      <c r="I23" s="2">
        <v>1</v>
      </c>
    </row>
    <row r="24" spans="1:9" x14ac:dyDescent="0.25">
      <c r="A24" s="2" t="s">
        <v>121</v>
      </c>
      <c r="C24" s="2">
        <v>60</v>
      </c>
      <c r="D24" s="2" t="s">
        <v>11</v>
      </c>
      <c r="E24" s="3">
        <v>46080.530763888892</v>
      </c>
      <c r="F24" s="2">
        <v>13996</v>
      </c>
      <c r="G24" s="2" t="s">
        <v>10</v>
      </c>
      <c r="H24" s="2">
        <v>0</v>
      </c>
      <c r="I24" s="2">
        <v>0</v>
      </c>
    </row>
    <row r="25" spans="1:9" x14ac:dyDescent="0.25">
      <c r="A25" s="2" t="s">
        <v>121</v>
      </c>
      <c r="C25" s="2">
        <v>22</v>
      </c>
      <c r="D25" s="2" t="s">
        <v>11</v>
      </c>
      <c r="E25" s="3">
        <v>46080.530763888892</v>
      </c>
      <c r="F25" s="2">
        <v>14034</v>
      </c>
      <c r="G25" s="2" t="s">
        <v>10</v>
      </c>
      <c r="H25" s="2">
        <v>0</v>
      </c>
      <c r="I25" s="2">
        <v>0</v>
      </c>
    </row>
    <row r="26" spans="1:9" x14ac:dyDescent="0.25">
      <c r="A26" s="2" t="s">
        <v>121</v>
      </c>
      <c r="C26" s="2">
        <v>78</v>
      </c>
      <c r="D26" s="2" t="s">
        <v>9</v>
      </c>
      <c r="E26" s="3">
        <v>46080.559351851851</v>
      </c>
      <c r="F26" s="2">
        <v>13834</v>
      </c>
      <c r="G26" s="2" t="s">
        <v>10</v>
      </c>
      <c r="H26" s="2">
        <v>3</v>
      </c>
      <c r="I26" s="2">
        <v>0</v>
      </c>
    </row>
    <row r="27" spans="1:9" x14ac:dyDescent="0.25">
      <c r="A27" s="2" t="s">
        <v>181</v>
      </c>
      <c r="C27" s="2">
        <v>85</v>
      </c>
      <c r="D27" s="2" t="s">
        <v>9</v>
      </c>
      <c r="E27" s="3">
        <v>46080.530787037038</v>
      </c>
      <c r="F27" s="2">
        <v>473471</v>
      </c>
      <c r="G27" s="2" t="s">
        <v>10</v>
      </c>
      <c r="H27" s="2">
        <v>0</v>
      </c>
      <c r="I27" s="2">
        <v>0</v>
      </c>
    </row>
    <row r="28" spans="1:9" x14ac:dyDescent="0.25">
      <c r="A28" s="2" t="s">
        <v>120</v>
      </c>
      <c r="C28" s="2">
        <v>92</v>
      </c>
      <c r="D28" s="2" t="s">
        <v>9</v>
      </c>
      <c r="E28" s="3">
        <v>46080.530787037038</v>
      </c>
      <c r="F28" s="2">
        <v>473415</v>
      </c>
      <c r="G28" s="2" t="s">
        <v>10</v>
      </c>
      <c r="H28" s="2">
        <v>0</v>
      </c>
      <c r="I28" s="2">
        <v>0</v>
      </c>
    </row>
    <row r="29" spans="1:9" x14ac:dyDescent="0.25">
      <c r="A29" s="2" t="s">
        <v>145</v>
      </c>
      <c r="C29" s="2">
        <v>85</v>
      </c>
      <c r="D29" s="2" t="s">
        <v>9</v>
      </c>
      <c r="E29" s="3">
        <v>46080.558842592596</v>
      </c>
      <c r="F29" s="2">
        <v>473537</v>
      </c>
      <c r="G29" s="2" t="s">
        <v>10</v>
      </c>
      <c r="H29" s="2">
        <v>0</v>
      </c>
      <c r="I29" s="2">
        <v>0</v>
      </c>
    </row>
    <row r="30" spans="1:9" x14ac:dyDescent="0.25">
      <c r="A30" s="2" t="s">
        <v>182</v>
      </c>
      <c r="C30" s="2">
        <v>78</v>
      </c>
      <c r="D30" s="2" t="s">
        <v>9</v>
      </c>
      <c r="E30" s="3">
        <v>46080.530787037038</v>
      </c>
      <c r="F30" s="2">
        <v>473460</v>
      </c>
      <c r="G30" s="2" t="s">
        <v>10</v>
      </c>
      <c r="H30" s="2">
        <v>0</v>
      </c>
      <c r="I30" s="2">
        <v>0</v>
      </c>
    </row>
    <row r="31" spans="1:9" x14ac:dyDescent="0.25">
      <c r="A31" s="2" t="s">
        <v>151</v>
      </c>
      <c r="C31" s="2">
        <v>78</v>
      </c>
      <c r="D31" s="2" t="s">
        <v>9</v>
      </c>
      <c r="E31" s="3">
        <v>46080.530752314815</v>
      </c>
      <c r="F31" s="2">
        <v>473494</v>
      </c>
      <c r="G31" s="2" t="s">
        <v>10</v>
      </c>
      <c r="H31" s="2">
        <v>1</v>
      </c>
      <c r="I31" s="2">
        <v>1</v>
      </c>
    </row>
    <row r="32" spans="1:9" x14ac:dyDescent="0.25">
      <c r="A32" s="2" t="s">
        <v>171</v>
      </c>
      <c r="C32" s="2">
        <v>85</v>
      </c>
      <c r="D32" s="2" t="s">
        <v>9</v>
      </c>
      <c r="E32" s="3">
        <v>46080.537488425922</v>
      </c>
      <c r="F32" s="2">
        <v>473779</v>
      </c>
      <c r="G32" s="2" t="s">
        <v>10</v>
      </c>
      <c r="H32" s="2">
        <v>0</v>
      </c>
      <c r="I32" s="2">
        <v>0</v>
      </c>
    </row>
    <row r="33" spans="1:9" x14ac:dyDescent="0.25">
      <c r="A33" s="2" t="s">
        <v>113</v>
      </c>
      <c r="C33" s="2">
        <v>92</v>
      </c>
      <c r="D33" s="2" t="s">
        <v>9</v>
      </c>
      <c r="E33" s="3">
        <v>46080.530798611115</v>
      </c>
      <c r="F33" s="2">
        <v>61581</v>
      </c>
      <c r="G33" s="2" t="s">
        <v>10</v>
      </c>
      <c r="H33" s="2">
        <v>0</v>
      </c>
      <c r="I33" s="2">
        <v>60</v>
      </c>
    </row>
    <row r="34" spans="1:9" x14ac:dyDescent="0.25">
      <c r="A34" s="2" t="s">
        <v>134</v>
      </c>
      <c r="C34" s="2">
        <v>92</v>
      </c>
      <c r="D34" s="2" t="s">
        <v>9</v>
      </c>
      <c r="E34" s="3">
        <v>46080.530787037038</v>
      </c>
      <c r="F34" s="2">
        <v>473779</v>
      </c>
      <c r="G34" s="2" t="s">
        <v>10</v>
      </c>
      <c r="H34" s="2">
        <v>0</v>
      </c>
      <c r="I34" s="2">
        <v>0</v>
      </c>
    </row>
    <row r="35" spans="1:9" x14ac:dyDescent="0.25">
      <c r="A35" s="2" t="s">
        <v>125</v>
      </c>
      <c r="C35" s="2">
        <v>62</v>
      </c>
      <c r="D35" s="2" t="s">
        <v>11</v>
      </c>
      <c r="E35" s="3">
        <v>46080.530798611115</v>
      </c>
      <c r="F35" s="2">
        <v>199428</v>
      </c>
      <c r="G35" s="2" t="s">
        <v>10</v>
      </c>
      <c r="H35" s="2">
        <v>0</v>
      </c>
      <c r="I35" s="2">
        <v>0</v>
      </c>
    </row>
    <row r="36" spans="1:9" x14ac:dyDescent="0.25">
      <c r="A36" s="2" t="s">
        <v>111</v>
      </c>
      <c r="C36" s="2">
        <v>90</v>
      </c>
      <c r="D36" s="2" t="s">
        <v>9</v>
      </c>
      <c r="E36" s="3">
        <v>46080.530763888892</v>
      </c>
      <c r="F36" s="2">
        <v>32513</v>
      </c>
      <c r="G36" s="2" t="s">
        <v>10</v>
      </c>
      <c r="H36" s="2">
        <v>1</v>
      </c>
      <c r="I36" s="2">
        <v>350</v>
      </c>
    </row>
    <row r="37" spans="1:9" x14ac:dyDescent="0.25">
      <c r="A37" s="2" t="s">
        <v>133</v>
      </c>
      <c r="C37" s="2">
        <v>92</v>
      </c>
      <c r="D37" s="2" t="s">
        <v>9</v>
      </c>
      <c r="E37" s="3">
        <v>46080.419212962966</v>
      </c>
      <c r="F37" s="2">
        <v>89258</v>
      </c>
      <c r="G37" s="2" t="s">
        <v>10</v>
      </c>
      <c r="H37" s="2">
        <v>0</v>
      </c>
      <c r="I37" s="2">
        <v>0</v>
      </c>
    </row>
    <row r="38" spans="1:9" x14ac:dyDescent="0.25">
      <c r="A38" s="2" t="s">
        <v>133</v>
      </c>
      <c r="C38" s="2">
        <v>90</v>
      </c>
      <c r="D38" s="2" t="s">
        <v>9</v>
      </c>
      <c r="E38" s="3">
        <v>46080.530752314815</v>
      </c>
      <c r="F38" s="2">
        <v>85440</v>
      </c>
      <c r="G38" s="2" t="s">
        <v>10</v>
      </c>
      <c r="H38" s="2">
        <v>0</v>
      </c>
      <c r="I38" s="2">
        <v>77</v>
      </c>
    </row>
    <row r="39" spans="1:9" x14ac:dyDescent="0.25">
      <c r="A39" s="2" t="s">
        <v>133</v>
      </c>
      <c r="C39" s="2">
        <v>90</v>
      </c>
      <c r="D39" s="2" t="s">
        <v>9</v>
      </c>
      <c r="E39" s="3">
        <v>46080.530787037038</v>
      </c>
      <c r="F39" s="2">
        <v>71227</v>
      </c>
      <c r="G39" s="2" t="s">
        <v>10</v>
      </c>
      <c r="H39" s="2">
        <v>0</v>
      </c>
      <c r="I39" s="2">
        <v>0</v>
      </c>
    </row>
    <row r="40" spans="1:9" x14ac:dyDescent="0.25">
      <c r="A40" s="2" t="s">
        <v>133</v>
      </c>
      <c r="C40" s="2">
        <v>92</v>
      </c>
      <c r="D40" s="2" t="s">
        <v>9</v>
      </c>
      <c r="E40" s="3">
        <v>46080.425277777773</v>
      </c>
      <c r="F40" s="2">
        <v>91942</v>
      </c>
      <c r="G40" s="2" t="s">
        <v>10</v>
      </c>
      <c r="H40" s="2">
        <v>0</v>
      </c>
      <c r="I40" s="2">
        <v>90</v>
      </c>
    </row>
    <row r="41" spans="1:9" x14ac:dyDescent="0.25">
      <c r="A41" s="2" t="s">
        <v>124</v>
      </c>
      <c r="C41" s="2">
        <v>88</v>
      </c>
      <c r="D41" s="2" t="s">
        <v>9</v>
      </c>
      <c r="E41" s="3">
        <v>46080.530763888892</v>
      </c>
      <c r="F41" s="2">
        <v>70803</v>
      </c>
      <c r="G41" s="2" t="s">
        <v>10</v>
      </c>
      <c r="H41" s="2">
        <v>0</v>
      </c>
      <c r="I41" s="2">
        <v>0</v>
      </c>
    </row>
    <row r="42" spans="1:9" x14ac:dyDescent="0.25">
      <c r="A42" s="2" t="s">
        <v>148</v>
      </c>
      <c r="C42" s="2">
        <v>85</v>
      </c>
      <c r="D42" s="2" t="s">
        <v>9</v>
      </c>
      <c r="E42" s="3">
        <v>46080.530763888892</v>
      </c>
      <c r="F42" s="2">
        <v>122616</v>
      </c>
      <c r="G42" s="2" t="s">
        <v>10</v>
      </c>
      <c r="H42" s="2">
        <v>0</v>
      </c>
      <c r="I42" s="2">
        <v>546</v>
      </c>
    </row>
    <row r="43" spans="1:9" x14ac:dyDescent="0.25">
      <c r="A43" s="2" t="s">
        <v>176</v>
      </c>
      <c r="C43" s="2">
        <v>85</v>
      </c>
      <c r="D43" s="2" t="s">
        <v>9</v>
      </c>
      <c r="E43" s="3">
        <v>46080.530763888892</v>
      </c>
      <c r="F43" s="2">
        <v>84671</v>
      </c>
      <c r="G43" s="2" t="s">
        <v>10</v>
      </c>
      <c r="H43" s="2">
        <v>0</v>
      </c>
      <c r="I43" s="2">
        <v>144</v>
      </c>
    </row>
    <row r="44" spans="1:9" x14ac:dyDescent="0.25">
      <c r="A44" s="2" t="s">
        <v>116</v>
      </c>
      <c r="C44" s="2">
        <v>62</v>
      </c>
      <c r="D44" s="2" t="s">
        <v>11</v>
      </c>
      <c r="E44" s="3">
        <v>46080.530787037038</v>
      </c>
      <c r="F44" s="2">
        <v>1142839</v>
      </c>
      <c r="G44" s="2" t="s">
        <v>10</v>
      </c>
      <c r="H44" s="2">
        <v>0</v>
      </c>
      <c r="I44" s="2">
        <v>0</v>
      </c>
    </row>
    <row r="45" spans="1:9" x14ac:dyDescent="0.25">
      <c r="A45" s="2" t="s">
        <v>116</v>
      </c>
      <c r="C45" s="2">
        <v>28</v>
      </c>
      <c r="D45" s="2" t="s">
        <v>11</v>
      </c>
      <c r="E45" s="3">
        <v>46080.530787037038</v>
      </c>
      <c r="F45" s="2">
        <v>1142879</v>
      </c>
      <c r="G45" s="2" t="s">
        <v>10</v>
      </c>
      <c r="H45" s="2">
        <v>0</v>
      </c>
      <c r="I45" s="2">
        <v>0</v>
      </c>
    </row>
    <row r="46" spans="1:9" x14ac:dyDescent="0.25">
      <c r="A46" s="2" t="s">
        <v>116</v>
      </c>
      <c r="C46" s="2">
        <v>25</v>
      </c>
      <c r="D46" s="2" t="s">
        <v>11</v>
      </c>
      <c r="E46" s="3">
        <v>46080.530787037038</v>
      </c>
      <c r="F46" s="2">
        <v>2284671</v>
      </c>
      <c r="G46" s="2" t="s">
        <v>10</v>
      </c>
      <c r="H46" s="2">
        <v>0</v>
      </c>
      <c r="I46" s="2">
        <v>0</v>
      </c>
    </row>
    <row r="47" spans="1:9" x14ac:dyDescent="0.25">
      <c r="A47" s="2" t="s">
        <v>119</v>
      </c>
      <c r="C47" s="2">
        <v>78</v>
      </c>
      <c r="D47" s="2" t="s">
        <v>9</v>
      </c>
      <c r="E47" s="3">
        <v>46080.558842592596</v>
      </c>
      <c r="F47" s="2">
        <v>219179</v>
      </c>
      <c r="G47" s="2" t="s">
        <v>10</v>
      </c>
      <c r="H47" s="2">
        <v>0</v>
      </c>
      <c r="I47" s="2">
        <v>0</v>
      </c>
    </row>
    <row r="48" spans="1:9" x14ac:dyDescent="0.25">
      <c r="A48" s="2" t="s">
        <v>119</v>
      </c>
      <c r="C48" s="2">
        <v>65</v>
      </c>
      <c r="D48" s="2" t="s">
        <v>11</v>
      </c>
      <c r="E48" s="3">
        <v>46080.530787037038</v>
      </c>
      <c r="F48" s="2">
        <v>219210</v>
      </c>
      <c r="G48" s="2" t="s">
        <v>10</v>
      </c>
      <c r="H48" s="2">
        <v>0</v>
      </c>
      <c r="I48" s="2">
        <v>0</v>
      </c>
    </row>
    <row r="49" spans="1:9" x14ac:dyDescent="0.25">
      <c r="A49" s="2" t="s">
        <v>184</v>
      </c>
      <c r="C49" s="2">
        <v>75</v>
      </c>
      <c r="D49" s="2" t="s">
        <v>9</v>
      </c>
      <c r="E49" s="3">
        <v>46080.559212962966</v>
      </c>
      <c r="F49" s="2">
        <v>13790</v>
      </c>
      <c r="G49" s="2" t="s">
        <v>10</v>
      </c>
      <c r="H49" s="2">
        <v>0</v>
      </c>
      <c r="I49" s="2">
        <v>0</v>
      </c>
    </row>
    <row r="50" spans="1:9" x14ac:dyDescent="0.25">
      <c r="A50" s="2" t="s">
        <v>147</v>
      </c>
      <c r="C50" s="2">
        <v>86</v>
      </c>
      <c r="D50" s="2" t="s">
        <v>9</v>
      </c>
      <c r="E50" s="3">
        <v>46080.556064814809</v>
      </c>
      <c r="F50" s="2">
        <v>13943</v>
      </c>
      <c r="G50" s="2" t="s">
        <v>10</v>
      </c>
      <c r="H50" s="2">
        <v>2</v>
      </c>
      <c r="I50" s="2">
        <v>0</v>
      </c>
    </row>
    <row r="51" spans="1:9" x14ac:dyDescent="0.25">
      <c r="A51" s="2" t="s">
        <v>127</v>
      </c>
      <c r="C51" s="2">
        <v>92</v>
      </c>
      <c r="D51" s="2" t="s">
        <v>9</v>
      </c>
      <c r="E51" s="3">
        <v>46080.530763888892</v>
      </c>
      <c r="F51" s="2">
        <v>13900</v>
      </c>
      <c r="G51" s="2" t="s">
        <v>10</v>
      </c>
      <c r="H51" s="2">
        <v>2</v>
      </c>
      <c r="I51" s="2">
        <v>0</v>
      </c>
    </row>
    <row r="52" spans="1:9" x14ac:dyDescent="0.25">
      <c r="A52" s="2" t="s">
        <v>107</v>
      </c>
      <c r="C52" s="2">
        <v>88</v>
      </c>
      <c r="D52" s="2" t="s">
        <v>9</v>
      </c>
      <c r="E52" s="3">
        <v>46080.530752314815</v>
      </c>
      <c r="F52" s="2">
        <v>13897</v>
      </c>
      <c r="G52" s="2" t="s">
        <v>10</v>
      </c>
      <c r="H52" s="2">
        <v>2</v>
      </c>
      <c r="I52" s="2">
        <v>0</v>
      </c>
    </row>
    <row r="53" spans="1:9" x14ac:dyDescent="0.25">
      <c r="A53" s="2" t="s">
        <v>131</v>
      </c>
      <c r="C53" s="2">
        <v>88</v>
      </c>
      <c r="D53" s="2" t="s">
        <v>9</v>
      </c>
      <c r="E53" s="3">
        <v>46080.530798611115</v>
      </c>
      <c r="F53" s="2">
        <v>430440</v>
      </c>
      <c r="G53" s="2" t="s">
        <v>10</v>
      </c>
      <c r="H53" s="2">
        <v>0</v>
      </c>
      <c r="I53" s="2">
        <v>0</v>
      </c>
    </row>
    <row r="54" spans="1:9" x14ac:dyDescent="0.25">
      <c r="A54" s="2" t="s">
        <v>158</v>
      </c>
      <c r="C54" s="2">
        <v>92</v>
      </c>
      <c r="D54" s="2" t="s">
        <v>9</v>
      </c>
      <c r="E54" s="3">
        <v>46080.530763888892</v>
      </c>
      <c r="F54" s="2">
        <v>430950</v>
      </c>
      <c r="G54" s="2" t="s">
        <v>10</v>
      </c>
      <c r="H54" s="2">
        <v>0</v>
      </c>
      <c r="I54" s="2">
        <v>0</v>
      </c>
    </row>
    <row r="55" spans="1:9" x14ac:dyDescent="0.25">
      <c r="A55" s="2" t="s">
        <v>162</v>
      </c>
      <c r="C55" s="2">
        <v>65</v>
      </c>
      <c r="D55" s="2" t="s">
        <v>11</v>
      </c>
      <c r="E55" s="3">
        <v>46080.530798611115</v>
      </c>
      <c r="F55" s="2">
        <v>16380</v>
      </c>
      <c r="G55" s="2" t="s">
        <v>10</v>
      </c>
      <c r="H55" s="2">
        <v>0</v>
      </c>
      <c r="I55" s="2">
        <v>0</v>
      </c>
    </row>
    <row r="56" spans="1:9" x14ac:dyDescent="0.25">
      <c r="A56" s="2" t="s">
        <v>110</v>
      </c>
      <c r="C56" s="2">
        <v>92</v>
      </c>
      <c r="D56" s="2" t="s">
        <v>9</v>
      </c>
      <c r="E56" s="3">
        <v>46080.559351851851</v>
      </c>
      <c r="F56" s="2">
        <v>22413</v>
      </c>
      <c r="G56" s="2" t="s">
        <v>10</v>
      </c>
      <c r="H56" s="2">
        <v>2</v>
      </c>
      <c r="I56" s="2">
        <v>0</v>
      </c>
    </row>
    <row r="57" spans="1:9" x14ac:dyDescent="0.25">
      <c r="A57" s="2" t="s">
        <v>110</v>
      </c>
      <c r="C57" s="2">
        <v>82</v>
      </c>
      <c r="D57" s="2" t="s">
        <v>9</v>
      </c>
      <c r="E57" s="3">
        <v>46080.559212962966</v>
      </c>
      <c r="F57" s="2">
        <v>24037</v>
      </c>
      <c r="G57" s="2" t="s">
        <v>10</v>
      </c>
      <c r="H57" s="2">
        <v>2</v>
      </c>
      <c r="I57" s="2">
        <v>0</v>
      </c>
    </row>
    <row r="58" spans="1:9" x14ac:dyDescent="0.25">
      <c r="A58" s="2" t="s">
        <v>108</v>
      </c>
      <c r="C58" s="2">
        <v>92</v>
      </c>
      <c r="D58" s="2" t="s">
        <v>9</v>
      </c>
      <c r="E58" s="3">
        <v>46080.530763888892</v>
      </c>
      <c r="F58" s="2">
        <v>34259</v>
      </c>
      <c r="G58" s="2" t="s">
        <v>10</v>
      </c>
      <c r="H58" s="2">
        <v>7</v>
      </c>
      <c r="I58" s="2">
        <v>0</v>
      </c>
    </row>
    <row r="59" spans="1:9" x14ac:dyDescent="0.25">
      <c r="A59" s="2" t="s">
        <v>130</v>
      </c>
      <c r="C59" s="2">
        <v>90</v>
      </c>
      <c r="D59" s="2" t="s">
        <v>9</v>
      </c>
      <c r="E59" s="3">
        <v>46080.419062500005</v>
      </c>
      <c r="F59" s="2">
        <v>20350</v>
      </c>
      <c r="G59" s="2" t="s">
        <v>10</v>
      </c>
      <c r="H59" s="2">
        <v>1</v>
      </c>
      <c r="I59" s="2">
        <v>7</v>
      </c>
    </row>
    <row r="60" spans="1:9" x14ac:dyDescent="0.25">
      <c r="A60" s="2" t="s">
        <v>156</v>
      </c>
      <c r="C60" s="2">
        <v>92</v>
      </c>
      <c r="D60" s="2" t="s">
        <v>9</v>
      </c>
      <c r="E60" s="3">
        <v>46080.530763888892</v>
      </c>
      <c r="F60" s="2">
        <v>21489</v>
      </c>
      <c r="G60" s="2" t="s">
        <v>10</v>
      </c>
      <c r="H60" s="2">
        <v>0</v>
      </c>
      <c r="I60" s="2">
        <v>0</v>
      </c>
    </row>
    <row r="61" spans="1:9" x14ac:dyDescent="0.25">
      <c r="A61" s="2" t="s">
        <v>153</v>
      </c>
      <c r="C61" s="2">
        <v>92</v>
      </c>
      <c r="D61" s="2" t="s">
        <v>9</v>
      </c>
      <c r="E61" s="3">
        <v>46080.530752314815</v>
      </c>
      <c r="F61" s="2">
        <v>21800</v>
      </c>
      <c r="G61" s="2" t="s">
        <v>10</v>
      </c>
      <c r="H61" s="2">
        <v>0</v>
      </c>
      <c r="I61" s="2">
        <v>0</v>
      </c>
    </row>
    <row r="62" spans="1:9" x14ac:dyDescent="0.25">
      <c r="A62" s="2" t="s">
        <v>153</v>
      </c>
      <c r="C62" s="2">
        <v>86</v>
      </c>
      <c r="D62" s="2" t="s">
        <v>9</v>
      </c>
      <c r="E62" s="3">
        <v>46080.530798611115</v>
      </c>
      <c r="F62" s="2">
        <v>21800</v>
      </c>
      <c r="G62" s="2" t="s">
        <v>10</v>
      </c>
      <c r="H62" s="2">
        <v>0</v>
      </c>
      <c r="I62" s="2">
        <v>0</v>
      </c>
    </row>
    <row r="63" spans="1:9" x14ac:dyDescent="0.25">
      <c r="A63" s="2" t="s">
        <v>188</v>
      </c>
      <c r="C63" s="2">
        <v>92</v>
      </c>
      <c r="D63" s="2" t="s">
        <v>9</v>
      </c>
      <c r="E63" s="3">
        <v>46080.537812499999</v>
      </c>
      <c r="F63" s="2">
        <v>59337</v>
      </c>
      <c r="G63" s="2" t="s">
        <v>10</v>
      </c>
      <c r="H63" s="2">
        <v>0</v>
      </c>
      <c r="I63" s="2">
        <v>77</v>
      </c>
    </row>
    <row r="64" spans="1:9" x14ac:dyDescent="0.25">
      <c r="A64" s="2" t="s">
        <v>135</v>
      </c>
      <c r="C64" s="2">
        <v>92</v>
      </c>
      <c r="D64" s="2" t="s">
        <v>9</v>
      </c>
      <c r="E64" s="3">
        <v>46080.530763888892</v>
      </c>
      <c r="F64" s="2">
        <v>58741</v>
      </c>
      <c r="G64" s="2" t="s">
        <v>10</v>
      </c>
      <c r="H64" s="2">
        <v>0</v>
      </c>
      <c r="I64" s="2">
        <v>115</v>
      </c>
    </row>
    <row r="65" spans="1:9" x14ac:dyDescent="0.25">
      <c r="A65" s="2" t="s">
        <v>104</v>
      </c>
      <c r="C65" s="2">
        <v>92</v>
      </c>
      <c r="D65" s="2" t="s">
        <v>9</v>
      </c>
      <c r="E65" s="3">
        <v>46080.530763888892</v>
      </c>
      <c r="F65" s="2">
        <v>55416</v>
      </c>
      <c r="G65" s="2" t="s">
        <v>10</v>
      </c>
      <c r="H65" s="2">
        <v>0</v>
      </c>
      <c r="I65" s="2">
        <v>0</v>
      </c>
    </row>
    <row r="66" spans="1:9" x14ac:dyDescent="0.25">
      <c r="A66" s="2" t="s">
        <v>183</v>
      </c>
      <c r="C66" s="2">
        <v>92</v>
      </c>
      <c r="D66" s="2" t="s">
        <v>9</v>
      </c>
      <c r="E66" s="3">
        <v>46080.530763888892</v>
      </c>
      <c r="F66" s="2">
        <v>55644</v>
      </c>
      <c r="G66" s="2" t="s">
        <v>10</v>
      </c>
      <c r="H66" s="2">
        <v>0</v>
      </c>
      <c r="I66" s="2">
        <v>0</v>
      </c>
    </row>
    <row r="67" spans="1:9" x14ac:dyDescent="0.25">
      <c r="A67" s="2" t="s">
        <v>122</v>
      </c>
      <c r="C67" s="2">
        <v>92</v>
      </c>
      <c r="D67" s="2" t="s">
        <v>9</v>
      </c>
      <c r="E67" s="3">
        <v>46080.530752314815</v>
      </c>
      <c r="F67" s="2">
        <v>61628</v>
      </c>
      <c r="G67" s="2" t="s">
        <v>10</v>
      </c>
      <c r="H67" s="2">
        <v>0</v>
      </c>
      <c r="I67" s="2">
        <v>104</v>
      </c>
    </row>
    <row r="68" spans="1:9" x14ac:dyDescent="0.25">
      <c r="A68" s="2" t="s">
        <v>187</v>
      </c>
      <c r="C68" s="2">
        <v>92</v>
      </c>
      <c r="D68" s="2" t="s">
        <v>9</v>
      </c>
      <c r="E68" s="3">
        <v>46080.447835648149</v>
      </c>
      <c r="F68" s="2">
        <v>54815</v>
      </c>
      <c r="G68" s="2" t="s">
        <v>10</v>
      </c>
      <c r="H68" s="2">
        <v>0</v>
      </c>
      <c r="I68" s="2">
        <v>0</v>
      </c>
    </row>
    <row r="69" spans="1:9" x14ac:dyDescent="0.25">
      <c r="A69" s="2" t="s">
        <v>160</v>
      </c>
      <c r="C69" s="2">
        <v>92</v>
      </c>
      <c r="D69" s="2" t="s">
        <v>9</v>
      </c>
      <c r="E69" s="3">
        <v>46080.411759259259</v>
      </c>
      <c r="F69" s="2">
        <v>54704</v>
      </c>
      <c r="G69" s="2" t="s">
        <v>10</v>
      </c>
      <c r="H69" s="2">
        <v>0</v>
      </c>
      <c r="I69" s="2">
        <v>0</v>
      </c>
    </row>
    <row r="70" spans="1:9" x14ac:dyDescent="0.25">
      <c r="A70" s="2" t="s">
        <v>109</v>
      </c>
      <c r="C70" s="2">
        <v>92</v>
      </c>
      <c r="D70" s="2" t="s">
        <v>9</v>
      </c>
      <c r="E70" s="3">
        <v>46080.530787037038</v>
      </c>
      <c r="F70" s="2">
        <v>43094</v>
      </c>
      <c r="G70" s="2" t="s">
        <v>10</v>
      </c>
      <c r="H70" s="2">
        <v>0</v>
      </c>
      <c r="I70" s="2">
        <v>1</v>
      </c>
    </row>
    <row r="71" spans="1:9" x14ac:dyDescent="0.25">
      <c r="A71" s="2" t="s">
        <v>109</v>
      </c>
      <c r="C71" s="2">
        <v>92</v>
      </c>
      <c r="D71" s="2" t="s">
        <v>9</v>
      </c>
      <c r="E71" s="3">
        <v>46080.537812499999</v>
      </c>
      <c r="F71" s="2">
        <v>43075</v>
      </c>
      <c r="G71" s="2" t="s">
        <v>10</v>
      </c>
      <c r="H71" s="2">
        <v>0</v>
      </c>
      <c r="I71" s="2">
        <v>1</v>
      </c>
    </row>
    <row r="72" spans="1:9" x14ac:dyDescent="0.25">
      <c r="A72" s="2" t="s">
        <v>179</v>
      </c>
      <c r="C72" s="2">
        <v>90</v>
      </c>
      <c r="D72" s="2" t="s">
        <v>9</v>
      </c>
      <c r="E72" s="3">
        <v>46080.559490740736</v>
      </c>
      <c r="F72" s="2">
        <v>67051</v>
      </c>
      <c r="G72" s="2" t="s">
        <v>10</v>
      </c>
      <c r="H72" s="2">
        <v>5</v>
      </c>
      <c r="I72" s="2">
        <v>0</v>
      </c>
    </row>
    <row r="73" spans="1:9" x14ac:dyDescent="0.25">
      <c r="A73" s="2" t="s">
        <v>150</v>
      </c>
      <c r="C73" s="2">
        <v>85</v>
      </c>
      <c r="D73" s="2" t="s">
        <v>9</v>
      </c>
      <c r="E73" s="3">
        <v>46080.389872685184</v>
      </c>
      <c r="F73" s="2">
        <v>48229</v>
      </c>
      <c r="G73" s="2" t="s">
        <v>10</v>
      </c>
      <c r="H73" s="2">
        <v>0</v>
      </c>
      <c r="I73" s="2">
        <v>0</v>
      </c>
    </row>
    <row r="74" spans="1:9" x14ac:dyDescent="0.25">
      <c r="A74" s="2" t="s">
        <v>155</v>
      </c>
      <c r="C74" s="2">
        <v>92</v>
      </c>
      <c r="D74" s="2" t="s">
        <v>9</v>
      </c>
      <c r="E74" s="3">
        <v>46080.559490740736</v>
      </c>
      <c r="F74" s="2">
        <v>65354</v>
      </c>
      <c r="G74" s="2" t="s">
        <v>10</v>
      </c>
      <c r="H74" s="2">
        <v>3</v>
      </c>
      <c r="I74" s="2">
        <v>0</v>
      </c>
    </row>
    <row r="75" spans="1:9" x14ac:dyDescent="0.25">
      <c r="A75" s="2" t="s">
        <v>138</v>
      </c>
      <c r="C75" s="2">
        <v>88</v>
      </c>
      <c r="D75" s="2" t="s">
        <v>9</v>
      </c>
      <c r="E75" s="3">
        <v>46080.530763888892</v>
      </c>
      <c r="F75" s="2">
        <v>117682</v>
      </c>
      <c r="G75" s="2" t="s">
        <v>10</v>
      </c>
      <c r="H75" s="2">
        <v>1</v>
      </c>
      <c r="I75" s="2">
        <v>122</v>
      </c>
    </row>
    <row r="76" spans="1:9" x14ac:dyDescent="0.25">
      <c r="A76" s="2" t="s">
        <v>114</v>
      </c>
      <c r="C76" s="2">
        <v>15</v>
      </c>
      <c r="D76" s="2" t="s">
        <v>11</v>
      </c>
      <c r="E76" s="3">
        <v>46080.530787037038</v>
      </c>
      <c r="F76" s="2">
        <v>60845</v>
      </c>
      <c r="G76" s="2" t="s">
        <v>10</v>
      </c>
      <c r="H76" s="2">
        <v>0</v>
      </c>
      <c r="I76" s="2">
        <v>0</v>
      </c>
    </row>
    <row r="77" spans="1:9" x14ac:dyDescent="0.25">
      <c r="A77" s="2" t="s">
        <v>186</v>
      </c>
      <c r="C77" s="2">
        <v>28</v>
      </c>
      <c r="D77" s="2" t="s">
        <v>11</v>
      </c>
      <c r="E77" s="3">
        <v>46080.530752314815</v>
      </c>
      <c r="F77" s="2">
        <v>189054</v>
      </c>
      <c r="G77" s="2" t="s">
        <v>10</v>
      </c>
      <c r="H77" s="2">
        <v>0</v>
      </c>
      <c r="I77" s="2">
        <v>0</v>
      </c>
    </row>
    <row r="78" spans="1:9" x14ac:dyDescent="0.25">
      <c r="A78" s="2" t="s">
        <v>146</v>
      </c>
      <c r="C78" s="2">
        <v>24</v>
      </c>
      <c r="D78" s="2" t="s">
        <v>11</v>
      </c>
      <c r="E78" s="3">
        <v>46080.530798611115</v>
      </c>
      <c r="F78" s="2">
        <v>206897</v>
      </c>
      <c r="G78" s="2" t="s">
        <v>10</v>
      </c>
      <c r="H78" s="2">
        <v>0</v>
      </c>
      <c r="I78" s="2">
        <v>0</v>
      </c>
    </row>
    <row r="79" spans="1:9" x14ac:dyDescent="0.25">
      <c r="A79" s="2" t="s">
        <v>154</v>
      </c>
      <c r="C79" s="2">
        <v>68</v>
      </c>
      <c r="D79" s="2" t="s">
        <v>11</v>
      </c>
      <c r="E79" s="3">
        <v>46080.556087962963</v>
      </c>
      <c r="F79" s="2">
        <v>224945</v>
      </c>
      <c r="G79" s="2" t="s">
        <v>10</v>
      </c>
      <c r="H79" s="2">
        <v>0</v>
      </c>
      <c r="I79" s="2">
        <v>0</v>
      </c>
    </row>
    <row r="80" spans="1:9" x14ac:dyDescent="0.25">
      <c r="A80" s="2" t="s">
        <v>164</v>
      </c>
      <c r="C80" s="2">
        <v>25</v>
      </c>
      <c r="D80" s="2" t="s">
        <v>11</v>
      </c>
      <c r="E80" s="3">
        <v>46080.530787037038</v>
      </c>
      <c r="F80" s="2">
        <v>130902</v>
      </c>
      <c r="G80" s="2" t="s">
        <v>10</v>
      </c>
      <c r="H80" s="2">
        <v>0</v>
      </c>
      <c r="I80" s="2">
        <v>0</v>
      </c>
    </row>
    <row r="81" spans="1:9" x14ac:dyDescent="0.25">
      <c r="A81" s="2" t="s">
        <v>141</v>
      </c>
      <c r="C81" s="2">
        <v>32</v>
      </c>
      <c r="D81" s="2" t="s">
        <v>11</v>
      </c>
      <c r="E81" s="3">
        <v>46080.530763888892</v>
      </c>
      <c r="F81" s="2">
        <v>511551</v>
      </c>
      <c r="G81" s="2" t="s">
        <v>10</v>
      </c>
      <c r="H81" s="2">
        <v>0</v>
      </c>
      <c r="I81" s="2">
        <v>0</v>
      </c>
    </row>
    <row r="82" spans="1:9" x14ac:dyDescent="0.25">
      <c r="A82" s="2" t="s">
        <v>141</v>
      </c>
      <c r="C82" s="2">
        <v>20</v>
      </c>
      <c r="D82" s="2" t="s">
        <v>11</v>
      </c>
      <c r="E82" s="3">
        <v>46080.530752314815</v>
      </c>
      <c r="F82" s="2">
        <v>159214</v>
      </c>
      <c r="G82" s="2" t="s">
        <v>10</v>
      </c>
      <c r="H82" s="2">
        <v>0</v>
      </c>
      <c r="I82" s="2">
        <v>0</v>
      </c>
    </row>
    <row r="83" spans="1:9" x14ac:dyDescent="0.25">
      <c r="A83" s="2" t="s">
        <v>117</v>
      </c>
      <c r="C83" s="2">
        <v>65</v>
      </c>
      <c r="D83" s="2" t="s">
        <v>11</v>
      </c>
      <c r="E83" s="3">
        <v>46080.530752314815</v>
      </c>
      <c r="F83" s="2">
        <v>76322</v>
      </c>
      <c r="G83" s="2" t="s">
        <v>10</v>
      </c>
      <c r="H83" s="2">
        <v>0</v>
      </c>
      <c r="I83" s="2">
        <v>0</v>
      </c>
    </row>
    <row r="84" spans="1:9" x14ac:dyDescent="0.25">
      <c r="A84" s="2" t="s">
        <v>168</v>
      </c>
      <c r="C84" s="2">
        <v>60</v>
      </c>
      <c r="D84" s="2" t="s">
        <v>11</v>
      </c>
      <c r="E84" s="3">
        <v>46080.530752314815</v>
      </c>
      <c r="F84" s="2">
        <v>91528</v>
      </c>
      <c r="G84" s="2" t="s">
        <v>10</v>
      </c>
      <c r="H84" s="2">
        <v>0</v>
      </c>
      <c r="I84" s="2">
        <v>0</v>
      </c>
    </row>
    <row r="85" spans="1:9" x14ac:dyDescent="0.25">
      <c r="A85" s="2" t="s">
        <v>180</v>
      </c>
      <c r="C85" s="2">
        <v>92</v>
      </c>
      <c r="D85" s="2" t="s">
        <v>9</v>
      </c>
      <c r="E85" s="3">
        <v>46080.560104166667</v>
      </c>
      <c r="F85" s="2">
        <v>546438</v>
      </c>
      <c r="G85" s="2" t="s">
        <v>10</v>
      </c>
      <c r="H85" s="2">
        <v>0</v>
      </c>
      <c r="I85" s="2">
        <v>0</v>
      </c>
    </row>
    <row r="86" spans="1:9" x14ac:dyDescent="0.25">
      <c r="A86" s="2" t="s">
        <v>175</v>
      </c>
      <c r="C86" s="2">
        <v>78</v>
      </c>
      <c r="D86" s="2" t="s">
        <v>9</v>
      </c>
      <c r="E86" s="3">
        <v>46080.530763888892</v>
      </c>
      <c r="F86" s="2">
        <v>78485</v>
      </c>
      <c r="G86" s="2" t="s">
        <v>10</v>
      </c>
      <c r="H86" s="2">
        <v>11</v>
      </c>
      <c r="I86" s="2">
        <v>0</v>
      </c>
    </row>
    <row r="87" spans="1:9" x14ac:dyDescent="0.25">
      <c r="A87" s="2" t="s">
        <v>140</v>
      </c>
      <c r="C87" s="2">
        <v>78</v>
      </c>
      <c r="D87" s="2" t="s">
        <v>9</v>
      </c>
      <c r="E87" s="3">
        <v>46080.530763888892</v>
      </c>
      <c r="F87" s="2">
        <v>78193</v>
      </c>
      <c r="G87" s="2" t="s">
        <v>10</v>
      </c>
      <c r="H87" s="2">
        <v>2</v>
      </c>
      <c r="I87" s="2">
        <v>0</v>
      </c>
    </row>
    <row r="88" spans="1:9" x14ac:dyDescent="0.25">
      <c r="A88" s="2" t="s">
        <v>118</v>
      </c>
      <c r="C88" s="2">
        <v>82</v>
      </c>
      <c r="D88" s="2" t="s">
        <v>9</v>
      </c>
      <c r="E88" s="3">
        <v>46080.530787037038</v>
      </c>
      <c r="F88" s="2">
        <v>266390</v>
      </c>
      <c r="G88" s="2" t="s">
        <v>10</v>
      </c>
      <c r="H88" s="2">
        <v>2</v>
      </c>
      <c r="I88" s="2">
        <v>6</v>
      </c>
    </row>
    <row r="89" spans="1:9" x14ac:dyDescent="0.25">
      <c r="A89" s="2" t="s">
        <v>177</v>
      </c>
      <c r="C89" s="2">
        <v>85</v>
      </c>
      <c r="D89" s="2" t="s">
        <v>9</v>
      </c>
      <c r="E89" s="3">
        <v>46080.530752314815</v>
      </c>
      <c r="F89" s="2">
        <v>266386</v>
      </c>
      <c r="G89" s="2" t="s">
        <v>10</v>
      </c>
      <c r="H89" s="2">
        <v>3</v>
      </c>
      <c r="I89" s="2">
        <v>0</v>
      </c>
    </row>
    <row r="90" spans="1:9" x14ac:dyDescent="0.25">
      <c r="A90" s="2" t="s">
        <v>123</v>
      </c>
      <c r="C90" s="2">
        <v>92</v>
      </c>
      <c r="D90" s="2" t="s">
        <v>9</v>
      </c>
      <c r="E90" s="3">
        <v>46080.530752314815</v>
      </c>
      <c r="F90" s="2">
        <v>266331</v>
      </c>
      <c r="G90" s="2" t="s">
        <v>10</v>
      </c>
      <c r="H90" s="2">
        <v>4</v>
      </c>
      <c r="I90" s="2">
        <v>0</v>
      </c>
    </row>
    <row r="91" spans="1:9" x14ac:dyDescent="0.25">
      <c r="A91" s="2" t="s">
        <v>105</v>
      </c>
      <c r="C91" s="2">
        <v>82</v>
      </c>
      <c r="D91" s="2" t="s">
        <v>9</v>
      </c>
      <c r="E91" s="3">
        <v>46080.559629629628</v>
      </c>
      <c r="F91" s="2">
        <v>372335</v>
      </c>
      <c r="G91" s="2" t="s">
        <v>10</v>
      </c>
      <c r="H91" s="2">
        <v>0</v>
      </c>
      <c r="I91" s="2">
        <v>0</v>
      </c>
    </row>
    <row r="92" spans="1:9" x14ac:dyDescent="0.25">
      <c r="A92" s="2" t="s">
        <v>126</v>
      </c>
      <c r="C92" s="2">
        <v>85</v>
      </c>
      <c r="D92" s="2" t="s">
        <v>9</v>
      </c>
      <c r="E92" s="3">
        <v>46080.559629629628</v>
      </c>
      <c r="F92" s="2">
        <v>371334</v>
      </c>
      <c r="G92" s="2" t="s">
        <v>10</v>
      </c>
      <c r="H92" s="2">
        <v>0</v>
      </c>
      <c r="I92" s="2">
        <v>0</v>
      </c>
    </row>
    <row r="93" spans="1:9" x14ac:dyDescent="0.25">
      <c r="A93" s="2" t="s">
        <v>115</v>
      </c>
      <c r="C93" s="2">
        <v>25</v>
      </c>
      <c r="D93" s="2" t="s">
        <v>11</v>
      </c>
      <c r="E93" s="3">
        <v>46080.530763888892</v>
      </c>
      <c r="F93" s="2">
        <v>369642</v>
      </c>
      <c r="G93" s="2" t="s">
        <v>10</v>
      </c>
      <c r="H93" s="2">
        <v>0</v>
      </c>
      <c r="I93" s="2">
        <v>0</v>
      </c>
    </row>
    <row r="94" spans="1:9" x14ac:dyDescent="0.25">
      <c r="A94" s="2" t="s">
        <v>137</v>
      </c>
      <c r="C94" s="2">
        <v>82</v>
      </c>
      <c r="D94" s="2" t="s">
        <v>9</v>
      </c>
      <c r="E94" s="3">
        <v>46080.556087962963</v>
      </c>
      <c r="F94" s="2">
        <v>371241</v>
      </c>
      <c r="G94" s="2" t="s">
        <v>10</v>
      </c>
      <c r="H94" s="2">
        <v>0</v>
      </c>
      <c r="I94" s="2">
        <v>35</v>
      </c>
    </row>
    <row r="95" spans="1:9" x14ac:dyDescent="0.25">
      <c r="A95" s="2" t="s">
        <v>165</v>
      </c>
      <c r="C95" s="2">
        <v>88</v>
      </c>
      <c r="D95" s="2" t="s">
        <v>9</v>
      </c>
      <c r="E95" s="3">
        <v>46080.556087962963</v>
      </c>
      <c r="F95" s="2">
        <v>394840</v>
      </c>
      <c r="G95" s="2" t="s">
        <v>10</v>
      </c>
      <c r="H95" s="2">
        <v>0</v>
      </c>
      <c r="I95" s="2">
        <v>24</v>
      </c>
    </row>
    <row r="96" spans="1:9" x14ac:dyDescent="0.25">
      <c r="A96" s="2" t="s">
        <v>149</v>
      </c>
      <c r="C96" s="2">
        <v>65</v>
      </c>
      <c r="D96" s="2" t="s">
        <v>11</v>
      </c>
      <c r="E96" s="3">
        <v>46080.556087962963</v>
      </c>
      <c r="F96" s="2">
        <v>393465</v>
      </c>
      <c r="G96" s="2" t="s">
        <v>10</v>
      </c>
      <c r="H96" s="2">
        <v>0</v>
      </c>
      <c r="I96" s="2">
        <v>0</v>
      </c>
    </row>
    <row r="97" spans="1:9" x14ac:dyDescent="0.25">
      <c r="A97" s="2" t="s">
        <v>157</v>
      </c>
      <c r="C97" s="2">
        <v>62</v>
      </c>
      <c r="D97" s="2" t="s">
        <v>11</v>
      </c>
      <c r="E97" s="3">
        <v>46080.556087962963</v>
      </c>
      <c r="F97" s="2">
        <v>369857</v>
      </c>
      <c r="G97" s="2" t="s">
        <v>10</v>
      </c>
      <c r="H97" s="2">
        <v>0</v>
      </c>
      <c r="I97" s="2">
        <v>0</v>
      </c>
    </row>
    <row r="98" spans="1:9" x14ac:dyDescent="0.25">
      <c r="A98" s="2" t="s">
        <v>112</v>
      </c>
      <c r="C98" s="2">
        <v>78</v>
      </c>
      <c r="D98" s="2" t="s">
        <v>9</v>
      </c>
      <c r="E98" s="3">
        <v>46080.530763888892</v>
      </c>
      <c r="F98" s="2">
        <v>372673</v>
      </c>
      <c r="G98" s="2" t="s">
        <v>10</v>
      </c>
      <c r="H98" s="2">
        <v>0</v>
      </c>
      <c r="I98" s="2">
        <v>96</v>
      </c>
    </row>
    <row r="99" spans="1:9" x14ac:dyDescent="0.25">
      <c r="A99" s="2" t="s">
        <v>174</v>
      </c>
      <c r="C99" s="2">
        <v>85</v>
      </c>
      <c r="D99" s="2" t="s">
        <v>9</v>
      </c>
      <c r="E99" s="3">
        <v>46080.530763888892</v>
      </c>
      <c r="F99" s="2">
        <v>371598</v>
      </c>
      <c r="G99" s="2" t="s">
        <v>10</v>
      </c>
      <c r="H99" s="2">
        <v>0</v>
      </c>
      <c r="I99" s="2">
        <v>40</v>
      </c>
    </row>
    <row r="100" spans="1:9" x14ac:dyDescent="0.25">
      <c r="A100" s="2" t="s">
        <v>178</v>
      </c>
      <c r="C100" s="2">
        <v>85</v>
      </c>
      <c r="D100" s="2" t="s">
        <v>9</v>
      </c>
      <c r="E100" s="3">
        <v>46080.530798611115</v>
      </c>
      <c r="F100" s="2">
        <v>372936</v>
      </c>
      <c r="G100" s="2" t="s">
        <v>10</v>
      </c>
      <c r="H100" s="2">
        <v>0</v>
      </c>
      <c r="I100" s="2">
        <v>60</v>
      </c>
    </row>
  </sheetData>
  <autoFilter ref="A1:I100" xr:uid="{00000000-0009-0000-0000-000000000000}">
    <sortState xmlns:xlrd2="http://schemas.microsoft.com/office/spreadsheetml/2017/richdata2" ref="A2:I100">
      <sortCondition ref="A1:A100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C2260-70C7-46B0-86CD-7509832F5F60}">
  <sheetPr>
    <outlinePr summaryBelow="0"/>
  </sheetPr>
  <dimension ref="A1:AK495"/>
  <sheetViews>
    <sheetView topLeftCell="AE1" zoomScale="85" zoomScaleNormal="85" workbookViewId="0">
      <pane ySplit="2" topLeftCell="A89" activePane="bottomLeft" state="frozen"/>
      <selection pane="bottomLeft" activeCell="AK470" sqref="AK470"/>
    </sheetView>
  </sheetViews>
  <sheetFormatPr defaultRowHeight="13.8" x14ac:dyDescent="0.25"/>
  <cols>
    <col min="1" max="1" width="81.33203125" style="2" bestFit="1" customWidth="1"/>
    <col min="2" max="2" width="18" style="2" bestFit="1" customWidth="1"/>
    <col min="3" max="3" width="11.88671875" style="2" bestFit="1" customWidth="1"/>
    <col min="4" max="4" width="19.109375" style="2" bestFit="1" customWidth="1"/>
    <col min="5" max="5" width="21.33203125" style="2" bestFit="1" customWidth="1"/>
    <col min="6" max="6" width="16.88671875" style="2" bestFit="1" customWidth="1"/>
    <col min="7" max="7" width="19.109375" style="2" bestFit="1" customWidth="1"/>
    <col min="8" max="8" width="15.77734375" style="2" bestFit="1" customWidth="1"/>
    <col min="9" max="9" width="11.88671875" style="2" bestFit="1" customWidth="1"/>
    <col min="10" max="10" width="12.44140625" style="2" bestFit="1" customWidth="1"/>
    <col min="11" max="11" width="15.77734375" style="2" bestFit="1" customWidth="1"/>
    <col min="12" max="12" width="26.88671875" style="2" bestFit="1" customWidth="1"/>
    <col min="13" max="13" width="22.33203125" style="2" customWidth="1"/>
    <col min="14" max="14" width="26.88671875" style="2" bestFit="1" customWidth="1"/>
    <col min="15" max="15" width="43.5546875" style="2" bestFit="1" customWidth="1"/>
    <col min="16" max="16" width="14.6640625" style="2" bestFit="1" customWidth="1"/>
    <col min="17" max="17" width="31.33203125" style="2" bestFit="1" customWidth="1"/>
    <col min="18" max="18" width="18" style="2" bestFit="1" customWidth="1"/>
    <col min="19" max="19" width="34.6640625" style="2" bestFit="1" customWidth="1"/>
    <col min="20" max="20" width="18" style="2" bestFit="1" customWidth="1"/>
    <col min="21" max="21" width="34.6640625" style="2" bestFit="1" customWidth="1"/>
    <col min="22" max="22" width="12.44140625" style="2" bestFit="1" customWidth="1"/>
    <col min="23" max="23" width="29.109375" style="2" bestFit="1" customWidth="1"/>
    <col min="24" max="24" width="15.77734375" style="2" bestFit="1" customWidth="1"/>
    <col min="25" max="25" width="32.44140625" style="2" bestFit="1" customWidth="1"/>
    <col min="26" max="26" width="19.109375" style="2" bestFit="1" customWidth="1"/>
    <col min="27" max="27" width="35.77734375" style="2" bestFit="1" customWidth="1"/>
    <col min="28" max="28" width="21.33203125" style="2" bestFit="1" customWidth="1"/>
    <col min="29" max="29" width="38" style="2" bestFit="1" customWidth="1"/>
    <col min="30" max="30" width="12.44140625" style="2" bestFit="1" customWidth="1"/>
    <col min="31" max="31" width="29.109375" style="2" bestFit="1" customWidth="1"/>
    <col min="32" max="32" width="20.21875" style="2" bestFit="1" customWidth="1"/>
    <col min="33" max="33" width="36.88671875" style="2" bestFit="1" customWidth="1"/>
    <col min="34" max="34" width="14.6640625" style="2" bestFit="1" customWidth="1"/>
    <col min="35" max="35" width="31.33203125" style="2" bestFit="1" customWidth="1"/>
    <col min="36" max="36" width="32.44140625" style="2" bestFit="1" customWidth="1"/>
    <col min="37" max="37" width="49.109375" style="2" bestFit="1" customWidth="1"/>
    <col min="38" max="16384" width="8.88671875" style="2"/>
  </cols>
  <sheetData>
    <row r="1" spans="1:37" x14ac:dyDescent="0.25">
      <c r="E1" s="2">
        <f>AVERAGE(E3:E495)</f>
        <v>73.435233265719873</v>
      </c>
      <c r="G1" s="2">
        <f>AVERAGE(G3:G495)</f>
        <v>0.5010141987829615</v>
      </c>
      <c r="M1" s="2">
        <f>AVERAGE(M3:M126)</f>
        <v>61.08064516129032</v>
      </c>
      <c r="O1" s="2">
        <f>AVERAGE(O3:O126)</f>
        <v>62.822580645161288</v>
      </c>
      <c r="Q1" s="2">
        <f>AVERAGE(Q3:Q126)</f>
        <v>63.12903225806452</v>
      </c>
      <c r="S1" s="2">
        <f>AVERAGE(S3:S126)</f>
        <v>62.87903225806452</v>
      </c>
      <c r="U1" s="2">
        <f>AVERAGE(U3:U126)</f>
        <v>62.185483870967744</v>
      </c>
      <c r="W1" s="2">
        <f>AVERAGE(W3:W126)</f>
        <v>62.685483870967744</v>
      </c>
      <c r="Y1" s="2">
        <f>AVERAGE(Y3:Y126)</f>
        <v>62.975806451612904</v>
      </c>
      <c r="AA1" s="2">
        <f>AVERAGE(AA3:AA126)</f>
        <v>62.403225806451616</v>
      </c>
      <c r="AC1" s="2">
        <f>AVERAGE(AC3:AC126)</f>
        <v>61.20967741935484</v>
      </c>
      <c r="AE1" s="2">
        <f>AVERAGE(AE3:AE126)</f>
        <v>63.016129032258064</v>
      </c>
      <c r="AG1" s="2">
        <f>AVERAGE(AG3:AG126)</f>
        <v>61.153225806451616</v>
      </c>
      <c r="AI1" s="2">
        <f>AVERAGE(AI3:AI126)</f>
        <v>61</v>
      </c>
      <c r="AK1" s="2">
        <f>AVERAGE(AK3:AK33)</f>
        <v>70.903225806451616</v>
      </c>
    </row>
    <row r="2" spans="1:37" s="100" customFormat="1" ht="41.4" x14ac:dyDescent="0.25">
      <c r="A2" s="100" t="s">
        <v>0</v>
      </c>
      <c r="B2" s="100" t="s">
        <v>1</v>
      </c>
      <c r="C2" s="100" t="s">
        <v>3</v>
      </c>
      <c r="D2" s="100" t="s">
        <v>4</v>
      </c>
      <c r="E2" s="100" t="s">
        <v>230</v>
      </c>
      <c r="F2" s="100" t="s">
        <v>231</v>
      </c>
      <c r="G2" s="100" t="s">
        <v>7</v>
      </c>
      <c r="H2" s="100" t="s">
        <v>232</v>
      </c>
      <c r="I2" s="100" t="s">
        <v>233</v>
      </c>
      <c r="J2" s="100" t="s">
        <v>234</v>
      </c>
      <c r="K2" s="100" t="s">
        <v>235</v>
      </c>
      <c r="L2" s="100" t="s">
        <v>236</v>
      </c>
      <c r="M2" s="100" t="s">
        <v>237</v>
      </c>
      <c r="N2" s="100" t="s">
        <v>238</v>
      </c>
      <c r="O2" s="100" t="s">
        <v>239</v>
      </c>
      <c r="P2" s="100" t="s">
        <v>48</v>
      </c>
      <c r="Q2" s="100" t="s">
        <v>240</v>
      </c>
      <c r="R2" s="100" t="s">
        <v>49</v>
      </c>
      <c r="S2" s="100" t="s">
        <v>241</v>
      </c>
      <c r="T2" s="100" t="s">
        <v>242</v>
      </c>
      <c r="U2" s="100" t="s">
        <v>243</v>
      </c>
      <c r="V2" s="100" t="s">
        <v>51</v>
      </c>
      <c r="W2" s="100" t="s">
        <v>244</v>
      </c>
      <c r="X2" s="100" t="s">
        <v>245</v>
      </c>
      <c r="Y2" s="100" t="s">
        <v>246</v>
      </c>
      <c r="Z2" s="100" t="s">
        <v>192</v>
      </c>
      <c r="AA2" s="100" t="s">
        <v>247</v>
      </c>
      <c r="AB2" s="100" t="s">
        <v>248</v>
      </c>
      <c r="AC2" s="100" t="s">
        <v>249</v>
      </c>
      <c r="AD2" s="100" t="s">
        <v>55</v>
      </c>
      <c r="AE2" s="100" t="s">
        <v>250</v>
      </c>
      <c r="AF2" s="100" t="s">
        <v>251</v>
      </c>
      <c r="AG2" s="100" t="s">
        <v>252</v>
      </c>
      <c r="AH2" s="100" t="s">
        <v>57</v>
      </c>
      <c r="AI2" s="100" t="s">
        <v>253</v>
      </c>
      <c r="AJ2" s="100" t="s">
        <v>254</v>
      </c>
      <c r="AK2" s="100" t="s">
        <v>255</v>
      </c>
    </row>
    <row r="3" spans="1:37" x14ac:dyDescent="0.25">
      <c r="A3" s="2" t="s">
        <v>180</v>
      </c>
      <c r="B3" s="2" t="s">
        <v>256</v>
      </c>
      <c r="C3" s="2" t="s">
        <v>9</v>
      </c>
      <c r="D3" s="3">
        <v>46080.560104166667</v>
      </c>
      <c r="E3" s="2">
        <v>93.8</v>
      </c>
      <c r="F3" s="2">
        <v>13</v>
      </c>
      <c r="G3" s="2">
        <v>0</v>
      </c>
      <c r="I3" s="2" t="s">
        <v>257</v>
      </c>
      <c r="J3" s="2" t="s">
        <v>258</v>
      </c>
      <c r="K3" s="2">
        <v>1</v>
      </c>
      <c r="L3" s="2">
        <v>1505040024</v>
      </c>
      <c r="M3" s="2">
        <v>95</v>
      </c>
      <c r="N3" s="2" t="s">
        <v>259</v>
      </c>
      <c r="O3" s="2">
        <v>90</v>
      </c>
      <c r="P3" s="2" t="s">
        <v>260</v>
      </c>
      <c r="Q3" s="2">
        <v>98</v>
      </c>
      <c r="R3" s="2" t="s">
        <v>261</v>
      </c>
      <c r="S3" s="2">
        <v>92</v>
      </c>
      <c r="T3" s="2" t="s">
        <v>262</v>
      </c>
      <c r="U3" s="2">
        <v>94</v>
      </c>
      <c r="V3" s="2" t="s">
        <v>263</v>
      </c>
      <c r="W3" s="2">
        <v>96</v>
      </c>
      <c r="X3" s="2">
        <v>1</v>
      </c>
      <c r="Y3" s="2">
        <v>90</v>
      </c>
      <c r="Z3" s="2" t="s">
        <v>264</v>
      </c>
      <c r="AA3" s="2">
        <v>98</v>
      </c>
      <c r="AB3" s="2" t="s">
        <v>265</v>
      </c>
      <c r="AC3" s="2">
        <v>96</v>
      </c>
      <c r="AD3" s="2">
        <v>5</v>
      </c>
      <c r="AE3" s="2">
        <v>98</v>
      </c>
      <c r="AF3" s="2" t="s">
        <v>266</v>
      </c>
      <c r="AG3" s="2">
        <v>92</v>
      </c>
      <c r="AH3" s="2" t="s">
        <v>267</v>
      </c>
      <c r="AI3" s="2">
        <v>95</v>
      </c>
      <c r="AJ3" s="2" t="s">
        <v>268</v>
      </c>
      <c r="AK3" s="2">
        <v>92</v>
      </c>
    </row>
    <row r="4" spans="1:37" x14ac:dyDescent="0.25">
      <c r="A4" s="2" t="s">
        <v>126</v>
      </c>
      <c r="B4" s="2" t="s">
        <v>256</v>
      </c>
      <c r="C4" s="2" t="s">
        <v>9</v>
      </c>
      <c r="D4" s="3">
        <v>46080.559629629628</v>
      </c>
      <c r="E4" s="2">
        <v>90.83</v>
      </c>
      <c r="F4" s="2">
        <v>104</v>
      </c>
      <c r="G4" s="2">
        <v>0</v>
      </c>
      <c r="I4" s="2" t="s">
        <v>269</v>
      </c>
      <c r="J4" s="2" t="s">
        <v>258</v>
      </c>
      <c r="K4" s="2">
        <v>1</v>
      </c>
      <c r="L4" s="2">
        <v>3505026682</v>
      </c>
      <c r="M4" s="2">
        <v>98</v>
      </c>
      <c r="N4" s="2" t="s">
        <v>270</v>
      </c>
      <c r="O4" s="2">
        <v>95</v>
      </c>
      <c r="P4" s="2" t="s">
        <v>260</v>
      </c>
      <c r="Q4" s="2">
        <v>95</v>
      </c>
      <c r="R4" s="2" t="s">
        <v>271</v>
      </c>
      <c r="S4" s="2">
        <v>95</v>
      </c>
      <c r="T4" s="2" t="s">
        <v>272</v>
      </c>
      <c r="U4" s="2">
        <v>92</v>
      </c>
      <c r="V4" s="2" t="s">
        <v>263</v>
      </c>
      <c r="W4" s="2">
        <v>95</v>
      </c>
      <c r="X4" s="2">
        <v>1</v>
      </c>
      <c r="Y4" s="2">
        <v>95</v>
      </c>
      <c r="Z4" s="2" t="s">
        <v>273</v>
      </c>
      <c r="AA4" s="2">
        <v>95</v>
      </c>
      <c r="AB4" s="2" t="s">
        <v>274</v>
      </c>
      <c r="AC4" s="2">
        <v>92</v>
      </c>
      <c r="AD4" s="2">
        <v>5</v>
      </c>
      <c r="AE4" s="2">
        <v>95</v>
      </c>
      <c r="AF4" s="2" t="s">
        <v>275</v>
      </c>
      <c r="AG4" s="2">
        <v>92</v>
      </c>
      <c r="AH4" s="2" t="s">
        <v>276</v>
      </c>
      <c r="AI4" s="2">
        <v>92</v>
      </c>
      <c r="AJ4" s="2" t="s">
        <v>277</v>
      </c>
      <c r="AK4" s="2">
        <v>90</v>
      </c>
    </row>
    <row r="5" spans="1:37" x14ac:dyDescent="0.25">
      <c r="A5" s="2" t="s">
        <v>126</v>
      </c>
      <c r="B5" s="2" t="s">
        <v>256</v>
      </c>
      <c r="C5" s="2" t="s">
        <v>9</v>
      </c>
      <c r="D5" s="3">
        <v>46080.559629629628</v>
      </c>
      <c r="E5" s="2">
        <v>90.83</v>
      </c>
      <c r="F5" s="2">
        <v>104</v>
      </c>
      <c r="G5" s="2">
        <v>0</v>
      </c>
      <c r="I5" s="2" t="s">
        <v>269</v>
      </c>
      <c r="J5" s="2" t="s">
        <v>258</v>
      </c>
      <c r="K5" s="2">
        <v>2</v>
      </c>
      <c r="L5" s="2">
        <v>3505026682</v>
      </c>
      <c r="M5" s="2">
        <v>98</v>
      </c>
      <c r="N5" s="2" t="s">
        <v>270</v>
      </c>
      <c r="O5" s="2">
        <v>95</v>
      </c>
      <c r="P5" s="2" t="s">
        <v>260</v>
      </c>
      <c r="Q5" s="2">
        <v>95</v>
      </c>
      <c r="R5" s="2" t="s">
        <v>271</v>
      </c>
      <c r="S5" s="2">
        <v>95</v>
      </c>
      <c r="T5" s="2" t="s">
        <v>272</v>
      </c>
      <c r="U5" s="2">
        <v>92</v>
      </c>
      <c r="V5" s="2" t="s">
        <v>263</v>
      </c>
      <c r="W5" s="2">
        <v>95</v>
      </c>
      <c r="X5" s="2">
        <v>2</v>
      </c>
      <c r="Y5" s="2">
        <v>95</v>
      </c>
      <c r="Z5" s="2" t="s">
        <v>278</v>
      </c>
      <c r="AA5" s="2">
        <v>95</v>
      </c>
      <c r="AB5" s="2" t="s">
        <v>279</v>
      </c>
      <c r="AC5" s="2">
        <v>90</v>
      </c>
      <c r="AD5" s="2">
        <v>3</v>
      </c>
      <c r="AE5" s="2">
        <v>95</v>
      </c>
      <c r="AF5" s="2" t="s">
        <v>275</v>
      </c>
      <c r="AG5" s="2">
        <v>92</v>
      </c>
      <c r="AH5" s="2" t="s">
        <v>280</v>
      </c>
      <c r="AI5" s="2">
        <v>92</v>
      </c>
      <c r="AJ5" s="2" t="s">
        <v>277</v>
      </c>
      <c r="AK5" s="2">
        <v>90</v>
      </c>
    </row>
    <row r="6" spans="1:37" x14ac:dyDescent="0.25">
      <c r="A6" s="2" t="s">
        <v>126</v>
      </c>
      <c r="B6" s="2" t="s">
        <v>256</v>
      </c>
      <c r="C6" s="2" t="s">
        <v>9</v>
      </c>
      <c r="D6" s="3">
        <v>46080.559629629628</v>
      </c>
      <c r="E6" s="2">
        <v>90.83</v>
      </c>
      <c r="F6" s="2">
        <v>104</v>
      </c>
      <c r="G6" s="2">
        <v>0</v>
      </c>
      <c r="I6" s="2" t="s">
        <v>269</v>
      </c>
      <c r="J6" s="2" t="s">
        <v>258</v>
      </c>
      <c r="K6" s="2">
        <v>3</v>
      </c>
      <c r="L6" s="2">
        <v>3505026682</v>
      </c>
      <c r="M6" s="2">
        <v>98</v>
      </c>
      <c r="N6" s="2" t="s">
        <v>270</v>
      </c>
      <c r="O6" s="2">
        <v>95</v>
      </c>
      <c r="P6" s="2" t="s">
        <v>260</v>
      </c>
      <c r="Q6" s="2">
        <v>95</v>
      </c>
      <c r="R6" s="2" t="s">
        <v>271</v>
      </c>
      <c r="S6" s="2">
        <v>95</v>
      </c>
      <c r="T6" s="2" t="s">
        <v>272</v>
      </c>
      <c r="U6" s="2">
        <v>92</v>
      </c>
      <c r="V6" s="2" t="s">
        <v>263</v>
      </c>
      <c r="W6" s="2">
        <v>95</v>
      </c>
      <c r="X6" s="2">
        <v>3</v>
      </c>
      <c r="Y6" s="2">
        <v>95</v>
      </c>
      <c r="Z6" s="2" t="s">
        <v>281</v>
      </c>
      <c r="AA6" s="2">
        <v>95</v>
      </c>
      <c r="AB6" s="2" t="s">
        <v>282</v>
      </c>
      <c r="AC6" s="2">
        <v>90</v>
      </c>
      <c r="AD6" s="2">
        <v>1</v>
      </c>
      <c r="AE6" s="2">
        <v>95</v>
      </c>
      <c r="AF6" s="2" t="s">
        <v>275</v>
      </c>
      <c r="AG6" s="2">
        <v>92</v>
      </c>
      <c r="AH6" s="2" t="s">
        <v>283</v>
      </c>
      <c r="AI6" s="2">
        <v>92</v>
      </c>
      <c r="AJ6" s="2" t="s">
        <v>277</v>
      </c>
      <c r="AK6" s="2">
        <v>90</v>
      </c>
    </row>
    <row r="7" spans="1:37" x14ac:dyDescent="0.25">
      <c r="A7" s="2" t="s">
        <v>126</v>
      </c>
      <c r="B7" s="2" t="s">
        <v>256</v>
      </c>
      <c r="C7" s="2" t="s">
        <v>9</v>
      </c>
      <c r="D7" s="3">
        <v>46080.559629629628</v>
      </c>
      <c r="E7" s="2">
        <v>90.83</v>
      </c>
      <c r="F7" s="2">
        <v>104</v>
      </c>
      <c r="G7" s="2">
        <v>0</v>
      </c>
      <c r="I7" s="2" t="s">
        <v>269</v>
      </c>
      <c r="J7" s="2" t="s">
        <v>258</v>
      </c>
      <c r="K7" s="2">
        <v>4</v>
      </c>
      <c r="L7" s="2">
        <v>3505026682</v>
      </c>
      <c r="M7" s="2">
        <v>98</v>
      </c>
      <c r="N7" s="2" t="s">
        <v>270</v>
      </c>
      <c r="O7" s="2">
        <v>95</v>
      </c>
      <c r="P7" s="2" t="s">
        <v>260</v>
      </c>
      <c r="Q7" s="2">
        <v>95</v>
      </c>
      <c r="R7" s="2" t="s">
        <v>271</v>
      </c>
      <c r="S7" s="2">
        <v>95</v>
      </c>
      <c r="T7" s="2" t="s">
        <v>272</v>
      </c>
      <c r="U7" s="2">
        <v>92</v>
      </c>
      <c r="V7" s="2" t="s">
        <v>263</v>
      </c>
      <c r="W7" s="2">
        <v>95</v>
      </c>
      <c r="X7" s="2">
        <v>4</v>
      </c>
      <c r="Y7" s="2">
        <v>95</v>
      </c>
      <c r="Z7" s="2" t="s">
        <v>284</v>
      </c>
      <c r="AA7" s="2">
        <v>95</v>
      </c>
      <c r="AB7" s="2" t="s">
        <v>285</v>
      </c>
      <c r="AC7" s="2">
        <v>88</v>
      </c>
      <c r="AD7" s="2">
        <v>3</v>
      </c>
      <c r="AE7" s="2">
        <v>95</v>
      </c>
      <c r="AF7" s="2" t="s">
        <v>275</v>
      </c>
      <c r="AG7" s="2">
        <v>90</v>
      </c>
      <c r="AH7" s="2" t="s">
        <v>286</v>
      </c>
      <c r="AI7" s="2">
        <v>92</v>
      </c>
      <c r="AJ7" s="2" t="s">
        <v>277</v>
      </c>
      <c r="AK7" s="2">
        <v>90</v>
      </c>
    </row>
    <row r="8" spans="1:37" x14ac:dyDescent="0.25">
      <c r="A8" s="2" t="s">
        <v>126</v>
      </c>
      <c r="B8" s="2" t="s">
        <v>256</v>
      </c>
      <c r="C8" s="2" t="s">
        <v>9</v>
      </c>
      <c r="D8" s="3">
        <v>46080.559629629628</v>
      </c>
      <c r="E8" s="2">
        <v>90.83</v>
      </c>
      <c r="F8" s="2">
        <v>104</v>
      </c>
      <c r="G8" s="2">
        <v>0</v>
      </c>
      <c r="I8" s="2" t="s">
        <v>269</v>
      </c>
      <c r="J8" s="2" t="s">
        <v>258</v>
      </c>
      <c r="K8" s="2">
        <v>5</v>
      </c>
      <c r="L8" s="2">
        <v>3505026682</v>
      </c>
      <c r="M8" s="2">
        <v>98</v>
      </c>
      <c r="N8" s="2" t="s">
        <v>270</v>
      </c>
      <c r="O8" s="2">
        <v>95</v>
      </c>
      <c r="P8" s="2" t="s">
        <v>260</v>
      </c>
      <c r="Q8" s="2">
        <v>95</v>
      </c>
      <c r="R8" s="2" t="s">
        <v>271</v>
      </c>
      <c r="S8" s="2">
        <v>95</v>
      </c>
      <c r="T8" s="2" t="s">
        <v>272</v>
      </c>
      <c r="U8" s="2">
        <v>92</v>
      </c>
      <c r="V8" s="2" t="s">
        <v>263</v>
      </c>
      <c r="W8" s="2">
        <v>95</v>
      </c>
      <c r="X8" s="2">
        <v>5</v>
      </c>
      <c r="Y8" s="2">
        <v>95</v>
      </c>
      <c r="Z8" s="2" t="s">
        <v>287</v>
      </c>
      <c r="AA8" s="2">
        <v>95</v>
      </c>
      <c r="AB8" s="2" t="s">
        <v>288</v>
      </c>
      <c r="AC8" s="2">
        <v>92</v>
      </c>
      <c r="AD8" s="2">
        <v>4</v>
      </c>
      <c r="AE8" s="2">
        <v>95</v>
      </c>
      <c r="AF8" s="2" t="s">
        <v>275</v>
      </c>
      <c r="AG8" s="2">
        <v>92</v>
      </c>
      <c r="AH8" s="2" t="s">
        <v>289</v>
      </c>
      <c r="AI8" s="2">
        <v>92</v>
      </c>
      <c r="AJ8" s="2" t="s">
        <v>277</v>
      </c>
      <c r="AK8" s="2">
        <v>90</v>
      </c>
    </row>
    <row r="9" spans="1:37" x14ac:dyDescent="0.25">
      <c r="A9" s="2" t="s">
        <v>126</v>
      </c>
      <c r="B9" s="2" t="s">
        <v>256</v>
      </c>
      <c r="C9" s="2" t="s">
        <v>9</v>
      </c>
      <c r="D9" s="3">
        <v>46080.559629629628</v>
      </c>
      <c r="E9" s="2">
        <v>90.83</v>
      </c>
      <c r="F9" s="2">
        <v>104</v>
      </c>
      <c r="G9" s="2">
        <v>0</v>
      </c>
      <c r="I9" s="2" t="s">
        <v>269</v>
      </c>
      <c r="J9" s="2" t="s">
        <v>258</v>
      </c>
      <c r="K9" s="2">
        <v>6</v>
      </c>
      <c r="L9" s="2">
        <v>3505026682</v>
      </c>
      <c r="M9" s="2">
        <v>98</v>
      </c>
      <c r="N9" s="2" t="s">
        <v>270</v>
      </c>
      <c r="O9" s="2">
        <v>95</v>
      </c>
      <c r="P9" s="2" t="s">
        <v>260</v>
      </c>
      <c r="Q9" s="2">
        <v>95</v>
      </c>
      <c r="R9" s="2" t="s">
        <v>271</v>
      </c>
      <c r="S9" s="2">
        <v>95</v>
      </c>
      <c r="T9" s="2" t="s">
        <v>272</v>
      </c>
      <c r="U9" s="2">
        <v>92</v>
      </c>
      <c r="V9" s="2" t="s">
        <v>263</v>
      </c>
      <c r="W9" s="2">
        <v>95</v>
      </c>
      <c r="X9" s="2">
        <v>6</v>
      </c>
      <c r="Y9" s="2">
        <v>95</v>
      </c>
      <c r="Z9" s="2" t="s">
        <v>290</v>
      </c>
      <c r="AA9" s="2">
        <v>95</v>
      </c>
      <c r="AB9" s="2" t="s">
        <v>291</v>
      </c>
      <c r="AC9" s="2">
        <v>90</v>
      </c>
      <c r="AD9" s="2">
        <v>2</v>
      </c>
      <c r="AE9" s="2">
        <v>95</v>
      </c>
      <c r="AF9" s="2" t="s">
        <v>275</v>
      </c>
      <c r="AG9" s="2">
        <v>92</v>
      </c>
      <c r="AH9" s="2" t="s">
        <v>292</v>
      </c>
      <c r="AI9" s="2">
        <v>92</v>
      </c>
      <c r="AJ9" s="2" t="s">
        <v>277</v>
      </c>
      <c r="AK9" s="2">
        <v>90</v>
      </c>
    </row>
    <row r="10" spans="1:37" x14ac:dyDescent="0.25">
      <c r="A10" s="2" t="s">
        <v>126</v>
      </c>
      <c r="B10" s="2" t="s">
        <v>256</v>
      </c>
      <c r="C10" s="2" t="s">
        <v>9</v>
      </c>
      <c r="D10" s="3">
        <v>46080.559629629628</v>
      </c>
      <c r="E10" s="2">
        <v>90.83</v>
      </c>
      <c r="F10" s="2">
        <v>104</v>
      </c>
      <c r="G10" s="2">
        <v>0</v>
      </c>
      <c r="I10" s="2" t="s">
        <v>269</v>
      </c>
      <c r="J10" s="2" t="s">
        <v>258</v>
      </c>
      <c r="K10" s="2">
        <v>7</v>
      </c>
      <c r="L10" s="2">
        <v>3505026682</v>
      </c>
      <c r="M10" s="2">
        <v>98</v>
      </c>
      <c r="N10" s="2" t="s">
        <v>270</v>
      </c>
      <c r="O10" s="2">
        <v>95</v>
      </c>
      <c r="P10" s="2" t="s">
        <v>260</v>
      </c>
      <c r="Q10" s="2">
        <v>95</v>
      </c>
      <c r="R10" s="2" t="s">
        <v>271</v>
      </c>
      <c r="S10" s="2">
        <v>95</v>
      </c>
      <c r="T10" s="2" t="s">
        <v>272</v>
      </c>
      <c r="U10" s="2">
        <v>92</v>
      </c>
      <c r="V10" s="2" t="s">
        <v>263</v>
      </c>
      <c r="W10" s="2">
        <v>95</v>
      </c>
      <c r="X10" s="2">
        <v>7</v>
      </c>
      <c r="Y10" s="2">
        <v>95</v>
      </c>
      <c r="Z10" s="2" t="s">
        <v>293</v>
      </c>
      <c r="AA10" s="2">
        <v>95</v>
      </c>
      <c r="AB10" s="2" t="s">
        <v>294</v>
      </c>
      <c r="AC10" s="2">
        <v>88</v>
      </c>
      <c r="AD10" s="2">
        <v>2</v>
      </c>
      <c r="AE10" s="2">
        <v>95</v>
      </c>
      <c r="AF10" s="2" t="s">
        <v>295</v>
      </c>
      <c r="AG10" s="2">
        <v>90</v>
      </c>
      <c r="AH10" s="2" t="s">
        <v>296</v>
      </c>
      <c r="AI10" s="2">
        <v>92</v>
      </c>
      <c r="AJ10" s="2" t="s">
        <v>277</v>
      </c>
      <c r="AK10" s="2">
        <v>90</v>
      </c>
    </row>
    <row r="11" spans="1:37" x14ac:dyDescent="0.25">
      <c r="A11" s="2" t="s">
        <v>126</v>
      </c>
      <c r="B11" s="2" t="s">
        <v>256</v>
      </c>
      <c r="C11" s="2" t="s">
        <v>9</v>
      </c>
      <c r="D11" s="3">
        <v>46080.559629629628</v>
      </c>
      <c r="E11" s="2">
        <v>90.83</v>
      </c>
      <c r="F11" s="2">
        <v>104</v>
      </c>
      <c r="G11" s="2">
        <v>0</v>
      </c>
      <c r="I11" s="2" t="s">
        <v>269</v>
      </c>
      <c r="J11" s="2" t="s">
        <v>258</v>
      </c>
      <c r="K11" s="2">
        <v>8</v>
      </c>
      <c r="L11" s="2">
        <v>3505026682</v>
      </c>
      <c r="M11" s="2">
        <v>98</v>
      </c>
      <c r="N11" s="2" t="s">
        <v>270</v>
      </c>
      <c r="O11" s="2">
        <v>95</v>
      </c>
      <c r="P11" s="2" t="s">
        <v>260</v>
      </c>
      <c r="Q11" s="2">
        <v>95</v>
      </c>
      <c r="R11" s="2" t="s">
        <v>271</v>
      </c>
      <c r="S11" s="2">
        <v>95</v>
      </c>
      <c r="T11" s="2" t="s">
        <v>272</v>
      </c>
      <c r="U11" s="2">
        <v>92</v>
      </c>
      <c r="V11" s="2" t="s">
        <v>263</v>
      </c>
      <c r="W11" s="2">
        <v>95</v>
      </c>
      <c r="X11" s="2">
        <v>8</v>
      </c>
      <c r="Y11" s="2">
        <v>95</v>
      </c>
      <c r="Z11" s="2" t="s">
        <v>297</v>
      </c>
      <c r="AA11" s="2">
        <v>95</v>
      </c>
      <c r="AB11" s="2" t="s">
        <v>298</v>
      </c>
      <c r="AC11" s="2">
        <v>90</v>
      </c>
      <c r="AD11" s="2">
        <v>4</v>
      </c>
      <c r="AE11" s="2">
        <v>95</v>
      </c>
      <c r="AF11" s="2" t="s">
        <v>275</v>
      </c>
      <c r="AG11" s="2">
        <v>92</v>
      </c>
      <c r="AH11" s="2" t="s">
        <v>299</v>
      </c>
      <c r="AI11" s="2">
        <v>92</v>
      </c>
      <c r="AJ11" s="2" t="s">
        <v>277</v>
      </c>
      <c r="AK11" s="2">
        <v>90</v>
      </c>
    </row>
    <row r="12" spans="1:37" x14ac:dyDescent="0.25">
      <c r="A12" s="2" t="s">
        <v>105</v>
      </c>
      <c r="B12" s="2" t="s">
        <v>256</v>
      </c>
      <c r="C12" s="2" t="s">
        <v>9</v>
      </c>
      <c r="D12" s="3">
        <v>46080.559629629628</v>
      </c>
      <c r="E12" s="2">
        <v>88.48</v>
      </c>
      <c r="F12" s="2">
        <v>143</v>
      </c>
      <c r="G12" s="2">
        <v>0</v>
      </c>
      <c r="I12" s="2" t="s">
        <v>300</v>
      </c>
      <c r="J12" s="2" t="s">
        <v>258</v>
      </c>
      <c r="K12" s="2">
        <v>1</v>
      </c>
      <c r="L12" s="2">
        <v>3505026682</v>
      </c>
      <c r="M12" s="2">
        <v>98</v>
      </c>
      <c r="N12" s="2" t="s">
        <v>301</v>
      </c>
      <c r="O12" s="2">
        <v>98</v>
      </c>
      <c r="P12" s="2" t="s">
        <v>260</v>
      </c>
      <c r="Q12" s="2">
        <v>98</v>
      </c>
      <c r="R12" s="2" t="s">
        <v>271</v>
      </c>
      <c r="S12" s="2">
        <v>95</v>
      </c>
      <c r="T12" s="2" t="s">
        <v>302</v>
      </c>
      <c r="U12" s="2">
        <v>92</v>
      </c>
      <c r="V12" s="2" t="s">
        <v>263</v>
      </c>
      <c r="W12" s="2">
        <v>98</v>
      </c>
      <c r="X12" s="2">
        <v>1</v>
      </c>
      <c r="Y12" s="2">
        <v>98</v>
      </c>
      <c r="Z12" s="2" t="s">
        <v>303</v>
      </c>
      <c r="AA12" s="2">
        <v>92</v>
      </c>
      <c r="AB12" s="2" t="s">
        <v>304</v>
      </c>
      <c r="AC12" s="2">
        <v>88</v>
      </c>
      <c r="AD12" s="2">
        <v>3</v>
      </c>
      <c r="AE12" s="2">
        <v>96</v>
      </c>
      <c r="AF12" s="2" t="s">
        <v>275</v>
      </c>
      <c r="AG12" s="2">
        <v>92</v>
      </c>
      <c r="AH12" s="2" t="s">
        <v>305</v>
      </c>
      <c r="AI12" s="2">
        <v>92</v>
      </c>
      <c r="AJ12" s="2" t="s">
        <v>277</v>
      </c>
      <c r="AK12" s="2">
        <v>85</v>
      </c>
    </row>
    <row r="13" spans="1:37" x14ac:dyDescent="0.25">
      <c r="A13" s="2" t="s">
        <v>105</v>
      </c>
      <c r="B13" s="2" t="s">
        <v>256</v>
      </c>
      <c r="C13" s="2" t="s">
        <v>9</v>
      </c>
      <c r="D13" s="3">
        <v>46080.559629629628</v>
      </c>
      <c r="E13" s="2">
        <v>88.48</v>
      </c>
      <c r="F13" s="2">
        <v>143</v>
      </c>
      <c r="G13" s="2">
        <v>0</v>
      </c>
      <c r="I13" s="2" t="s">
        <v>300</v>
      </c>
      <c r="J13" s="2" t="s">
        <v>258</v>
      </c>
      <c r="K13" s="2">
        <v>2</v>
      </c>
      <c r="L13" s="2">
        <v>3505026682</v>
      </c>
      <c r="M13" s="2">
        <v>98</v>
      </c>
      <c r="N13" s="2" t="s">
        <v>301</v>
      </c>
      <c r="O13" s="2">
        <v>98</v>
      </c>
      <c r="P13" s="2" t="s">
        <v>260</v>
      </c>
      <c r="Q13" s="2">
        <v>98</v>
      </c>
      <c r="R13" s="2" t="s">
        <v>271</v>
      </c>
      <c r="S13" s="2">
        <v>95</v>
      </c>
      <c r="T13" s="2" t="s">
        <v>302</v>
      </c>
      <c r="U13" s="2">
        <v>92</v>
      </c>
      <c r="V13" s="2" t="s">
        <v>263</v>
      </c>
      <c r="W13" s="2">
        <v>98</v>
      </c>
      <c r="X13" s="2">
        <v>2</v>
      </c>
      <c r="Y13" s="2">
        <v>98</v>
      </c>
      <c r="Z13" s="2" t="s">
        <v>306</v>
      </c>
      <c r="AA13" s="2">
        <v>90</v>
      </c>
      <c r="AB13" s="2" t="s">
        <v>307</v>
      </c>
      <c r="AC13" s="2">
        <v>86</v>
      </c>
      <c r="AD13" s="2">
        <v>8</v>
      </c>
      <c r="AE13" s="2">
        <v>96</v>
      </c>
      <c r="AF13" s="2" t="s">
        <v>275</v>
      </c>
      <c r="AG13" s="2">
        <v>92</v>
      </c>
      <c r="AH13" s="2" t="s">
        <v>308</v>
      </c>
      <c r="AI13" s="2">
        <v>92</v>
      </c>
      <c r="AJ13" s="2" t="s">
        <v>277</v>
      </c>
      <c r="AK13" s="2">
        <v>85</v>
      </c>
    </row>
    <row r="14" spans="1:37" x14ac:dyDescent="0.25">
      <c r="A14" s="2" t="s">
        <v>105</v>
      </c>
      <c r="B14" s="2" t="s">
        <v>256</v>
      </c>
      <c r="C14" s="2" t="s">
        <v>9</v>
      </c>
      <c r="D14" s="3">
        <v>46080.559629629628</v>
      </c>
      <c r="E14" s="2">
        <v>88.48</v>
      </c>
      <c r="F14" s="2">
        <v>143</v>
      </c>
      <c r="G14" s="2">
        <v>0</v>
      </c>
      <c r="I14" s="2" t="s">
        <v>300</v>
      </c>
      <c r="J14" s="2" t="s">
        <v>258</v>
      </c>
      <c r="K14" s="2">
        <v>3</v>
      </c>
      <c r="L14" s="2">
        <v>3505026682</v>
      </c>
      <c r="M14" s="2">
        <v>98</v>
      </c>
      <c r="N14" s="2" t="s">
        <v>301</v>
      </c>
      <c r="O14" s="2">
        <v>98</v>
      </c>
      <c r="P14" s="2" t="s">
        <v>260</v>
      </c>
      <c r="Q14" s="2">
        <v>98</v>
      </c>
      <c r="R14" s="2" t="s">
        <v>271</v>
      </c>
      <c r="S14" s="2">
        <v>95</v>
      </c>
      <c r="T14" s="2" t="s">
        <v>302</v>
      </c>
      <c r="U14" s="2">
        <v>92</v>
      </c>
      <c r="V14" s="2" t="s">
        <v>263</v>
      </c>
      <c r="W14" s="2">
        <v>98</v>
      </c>
      <c r="X14" s="2">
        <v>3</v>
      </c>
      <c r="Y14" s="2">
        <v>98</v>
      </c>
      <c r="Z14" s="2" t="s">
        <v>309</v>
      </c>
      <c r="AA14" s="2">
        <v>90</v>
      </c>
      <c r="AB14" s="2" t="s">
        <v>310</v>
      </c>
      <c r="AC14" s="2">
        <v>86</v>
      </c>
      <c r="AD14" s="2">
        <v>3</v>
      </c>
      <c r="AE14" s="2">
        <v>96</v>
      </c>
      <c r="AF14" s="2" t="s">
        <v>275</v>
      </c>
      <c r="AG14" s="2">
        <v>92</v>
      </c>
      <c r="AH14" s="2" t="s">
        <v>311</v>
      </c>
      <c r="AI14" s="2">
        <v>90</v>
      </c>
      <c r="AJ14" s="2" t="s">
        <v>277</v>
      </c>
      <c r="AK14" s="2">
        <v>85</v>
      </c>
    </row>
    <row r="15" spans="1:37" x14ac:dyDescent="0.25">
      <c r="A15" s="2" t="s">
        <v>105</v>
      </c>
      <c r="B15" s="2" t="s">
        <v>256</v>
      </c>
      <c r="C15" s="2" t="s">
        <v>9</v>
      </c>
      <c r="D15" s="3">
        <v>46080.559629629628</v>
      </c>
      <c r="E15" s="2">
        <v>88.48</v>
      </c>
      <c r="F15" s="2">
        <v>143</v>
      </c>
      <c r="G15" s="2">
        <v>0</v>
      </c>
      <c r="I15" s="2" t="s">
        <v>300</v>
      </c>
      <c r="J15" s="2" t="s">
        <v>258</v>
      </c>
      <c r="K15" s="2">
        <v>4</v>
      </c>
      <c r="L15" s="2">
        <v>3505026682</v>
      </c>
      <c r="M15" s="2">
        <v>98</v>
      </c>
      <c r="N15" s="2" t="s">
        <v>301</v>
      </c>
      <c r="O15" s="2">
        <v>98</v>
      </c>
      <c r="P15" s="2" t="s">
        <v>260</v>
      </c>
      <c r="Q15" s="2">
        <v>98</v>
      </c>
      <c r="R15" s="2" t="s">
        <v>271</v>
      </c>
      <c r="S15" s="2">
        <v>95</v>
      </c>
      <c r="T15" s="2" t="s">
        <v>302</v>
      </c>
      <c r="U15" s="2">
        <v>92</v>
      </c>
      <c r="V15" s="2" t="s">
        <v>263</v>
      </c>
      <c r="W15" s="2">
        <v>98</v>
      </c>
      <c r="X15" s="2">
        <v>4</v>
      </c>
      <c r="Y15" s="2">
        <v>98</v>
      </c>
      <c r="Z15" s="2" t="s">
        <v>312</v>
      </c>
      <c r="AA15" s="2">
        <v>92</v>
      </c>
      <c r="AB15" s="2" t="s">
        <v>313</v>
      </c>
      <c r="AC15" s="2">
        <v>88</v>
      </c>
      <c r="AD15" s="2">
        <v>2</v>
      </c>
      <c r="AE15" s="2">
        <v>96</v>
      </c>
      <c r="AF15" s="2" t="s">
        <v>275</v>
      </c>
      <c r="AG15" s="2">
        <v>92</v>
      </c>
      <c r="AH15" s="2" t="s">
        <v>314</v>
      </c>
      <c r="AI15" s="2">
        <v>92</v>
      </c>
      <c r="AJ15" s="2" t="s">
        <v>277</v>
      </c>
      <c r="AK15" s="2">
        <v>85</v>
      </c>
    </row>
    <row r="16" spans="1:37" x14ac:dyDescent="0.25">
      <c r="A16" s="2" t="s">
        <v>105</v>
      </c>
      <c r="B16" s="2" t="s">
        <v>256</v>
      </c>
      <c r="C16" s="2" t="s">
        <v>9</v>
      </c>
      <c r="D16" s="3">
        <v>46080.559629629628</v>
      </c>
      <c r="E16" s="2">
        <v>88.48</v>
      </c>
      <c r="F16" s="2">
        <v>143</v>
      </c>
      <c r="G16" s="2">
        <v>0</v>
      </c>
      <c r="I16" s="2" t="s">
        <v>300</v>
      </c>
      <c r="J16" s="2" t="s">
        <v>258</v>
      </c>
      <c r="K16" s="2">
        <v>5</v>
      </c>
      <c r="L16" s="2">
        <v>3505026682</v>
      </c>
      <c r="M16" s="2">
        <v>98</v>
      </c>
      <c r="N16" s="2" t="s">
        <v>301</v>
      </c>
      <c r="O16" s="2">
        <v>98</v>
      </c>
      <c r="P16" s="2" t="s">
        <v>260</v>
      </c>
      <c r="Q16" s="2">
        <v>98</v>
      </c>
      <c r="R16" s="2" t="s">
        <v>271</v>
      </c>
      <c r="S16" s="2">
        <v>95</v>
      </c>
      <c r="T16" s="2" t="s">
        <v>302</v>
      </c>
      <c r="U16" s="2">
        <v>92</v>
      </c>
      <c r="V16" s="2" t="s">
        <v>263</v>
      </c>
      <c r="W16" s="2">
        <v>98</v>
      </c>
      <c r="X16" s="2">
        <v>5</v>
      </c>
      <c r="Y16" s="2">
        <v>98</v>
      </c>
      <c r="Z16" s="2" t="s">
        <v>315</v>
      </c>
      <c r="AA16" s="2">
        <v>90</v>
      </c>
      <c r="AB16" s="2" t="s">
        <v>316</v>
      </c>
      <c r="AC16" s="2">
        <v>86</v>
      </c>
      <c r="AD16" s="2">
        <v>6</v>
      </c>
      <c r="AE16" s="2">
        <v>96</v>
      </c>
      <c r="AF16" s="2" t="s">
        <v>317</v>
      </c>
      <c r="AG16" s="2">
        <v>92</v>
      </c>
      <c r="AH16" s="2" t="s">
        <v>318</v>
      </c>
      <c r="AI16" s="2">
        <v>90</v>
      </c>
      <c r="AJ16" s="2" t="s">
        <v>277</v>
      </c>
      <c r="AK16" s="2">
        <v>85</v>
      </c>
    </row>
    <row r="17" spans="1:37" x14ac:dyDescent="0.25">
      <c r="A17" s="2" t="s">
        <v>105</v>
      </c>
      <c r="B17" s="2" t="s">
        <v>256</v>
      </c>
      <c r="C17" s="2" t="s">
        <v>9</v>
      </c>
      <c r="D17" s="3">
        <v>46080.559629629628</v>
      </c>
      <c r="E17" s="2">
        <v>88.48</v>
      </c>
      <c r="F17" s="2">
        <v>143</v>
      </c>
      <c r="G17" s="2">
        <v>0</v>
      </c>
      <c r="I17" s="2" t="s">
        <v>300</v>
      </c>
      <c r="J17" s="2" t="s">
        <v>258</v>
      </c>
      <c r="K17" s="2">
        <v>6</v>
      </c>
      <c r="L17" s="2">
        <v>3505026682</v>
      </c>
      <c r="M17" s="2">
        <v>98</v>
      </c>
      <c r="N17" s="2" t="s">
        <v>301</v>
      </c>
      <c r="O17" s="2">
        <v>98</v>
      </c>
      <c r="P17" s="2" t="s">
        <v>260</v>
      </c>
      <c r="Q17" s="2">
        <v>98</v>
      </c>
      <c r="R17" s="2" t="s">
        <v>271</v>
      </c>
      <c r="S17" s="2">
        <v>95</v>
      </c>
      <c r="T17" s="2" t="s">
        <v>302</v>
      </c>
      <c r="U17" s="2">
        <v>92</v>
      </c>
      <c r="V17" s="2" t="s">
        <v>263</v>
      </c>
      <c r="W17" s="2">
        <v>98</v>
      </c>
      <c r="X17" s="2">
        <v>6</v>
      </c>
      <c r="Y17" s="2">
        <v>98</v>
      </c>
      <c r="Z17" s="2" t="s">
        <v>319</v>
      </c>
      <c r="AA17" s="2">
        <v>90</v>
      </c>
      <c r="AB17" s="2" t="s">
        <v>320</v>
      </c>
      <c r="AC17" s="2">
        <v>86</v>
      </c>
      <c r="AD17" s="2">
        <v>1</v>
      </c>
      <c r="AE17" s="2">
        <v>96</v>
      </c>
      <c r="AF17" s="2" t="s">
        <v>275</v>
      </c>
      <c r="AG17" s="2">
        <v>92</v>
      </c>
      <c r="AH17" s="2" t="s">
        <v>321</v>
      </c>
      <c r="AI17" s="2">
        <v>92</v>
      </c>
      <c r="AJ17" s="2" t="s">
        <v>277</v>
      </c>
      <c r="AK17" s="2">
        <v>85</v>
      </c>
    </row>
    <row r="18" spans="1:37" x14ac:dyDescent="0.25">
      <c r="A18" s="2" t="s">
        <v>105</v>
      </c>
      <c r="B18" s="2" t="s">
        <v>256</v>
      </c>
      <c r="C18" s="2" t="s">
        <v>9</v>
      </c>
      <c r="D18" s="3">
        <v>46080.559629629628</v>
      </c>
      <c r="E18" s="2">
        <v>88.48</v>
      </c>
      <c r="F18" s="2">
        <v>143</v>
      </c>
      <c r="G18" s="2">
        <v>0</v>
      </c>
      <c r="I18" s="2" t="s">
        <v>300</v>
      </c>
      <c r="J18" s="2" t="s">
        <v>258</v>
      </c>
      <c r="K18" s="2">
        <v>7</v>
      </c>
      <c r="L18" s="2">
        <v>3505026682</v>
      </c>
      <c r="M18" s="2">
        <v>98</v>
      </c>
      <c r="N18" s="2" t="s">
        <v>301</v>
      </c>
      <c r="O18" s="2">
        <v>98</v>
      </c>
      <c r="P18" s="2" t="s">
        <v>260</v>
      </c>
      <c r="Q18" s="2">
        <v>98</v>
      </c>
      <c r="R18" s="2" t="s">
        <v>271</v>
      </c>
      <c r="S18" s="2">
        <v>95</v>
      </c>
      <c r="T18" s="2" t="s">
        <v>302</v>
      </c>
      <c r="U18" s="2">
        <v>92</v>
      </c>
      <c r="V18" s="2" t="s">
        <v>263</v>
      </c>
      <c r="W18" s="2">
        <v>98</v>
      </c>
      <c r="X18" s="2">
        <v>7</v>
      </c>
      <c r="Y18" s="2">
        <v>98</v>
      </c>
      <c r="Z18" s="2" t="s">
        <v>322</v>
      </c>
      <c r="AA18" s="2">
        <v>90</v>
      </c>
      <c r="AB18" s="2" t="s">
        <v>323</v>
      </c>
      <c r="AC18" s="2">
        <v>86</v>
      </c>
      <c r="AD18" s="2">
        <v>2</v>
      </c>
      <c r="AE18" s="2">
        <v>96</v>
      </c>
      <c r="AF18" s="2" t="s">
        <v>275</v>
      </c>
      <c r="AG18" s="2">
        <v>92</v>
      </c>
      <c r="AH18" s="2" t="s">
        <v>324</v>
      </c>
      <c r="AI18" s="2">
        <v>90</v>
      </c>
      <c r="AJ18" s="2" t="s">
        <v>277</v>
      </c>
      <c r="AK18" s="2">
        <v>85</v>
      </c>
    </row>
    <row r="19" spans="1:37" x14ac:dyDescent="0.25">
      <c r="A19" s="2" t="s">
        <v>105</v>
      </c>
      <c r="B19" s="2" t="s">
        <v>256</v>
      </c>
      <c r="C19" s="2" t="s">
        <v>9</v>
      </c>
      <c r="D19" s="3">
        <v>46080.559629629628</v>
      </c>
      <c r="E19" s="2">
        <v>88.48</v>
      </c>
      <c r="F19" s="2">
        <v>143</v>
      </c>
      <c r="G19" s="2">
        <v>0</v>
      </c>
      <c r="I19" s="2" t="s">
        <v>300</v>
      </c>
      <c r="J19" s="2" t="s">
        <v>258</v>
      </c>
      <c r="K19" s="2">
        <v>8</v>
      </c>
      <c r="L19" s="2">
        <v>3505026682</v>
      </c>
      <c r="M19" s="2">
        <v>98</v>
      </c>
      <c r="N19" s="2" t="s">
        <v>301</v>
      </c>
      <c r="O19" s="2">
        <v>98</v>
      </c>
      <c r="P19" s="2" t="s">
        <v>260</v>
      </c>
      <c r="Q19" s="2">
        <v>98</v>
      </c>
      <c r="R19" s="2" t="s">
        <v>271</v>
      </c>
      <c r="S19" s="2">
        <v>95</v>
      </c>
      <c r="T19" s="2" t="s">
        <v>302</v>
      </c>
      <c r="U19" s="2">
        <v>92</v>
      </c>
      <c r="V19" s="2" t="s">
        <v>263</v>
      </c>
      <c r="W19" s="2">
        <v>98</v>
      </c>
      <c r="X19" s="2">
        <v>8</v>
      </c>
      <c r="Y19" s="2">
        <v>98</v>
      </c>
      <c r="Z19" s="2" t="s">
        <v>325</v>
      </c>
      <c r="AA19" s="2">
        <v>92</v>
      </c>
      <c r="AB19" s="2" t="s">
        <v>326</v>
      </c>
      <c r="AC19" s="2">
        <v>88</v>
      </c>
      <c r="AD19" s="2">
        <v>6</v>
      </c>
      <c r="AE19" s="2">
        <v>96</v>
      </c>
      <c r="AF19" s="2" t="s">
        <v>275</v>
      </c>
      <c r="AG19" s="2">
        <v>92</v>
      </c>
      <c r="AH19" s="2" t="s">
        <v>327</v>
      </c>
      <c r="AI19" s="2">
        <v>92</v>
      </c>
      <c r="AJ19" s="2" t="s">
        <v>277</v>
      </c>
      <c r="AK19" s="2">
        <v>85</v>
      </c>
    </row>
    <row r="20" spans="1:37" x14ac:dyDescent="0.25">
      <c r="A20" s="2" t="s">
        <v>105</v>
      </c>
      <c r="B20" s="2" t="s">
        <v>256</v>
      </c>
      <c r="C20" s="2" t="s">
        <v>9</v>
      </c>
      <c r="D20" s="3">
        <v>46080.559629629628</v>
      </c>
      <c r="E20" s="2">
        <v>88.48</v>
      </c>
      <c r="F20" s="2">
        <v>143</v>
      </c>
      <c r="G20" s="2">
        <v>0</v>
      </c>
      <c r="I20" s="2" t="s">
        <v>300</v>
      </c>
      <c r="J20" s="2" t="s">
        <v>258</v>
      </c>
      <c r="K20" s="2">
        <v>9</v>
      </c>
      <c r="L20" s="2">
        <v>3505026682</v>
      </c>
      <c r="M20" s="2">
        <v>98</v>
      </c>
      <c r="N20" s="2" t="s">
        <v>301</v>
      </c>
      <c r="O20" s="2">
        <v>98</v>
      </c>
      <c r="P20" s="2" t="s">
        <v>260</v>
      </c>
      <c r="Q20" s="2">
        <v>98</v>
      </c>
      <c r="R20" s="2" t="s">
        <v>271</v>
      </c>
      <c r="S20" s="2">
        <v>95</v>
      </c>
      <c r="T20" s="2" t="s">
        <v>302</v>
      </c>
      <c r="U20" s="2">
        <v>92</v>
      </c>
      <c r="V20" s="2" t="s">
        <v>263</v>
      </c>
      <c r="W20" s="2">
        <v>98</v>
      </c>
      <c r="X20" s="2">
        <v>9</v>
      </c>
      <c r="Y20" s="2">
        <v>98</v>
      </c>
      <c r="Z20" s="2" t="s">
        <v>328</v>
      </c>
      <c r="AA20" s="2">
        <v>92</v>
      </c>
      <c r="AB20" s="2" t="s">
        <v>329</v>
      </c>
      <c r="AC20" s="2">
        <v>88</v>
      </c>
      <c r="AD20" s="2">
        <v>2</v>
      </c>
      <c r="AE20" s="2">
        <v>96</v>
      </c>
      <c r="AF20" s="2" t="s">
        <v>295</v>
      </c>
      <c r="AG20" s="2">
        <v>92</v>
      </c>
      <c r="AH20" s="2" t="s">
        <v>330</v>
      </c>
      <c r="AI20" s="2">
        <v>92</v>
      </c>
      <c r="AJ20" s="2" t="s">
        <v>277</v>
      </c>
      <c r="AK20" s="2">
        <v>85</v>
      </c>
    </row>
    <row r="21" spans="1:37" x14ac:dyDescent="0.25">
      <c r="A21" s="2" t="s">
        <v>105</v>
      </c>
      <c r="B21" s="2" t="s">
        <v>256</v>
      </c>
      <c r="C21" s="2" t="s">
        <v>9</v>
      </c>
      <c r="D21" s="3">
        <v>46080.559629629628</v>
      </c>
      <c r="E21" s="2">
        <v>88.48</v>
      </c>
      <c r="F21" s="2">
        <v>143</v>
      </c>
      <c r="G21" s="2">
        <v>0</v>
      </c>
      <c r="I21" s="2" t="s">
        <v>300</v>
      </c>
      <c r="J21" s="2" t="s">
        <v>258</v>
      </c>
      <c r="K21" s="2">
        <v>10</v>
      </c>
      <c r="L21" s="2">
        <v>3505026682</v>
      </c>
      <c r="M21" s="2">
        <v>98</v>
      </c>
      <c r="N21" s="2" t="s">
        <v>301</v>
      </c>
      <c r="O21" s="2">
        <v>98</v>
      </c>
      <c r="P21" s="2" t="s">
        <v>260</v>
      </c>
      <c r="Q21" s="2">
        <v>98</v>
      </c>
      <c r="R21" s="2" t="s">
        <v>271</v>
      </c>
      <c r="S21" s="2">
        <v>95</v>
      </c>
      <c r="T21" s="2" t="s">
        <v>302</v>
      </c>
      <c r="U21" s="2">
        <v>92</v>
      </c>
      <c r="V21" s="2" t="s">
        <v>263</v>
      </c>
      <c r="W21" s="2">
        <v>98</v>
      </c>
      <c r="X21" s="2">
        <v>10</v>
      </c>
      <c r="Y21" s="2">
        <v>98</v>
      </c>
      <c r="Z21" s="2" t="s">
        <v>331</v>
      </c>
      <c r="AA21" s="2">
        <v>90</v>
      </c>
      <c r="AB21" s="2" t="s">
        <v>332</v>
      </c>
      <c r="AC21" s="2">
        <v>86</v>
      </c>
      <c r="AD21" s="2">
        <v>4</v>
      </c>
      <c r="AE21" s="2">
        <v>96</v>
      </c>
      <c r="AF21" s="2" t="s">
        <v>333</v>
      </c>
      <c r="AG21" s="2">
        <v>92</v>
      </c>
      <c r="AH21" s="2" t="s">
        <v>334</v>
      </c>
      <c r="AI21" s="2">
        <v>90</v>
      </c>
      <c r="AJ21" s="2" t="s">
        <v>277</v>
      </c>
      <c r="AK21" s="2">
        <v>85</v>
      </c>
    </row>
    <row r="22" spans="1:37" x14ac:dyDescent="0.25">
      <c r="A22" s="2" t="s">
        <v>105</v>
      </c>
      <c r="B22" s="2" t="s">
        <v>256</v>
      </c>
      <c r="C22" s="2" t="s">
        <v>9</v>
      </c>
      <c r="D22" s="3">
        <v>46080.559629629628</v>
      </c>
      <c r="E22" s="2">
        <v>88.48</v>
      </c>
      <c r="F22" s="2">
        <v>143</v>
      </c>
      <c r="G22" s="2">
        <v>0</v>
      </c>
      <c r="I22" s="2" t="s">
        <v>300</v>
      </c>
      <c r="J22" s="2" t="s">
        <v>258</v>
      </c>
      <c r="K22" s="2">
        <v>11</v>
      </c>
      <c r="L22" s="2">
        <v>3505026682</v>
      </c>
      <c r="M22" s="2">
        <v>98</v>
      </c>
      <c r="N22" s="2" t="s">
        <v>301</v>
      </c>
      <c r="O22" s="2">
        <v>98</v>
      </c>
      <c r="P22" s="2" t="s">
        <v>260</v>
      </c>
      <c r="Q22" s="2">
        <v>98</v>
      </c>
      <c r="R22" s="2" t="s">
        <v>271</v>
      </c>
      <c r="S22" s="2">
        <v>95</v>
      </c>
      <c r="T22" s="2" t="s">
        <v>302</v>
      </c>
      <c r="U22" s="2">
        <v>92</v>
      </c>
      <c r="V22" s="2" t="s">
        <v>263</v>
      </c>
      <c r="W22" s="2">
        <v>98</v>
      </c>
      <c r="X22" s="2">
        <v>11</v>
      </c>
      <c r="Y22" s="2">
        <v>98</v>
      </c>
      <c r="Z22" s="2" t="s">
        <v>335</v>
      </c>
      <c r="AA22" s="2">
        <v>90</v>
      </c>
      <c r="AB22" s="2" t="s">
        <v>336</v>
      </c>
      <c r="AC22" s="2">
        <v>88</v>
      </c>
      <c r="AD22" s="2">
        <v>7</v>
      </c>
      <c r="AE22" s="2">
        <v>96</v>
      </c>
      <c r="AF22" s="2" t="s">
        <v>337</v>
      </c>
      <c r="AG22" s="2">
        <v>92</v>
      </c>
      <c r="AH22" s="2" t="s">
        <v>338</v>
      </c>
      <c r="AI22" s="2">
        <v>90</v>
      </c>
      <c r="AJ22" s="2" t="s">
        <v>339</v>
      </c>
      <c r="AK22" s="2">
        <v>96</v>
      </c>
    </row>
    <row r="23" spans="1:37" x14ac:dyDescent="0.25">
      <c r="A23" s="2" t="s">
        <v>179</v>
      </c>
      <c r="B23" s="2" t="s">
        <v>256</v>
      </c>
      <c r="C23" s="2" t="s">
        <v>9</v>
      </c>
      <c r="D23" s="3">
        <v>46080.559490740736</v>
      </c>
      <c r="E23" s="2">
        <v>88.54</v>
      </c>
      <c r="F23" s="2">
        <v>78</v>
      </c>
      <c r="G23" s="2">
        <v>5</v>
      </c>
      <c r="I23" s="2" t="s">
        <v>340</v>
      </c>
      <c r="J23" s="2" t="s">
        <v>258</v>
      </c>
      <c r="K23" s="2">
        <v>1</v>
      </c>
      <c r="L23" s="2">
        <v>1507018691</v>
      </c>
      <c r="M23" s="2">
        <v>98</v>
      </c>
      <c r="N23" s="2" t="s">
        <v>341</v>
      </c>
      <c r="O23" s="2">
        <v>96</v>
      </c>
      <c r="P23" s="2" t="s">
        <v>260</v>
      </c>
      <c r="Q23" s="2">
        <v>92</v>
      </c>
      <c r="R23" s="2" t="s">
        <v>342</v>
      </c>
      <c r="S23" s="2">
        <v>92</v>
      </c>
      <c r="T23" s="2" t="s">
        <v>343</v>
      </c>
      <c r="U23" s="2">
        <v>88</v>
      </c>
      <c r="V23" s="2" t="s">
        <v>263</v>
      </c>
      <c r="W23" s="2">
        <v>96</v>
      </c>
      <c r="X23" s="2">
        <v>10</v>
      </c>
      <c r="Y23" s="2">
        <v>95</v>
      </c>
      <c r="Z23" s="2" t="s">
        <v>344</v>
      </c>
      <c r="AA23" s="2">
        <v>95</v>
      </c>
      <c r="AB23" s="2" t="s">
        <v>345</v>
      </c>
      <c r="AC23" s="2">
        <v>90</v>
      </c>
      <c r="AD23" s="2">
        <v>240</v>
      </c>
      <c r="AE23" s="2">
        <v>94</v>
      </c>
      <c r="AF23" s="2" t="s">
        <v>346</v>
      </c>
      <c r="AG23" s="2">
        <v>92</v>
      </c>
      <c r="AH23" s="2" t="s">
        <v>347</v>
      </c>
      <c r="AI23" s="2">
        <v>94</v>
      </c>
      <c r="AK23" s="2">
        <v>20</v>
      </c>
    </row>
    <row r="24" spans="1:37" x14ac:dyDescent="0.25">
      <c r="A24" s="2" t="s">
        <v>179</v>
      </c>
      <c r="B24" s="2" t="s">
        <v>256</v>
      </c>
      <c r="C24" s="2" t="s">
        <v>9</v>
      </c>
      <c r="D24" s="3">
        <v>46080.559490740736</v>
      </c>
      <c r="E24" s="2">
        <v>88.54</v>
      </c>
      <c r="F24" s="2">
        <v>78</v>
      </c>
      <c r="G24" s="2">
        <v>5</v>
      </c>
      <c r="I24" s="2" t="s">
        <v>340</v>
      </c>
      <c r="J24" s="2" t="s">
        <v>258</v>
      </c>
      <c r="K24" s="2">
        <v>2</v>
      </c>
      <c r="L24" s="2">
        <v>1507018691</v>
      </c>
      <c r="M24" s="2">
        <v>98</v>
      </c>
      <c r="N24" s="2" t="s">
        <v>341</v>
      </c>
      <c r="O24" s="2">
        <v>96</v>
      </c>
      <c r="P24" s="2" t="s">
        <v>260</v>
      </c>
      <c r="Q24" s="2">
        <v>92</v>
      </c>
      <c r="R24" s="2" t="s">
        <v>342</v>
      </c>
      <c r="S24" s="2">
        <v>92</v>
      </c>
      <c r="T24" s="2" t="s">
        <v>343</v>
      </c>
      <c r="U24" s="2">
        <v>88</v>
      </c>
      <c r="V24" s="2" t="s">
        <v>263</v>
      </c>
      <c r="W24" s="2">
        <v>96</v>
      </c>
      <c r="X24" s="2">
        <v>210</v>
      </c>
      <c r="Y24" s="2">
        <v>95</v>
      </c>
      <c r="Z24" s="2" t="s">
        <v>348</v>
      </c>
      <c r="AA24" s="2">
        <v>95</v>
      </c>
      <c r="AB24" s="2" t="s">
        <v>349</v>
      </c>
      <c r="AC24" s="2">
        <v>92</v>
      </c>
      <c r="AD24" s="2">
        <v>240</v>
      </c>
      <c r="AE24" s="2">
        <v>94</v>
      </c>
      <c r="AF24" s="2" t="s">
        <v>346</v>
      </c>
      <c r="AG24" s="2">
        <v>92</v>
      </c>
      <c r="AH24" s="2" t="s">
        <v>347</v>
      </c>
      <c r="AI24" s="2">
        <v>95</v>
      </c>
      <c r="AJ24" s="2" t="s">
        <v>350</v>
      </c>
      <c r="AK24" s="2">
        <v>95</v>
      </c>
    </row>
    <row r="25" spans="1:37" x14ac:dyDescent="0.25">
      <c r="A25" s="2" t="s">
        <v>179</v>
      </c>
      <c r="B25" s="2" t="s">
        <v>256</v>
      </c>
      <c r="C25" s="2" t="s">
        <v>9</v>
      </c>
      <c r="D25" s="3">
        <v>46080.559490740736</v>
      </c>
      <c r="E25" s="2">
        <v>88.54</v>
      </c>
      <c r="F25" s="2">
        <v>78</v>
      </c>
      <c r="G25" s="2">
        <v>5</v>
      </c>
      <c r="I25" s="2" t="s">
        <v>340</v>
      </c>
      <c r="J25" s="2" t="s">
        <v>258</v>
      </c>
      <c r="K25" s="2">
        <v>3</v>
      </c>
      <c r="L25" s="2">
        <v>1507018691</v>
      </c>
      <c r="M25" s="2">
        <v>98</v>
      </c>
      <c r="N25" s="2" t="s">
        <v>341</v>
      </c>
      <c r="O25" s="2">
        <v>96</v>
      </c>
      <c r="P25" s="2" t="s">
        <v>260</v>
      </c>
      <c r="Q25" s="2">
        <v>92</v>
      </c>
      <c r="R25" s="2" t="s">
        <v>342</v>
      </c>
      <c r="S25" s="2">
        <v>92</v>
      </c>
      <c r="T25" s="2" t="s">
        <v>343</v>
      </c>
      <c r="U25" s="2">
        <v>88</v>
      </c>
      <c r="V25" s="2" t="s">
        <v>263</v>
      </c>
      <c r="W25" s="2">
        <v>96</v>
      </c>
      <c r="X25" s="2">
        <v>440</v>
      </c>
      <c r="Y25" s="2">
        <v>95</v>
      </c>
      <c r="Z25" s="2" t="s">
        <v>351</v>
      </c>
      <c r="AA25" s="2">
        <v>95</v>
      </c>
      <c r="AB25" s="2" t="s">
        <v>352</v>
      </c>
      <c r="AC25" s="2">
        <v>90</v>
      </c>
      <c r="AD25" s="2">
        <v>240</v>
      </c>
      <c r="AE25" s="2">
        <v>90</v>
      </c>
      <c r="AF25" s="2" t="s">
        <v>346</v>
      </c>
      <c r="AG25" s="2">
        <v>88</v>
      </c>
      <c r="AI25" s="2">
        <v>30</v>
      </c>
      <c r="AJ25" s="2" t="s">
        <v>350</v>
      </c>
      <c r="AK25" s="2">
        <v>95</v>
      </c>
    </row>
    <row r="26" spans="1:37" x14ac:dyDescent="0.25">
      <c r="A26" s="2" t="s">
        <v>179</v>
      </c>
      <c r="B26" s="2" t="s">
        <v>256</v>
      </c>
      <c r="C26" s="2" t="s">
        <v>9</v>
      </c>
      <c r="D26" s="3">
        <v>46080.559490740736</v>
      </c>
      <c r="E26" s="2">
        <v>88.54</v>
      </c>
      <c r="F26" s="2">
        <v>78</v>
      </c>
      <c r="G26" s="2">
        <v>5</v>
      </c>
      <c r="I26" s="2" t="s">
        <v>340</v>
      </c>
      <c r="J26" s="2" t="s">
        <v>258</v>
      </c>
      <c r="K26" s="2">
        <v>4</v>
      </c>
      <c r="L26" s="2">
        <v>1507018691</v>
      </c>
      <c r="M26" s="2">
        <v>98</v>
      </c>
      <c r="N26" s="2" t="s">
        <v>341</v>
      </c>
      <c r="O26" s="2">
        <v>96</v>
      </c>
      <c r="P26" s="2" t="s">
        <v>260</v>
      </c>
      <c r="Q26" s="2">
        <v>92</v>
      </c>
      <c r="R26" s="2" t="s">
        <v>342</v>
      </c>
      <c r="S26" s="2">
        <v>92</v>
      </c>
      <c r="T26" s="2" t="s">
        <v>343</v>
      </c>
      <c r="U26" s="2">
        <v>88</v>
      </c>
      <c r="V26" s="2" t="s">
        <v>263</v>
      </c>
      <c r="W26" s="2">
        <v>96</v>
      </c>
      <c r="X26" s="2">
        <v>660</v>
      </c>
      <c r="Y26" s="2">
        <v>95</v>
      </c>
      <c r="Z26" s="2" t="s">
        <v>353</v>
      </c>
      <c r="AA26" s="2">
        <v>95</v>
      </c>
      <c r="AB26" s="2" t="s">
        <v>354</v>
      </c>
      <c r="AC26" s="2">
        <v>92</v>
      </c>
      <c r="AD26" s="2">
        <v>240</v>
      </c>
      <c r="AE26" s="2">
        <v>94</v>
      </c>
      <c r="AF26" s="2" t="s">
        <v>346</v>
      </c>
      <c r="AG26" s="2">
        <v>92</v>
      </c>
      <c r="AH26" s="2" t="s">
        <v>355</v>
      </c>
      <c r="AI26" s="2">
        <v>95</v>
      </c>
      <c r="AK26" s="2">
        <v>25</v>
      </c>
    </row>
    <row r="27" spans="1:37" x14ac:dyDescent="0.25">
      <c r="A27" s="2" t="s">
        <v>179</v>
      </c>
      <c r="B27" s="2" t="s">
        <v>256</v>
      </c>
      <c r="C27" s="2" t="s">
        <v>9</v>
      </c>
      <c r="D27" s="3">
        <v>46080.559490740736</v>
      </c>
      <c r="E27" s="2">
        <v>88.54</v>
      </c>
      <c r="F27" s="2">
        <v>78</v>
      </c>
      <c r="G27" s="2">
        <v>5</v>
      </c>
      <c r="I27" s="2" t="s">
        <v>340</v>
      </c>
      <c r="J27" s="2" t="s">
        <v>258</v>
      </c>
      <c r="K27" s="2">
        <v>5</v>
      </c>
      <c r="L27" s="2">
        <v>1507018691</v>
      </c>
      <c r="M27" s="2">
        <v>98</v>
      </c>
      <c r="N27" s="2" t="s">
        <v>341</v>
      </c>
      <c r="O27" s="2">
        <v>96</v>
      </c>
      <c r="P27" s="2" t="s">
        <v>260</v>
      </c>
      <c r="Q27" s="2">
        <v>92</v>
      </c>
      <c r="R27" s="2" t="s">
        <v>342</v>
      </c>
      <c r="S27" s="2">
        <v>92</v>
      </c>
      <c r="T27" s="2" t="s">
        <v>343</v>
      </c>
      <c r="U27" s="2">
        <v>88</v>
      </c>
      <c r="V27" s="2" t="s">
        <v>263</v>
      </c>
      <c r="W27" s="2">
        <v>96</v>
      </c>
      <c r="X27" s="2">
        <v>730</v>
      </c>
      <c r="Y27" s="2">
        <v>95</v>
      </c>
      <c r="Z27" s="2" t="s">
        <v>356</v>
      </c>
      <c r="AA27" s="2">
        <v>95</v>
      </c>
      <c r="AB27" s="2" t="s">
        <v>357</v>
      </c>
      <c r="AC27" s="2">
        <v>92</v>
      </c>
      <c r="AD27" s="2">
        <v>72</v>
      </c>
      <c r="AE27" s="2">
        <v>94</v>
      </c>
      <c r="AF27" s="2" t="s">
        <v>346</v>
      </c>
      <c r="AG27" s="2">
        <v>92</v>
      </c>
      <c r="AH27" s="2" t="s">
        <v>358</v>
      </c>
      <c r="AI27" s="2">
        <v>95</v>
      </c>
      <c r="AK27" s="2">
        <v>25</v>
      </c>
    </row>
    <row r="28" spans="1:37" x14ac:dyDescent="0.25">
      <c r="A28" s="2" t="s">
        <v>179</v>
      </c>
      <c r="B28" s="2" t="s">
        <v>256</v>
      </c>
      <c r="C28" s="2" t="s">
        <v>9</v>
      </c>
      <c r="D28" s="3">
        <v>46080.559490740736</v>
      </c>
      <c r="E28" s="2">
        <v>88.54</v>
      </c>
      <c r="F28" s="2">
        <v>78</v>
      </c>
      <c r="G28" s="2">
        <v>5</v>
      </c>
      <c r="I28" s="2" t="s">
        <v>340</v>
      </c>
      <c r="J28" s="2" t="s">
        <v>258</v>
      </c>
      <c r="K28" s="2">
        <v>6</v>
      </c>
      <c r="L28" s="2">
        <v>1507018691</v>
      </c>
      <c r="M28" s="2">
        <v>98</v>
      </c>
      <c r="N28" s="2" t="s">
        <v>341</v>
      </c>
      <c r="O28" s="2">
        <v>96</v>
      </c>
      <c r="P28" s="2" t="s">
        <v>260</v>
      </c>
      <c r="Q28" s="2">
        <v>92</v>
      </c>
      <c r="R28" s="2" t="s">
        <v>342</v>
      </c>
      <c r="S28" s="2">
        <v>92</v>
      </c>
      <c r="T28" s="2" t="s">
        <v>343</v>
      </c>
      <c r="U28" s="2">
        <v>88</v>
      </c>
      <c r="V28" s="2" t="s">
        <v>263</v>
      </c>
      <c r="W28" s="2">
        <v>96</v>
      </c>
      <c r="X28" s="2">
        <v>810</v>
      </c>
      <c r="Y28" s="2">
        <v>95</v>
      </c>
      <c r="Z28" s="2" t="s">
        <v>359</v>
      </c>
      <c r="AA28" s="2">
        <v>95</v>
      </c>
      <c r="AB28" s="2" t="s">
        <v>360</v>
      </c>
      <c r="AC28" s="2">
        <v>92</v>
      </c>
      <c r="AD28" s="2">
        <v>168</v>
      </c>
      <c r="AE28" s="2">
        <v>94</v>
      </c>
      <c r="AF28" s="2" t="s">
        <v>346</v>
      </c>
      <c r="AG28" s="2">
        <v>92</v>
      </c>
      <c r="AH28" s="2" t="s">
        <v>361</v>
      </c>
      <c r="AI28" s="2">
        <v>95</v>
      </c>
      <c r="AK28" s="2">
        <v>20</v>
      </c>
    </row>
    <row r="29" spans="1:37" x14ac:dyDescent="0.25">
      <c r="A29" s="2" t="s">
        <v>155</v>
      </c>
      <c r="B29" s="2" t="s">
        <v>256</v>
      </c>
      <c r="C29" s="2" t="s">
        <v>9</v>
      </c>
      <c r="D29" s="3">
        <v>46080.559490740736</v>
      </c>
      <c r="E29" s="2">
        <v>89.42</v>
      </c>
      <c r="F29" s="2">
        <v>39</v>
      </c>
      <c r="G29" s="2">
        <v>3</v>
      </c>
      <c r="I29" s="2" t="s">
        <v>362</v>
      </c>
      <c r="J29" s="2" t="s">
        <v>258</v>
      </c>
      <c r="K29" s="2">
        <v>1</v>
      </c>
      <c r="L29" s="2">
        <v>3504015924</v>
      </c>
      <c r="M29" s="2">
        <v>95</v>
      </c>
      <c r="N29" s="2" t="s">
        <v>363</v>
      </c>
      <c r="O29" s="2">
        <v>90</v>
      </c>
      <c r="P29" s="2" t="s">
        <v>260</v>
      </c>
      <c r="Q29" s="2">
        <v>95</v>
      </c>
      <c r="R29" s="2" t="s">
        <v>342</v>
      </c>
      <c r="S29" s="2">
        <v>95</v>
      </c>
      <c r="T29" s="2" t="s">
        <v>364</v>
      </c>
      <c r="U29" s="2">
        <v>95</v>
      </c>
      <c r="V29" s="2" t="s">
        <v>263</v>
      </c>
      <c r="W29" s="2">
        <v>100</v>
      </c>
      <c r="X29" s="2">
        <v>10</v>
      </c>
      <c r="Y29" s="2">
        <v>95</v>
      </c>
      <c r="Z29" s="2" t="s">
        <v>348</v>
      </c>
      <c r="AA29" s="2">
        <v>95</v>
      </c>
      <c r="AB29" s="2" t="s">
        <v>349</v>
      </c>
      <c r="AC29" s="2">
        <v>90</v>
      </c>
      <c r="AD29" s="2">
        <v>128</v>
      </c>
      <c r="AE29" s="2">
        <v>95</v>
      </c>
      <c r="AF29" s="2" t="s">
        <v>346</v>
      </c>
      <c r="AG29" s="2">
        <v>90</v>
      </c>
      <c r="AH29" s="2" t="s">
        <v>365</v>
      </c>
      <c r="AI29" s="2">
        <v>95</v>
      </c>
      <c r="AK29" s="2">
        <v>20</v>
      </c>
    </row>
    <row r="30" spans="1:37" x14ac:dyDescent="0.25">
      <c r="A30" s="2" t="s">
        <v>155</v>
      </c>
      <c r="B30" s="2" t="s">
        <v>256</v>
      </c>
      <c r="C30" s="2" t="s">
        <v>9</v>
      </c>
      <c r="D30" s="3">
        <v>46080.559490740736</v>
      </c>
      <c r="E30" s="2">
        <v>89.42</v>
      </c>
      <c r="F30" s="2">
        <v>39</v>
      </c>
      <c r="G30" s="2">
        <v>3</v>
      </c>
      <c r="I30" s="2" t="s">
        <v>362</v>
      </c>
      <c r="J30" s="2" t="s">
        <v>258</v>
      </c>
      <c r="K30" s="2">
        <v>2</v>
      </c>
      <c r="L30" s="2">
        <v>3504015924</v>
      </c>
      <c r="M30" s="2">
        <v>95</v>
      </c>
      <c r="N30" s="2" t="s">
        <v>363</v>
      </c>
      <c r="O30" s="2">
        <v>90</v>
      </c>
      <c r="P30" s="2" t="s">
        <v>260</v>
      </c>
      <c r="Q30" s="2">
        <v>95</v>
      </c>
      <c r="R30" s="2" t="s">
        <v>342</v>
      </c>
      <c r="S30" s="2">
        <v>95</v>
      </c>
      <c r="T30" s="2" t="s">
        <v>364</v>
      </c>
      <c r="U30" s="2">
        <v>95</v>
      </c>
      <c r="V30" s="2" t="s">
        <v>263</v>
      </c>
      <c r="W30" s="2">
        <v>100</v>
      </c>
      <c r="X30" s="2">
        <v>20</v>
      </c>
      <c r="Y30" s="2">
        <v>95</v>
      </c>
      <c r="Z30" s="2" t="s">
        <v>366</v>
      </c>
      <c r="AA30" s="2">
        <v>95</v>
      </c>
      <c r="AB30" s="2" t="s">
        <v>367</v>
      </c>
      <c r="AC30" s="2">
        <v>90</v>
      </c>
      <c r="AD30" s="2">
        <v>48</v>
      </c>
      <c r="AE30" s="2">
        <v>95</v>
      </c>
      <c r="AF30" s="2" t="s">
        <v>346</v>
      </c>
      <c r="AG30" s="2">
        <v>90</v>
      </c>
      <c r="AH30" s="2" t="s">
        <v>368</v>
      </c>
      <c r="AI30" s="2">
        <v>95</v>
      </c>
      <c r="AK30" s="2">
        <v>20</v>
      </c>
    </row>
    <row r="31" spans="1:37" x14ac:dyDescent="0.25">
      <c r="A31" s="2" t="s">
        <v>155</v>
      </c>
      <c r="B31" s="2" t="s">
        <v>256</v>
      </c>
      <c r="C31" s="2" t="s">
        <v>9</v>
      </c>
      <c r="D31" s="3">
        <v>46080.559490740736</v>
      </c>
      <c r="E31" s="2">
        <v>89.42</v>
      </c>
      <c r="F31" s="2">
        <v>39</v>
      </c>
      <c r="G31" s="2">
        <v>3</v>
      </c>
      <c r="I31" s="2" t="s">
        <v>362</v>
      </c>
      <c r="J31" s="2" t="s">
        <v>258</v>
      </c>
      <c r="K31" s="2">
        <v>3</v>
      </c>
      <c r="L31" s="2">
        <v>3504015924</v>
      </c>
      <c r="M31" s="2">
        <v>95</v>
      </c>
      <c r="N31" s="2" t="s">
        <v>363</v>
      </c>
      <c r="O31" s="2">
        <v>90</v>
      </c>
      <c r="P31" s="2" t="s">
        <v>260</v>
      </c>
      <c r="Q31" s="2">
        <v>95</v>
      </c>
      <c r="R31" s="2" t="s">
        <v>342</v>
      </c>
      <c r="S31" s="2">
        <v>95</v>
      </c>
      <c r="T31" s="2" t="s">
        <v>364</v>
      </c>
      <c r="U31" s="2">
        <v>95</v>
      </c>
      <c r="V31" s="2" t="s">
        <v>263</v>
      </c>
      <c r="W31" s="2">
        <v>100</v>
      </c>
      <c r="X31" s="2">
        <v>30</v>
      </c>
      <c r="Y31" s="2">
        <v>95</v>
      </c>
      <c r="Z31" s="2" t="s">
        <v>369</v>
      </c>
      <c r="AA31" s="2">
        <v>95</v>
      </c>
      <c r="AB31" s="2" t="s">
        <v>370</v>
      </c>
      <c r="AC31" s="2">
        <v>90</v>
      </c>
      <c r="AD31" s="2">
        <v>84</v>
      </c>
      <c r="AE31" s="2">
        <v>95</v>
      </c>
      <c r="AF31" s="2" t="s">
        <v>346</v>
      </c>
      <c r="AG31" s="2">
        <v>90</v>
      </c>
      <c r="AH31" s="2" t="s">
        <v>371</v>
      </c>
      <c r="AI31" s="2">
        <v>95</v>
      </c>
      <c r="AK31" s="2">
        <v>20</v>
      </c>
    </row>
    <row r="32" spans="1:37" x14ac:dyDescent="0.25">
      <c r="A32" s="2" t="s">
        <v>166</v>
      </c>
      <c r="B32" s="2" t="s">
        <v>256</v>
      </c>
      <c r="C32" s="2" t="s">
        <v>9</v>
      </c>
      <c r="D32" s="3">
        <v>46080.559351851851</v>
      </c>
      <c r="E32" s="2">
        <v>64.8</v>
      </c>
      <c r="F32" s="2">
        <v>1140</v>
      </c>
      <c r="G32" s="2">
        <v>0</v>
      </c>
      <c r="I32" s="2" t="s">
        <v>372</v>
      </c>
      <c r="J32" s="2" t="s">
        <v>258</v>
      </c>
      <c r="K32" s="2">
        <v>1</v>
      </c>
      <c r="L32" s="2">
        <v>3505026639</v>
      </c>
      <c r="M32" s="2">
        <v>50</v>
      </c>
      <c r="N32" s="2" t="s">
        <v>373</v>
      </c>
      <c r="O32" s="2">
        <v>50</v>
      </c>
      <c r="P32" s="2" t="s">
        <v>374</v>
      </c>
      <c r="Q32" s="2">
        <v>50</v>
      </c>
      <c r="R32" s="2" t="s">
        <v>375</v>
      </c>
      <c r="S32" s="2">
        <v>50</v>
      </c>
      <c r="T32" s="2" t="s">
        <v>376</v>
      </c>
      <c r="U32" s="2">
        <v>50</v>
      </c>
      <c r="V32" s="2" t="s">
        <v>263</v>
      </c>
      <c r="W32" s="2">
        <v>50</v>
      </c>
      <c r="X32" s="2">
        <v>10</v>
      </c>
      <c r="Y32" s="2">
        <v>50</v>
      </c>
      <c r="Z32" s="2" t="s">
        <v>377</v>
      </c>
      <c r="AA32" s="2">
        <v>50</v>
      </c>
      <c r="AB32" s="2" t="s">
        <v>378</v>
      </c>
      <c r="AC32" s="2">
        <v>50</v>
      </c>
      <c r="AD32" s="2">
        <v>4</v>
      </c>
      <c r="AE32" s="2">
        <v>50</v>
      </c>
      <c r="AF32" s="2" t="s">
        <v>379</v>
      </c>
      <c r="AG32" s="2">
        <v>50</v>
      </c>
      <c r="AH32" s="2" t="s">
        <v>380</v>
      </c>
      <c r="AI32" s="2">
        <v>50</v>
      </c>
      <c r="AJ32" s="2" t="s">
        <v>381</v>
      </c>
      <c r="AK32" s="2">
        <v>50</v>
      </c>
    </row>
    <row r="33" spans="1:37" x14ac:dyDescent="0.25">
      <c r="A33" s="2" t="s">
        <v>166</v>
      </c>
      <c r="B33" s="2" t="s">
        <v>256</v>
      </c>
      <c r="C33" s="2" t="s">
        <v>9</v>
      </c>
      <c r="D33" s="3">
        <v>46080.559351851851</v>
      </c>
      <c r="E33" s="2">
        <v>64.8</v>
      </c>
      <c r="F33" s="2">
        <v>1140</v>
      </c>
      <c r="G33" s="2">
        <v>0</v>
      </c>
      <c r="I33" s="2" t="s">
        <v>372</v>
      </c>
      <c r="J33" s="2" t="s">
        <v>258</v>
      </c>
      <c r="K33" s="2">
        <v>2</v>
      </c>
      <c r="L33" s="2">
        <v>3505026639</v>
      </c>
      <c r="M33" s="2">
        <v>50</v>
      </c>
      <c r="N33" s="2" t="s">
        <v>373</v>
      </c>
      <c r="O33" s="2">
        <v>50</v>
      </c>
      <c r="P33" s="2" t="s">
        <v>374</v>
      </c>
      <c r="Q33" s="2">
        <v>50</v>
      </c>
      <c r="R33" s="2" t="s">
        <v>375</v>
      </c>
      <c r="S33" s="2">
        <v>50</v>
      </c>
      <c r="T33" s="2" t="s">
        <v>376</v>
      </c>
      <c r="U33" s="2">
        <v>50</v>
      </c>
      <c r="V33" s="2" t="s">
        <v>263</v>
      </c>
      <c r="W33" s="2">
        <v>50</v>
      </c>
      <c r="X33" s="2">
        <v>20</v>
      </c>
      <c r="Y33" s="2">
        <v>50</v>
      </c>
      <c r="Z33" s="2" t="s">
        <v>382</v>
      </c>
      <c r="AA33" s="2">
        <v>50</v>
      </c>
      <c r="AB33" s="2" t="s">
        <v>383</v>
      </c>
      <c r="AC33" s="2">
        <v>50</v>
      </c>
      <c r="AD33" s="2">
        <v>60</v>
      </c>
      <c r="AE33" s="2">
        <v>50</v>
      </c>
      <c r="AF33" s="2" t="s">
        <v>379</v>
      </c>
      <c r="AG33" s="2">
        <v>50</v>
      </c>
      <c r="AH33" s="2" t="s">
        <v>384</v>
      </c>
      <c r="AI33" s="2">
        <v>50</v>
      </c>
      <c r="AJ33" s="2" t="s">
        <v>381</v>
      </c>
      <c r="AK33" s="2">
        <v>50</v>
      </c>
    </row>
    <row r="34" spans="1:37" x14ac:dyDescent="0.25">
      <c r="A34" s="2" t="s">
        <v>166</v>
      </c>
      <c r="B34" s="2" t="s">
        <v>256</v>
      </c>
      <c r="C34" s="2" t="s">
        <v>9</v>
      </c>
      <c r="D34" s="3">
        <v>46080.559351851851</v>
      </c>
      <c r="E34" s="2">
        <v>64.8</v>
      </c>
      <c r="F34" s="2">
        <v>1140</v>
      </c>
      <c r="G34" s="2">
        <v>0</v>
      </c>
      <c r="I34" s="2" t="s">
        <v>372</v>
      </c>
      <c r="J34" s="2" t="s">
        <v>258</v>
      </c>
      <c r="K34" s="2">
        <v>3</v>
      </c>
      <c r="L34" s="2">
        <v>3505026639</v>
      </c>
      <c r="M34" s="2">
        <v>50</v>
      </c>
      <c r="N34" s="2" t="s">
        <v>373</v>
      </c>
      <c r="O34" s="2">
        <v>50</v>
      </c>
      <c r="P34" s="2" t="s">
        <v>374</v>
      </c>
      <c r="Q34" s="2">
        <v>50</v>
      </c>
      <c r="R34" s="2" t="s">
        <v>375</v>
      </c>
      <c r="S34" s="2">
        <v>50</v>
      </c>
      <c r="T34" s="2" t="s">
        <v>376</v>
      </c>
      <c r="U34" s="2">
        <v>50</v>
      </c>
      <c r="V34" s="2" t="s">
        <v>263</v>
      </c>
      <c r="W34" s="2">
        <v>50</v>
      </c>
      <c r="X34" s="2">
        <v>30</v>
      </c>
      <c r="Y34" s="2">
        <v>50</v>
      </c>
      <c r="Z34" s="2" t="s">
        <v>385</v>
      </c>
      <c r="AA34" s="2">
        <v>50</v>
      </c>
      <c r="AB34" s="2" t="s">
        <v>386</v>
      </c>
      <c r="AC34" s="2">
        <v>50</v>
      </c>
      <c r="AD34" s="2">
        <v>3</v>
      </c>
      <c r="AE34" s="2">
        <v>50</v>
      </c>
      <c r="AF34" s="2" t="s">
        <v>379</v>
      </c>
      <c r="AG34" s="2">
        <v>50</v>
      </c>
      <c r="AH34" s="2" t="s">
        <v>387</v>
      </c>
      <c r="AI34" s="2">
        <v>50</v>
      </c>
    </row>
    <row r="35" spans="1:37" x14ac:dyDescent="0.25">
      <c r="A35" s="2" t="s">
        <v>166</v>
      </c>
      <c r="B35" s="2" t="s">
        <v>256</v>
      </c>
      <c r="C35" s="2" t="s">
        <v>9</v>
      </c>
      <c r="D35" s="3">
        <v>46080.559351851851</v>
      </c>
      <c r="E35" s="2">
        <v>64.8</v>
      </c>
      <c r="F35" s="2">
        <v>1140</v>
      </c>
      <c r="G35" s="2">
        <v>0</v>
      </c>
      <c r="I35" s="2" t="s">
        <v>372</v>
      </c>
      <c r="J35" s="2" t="s">
        <v>258</v>
      </c>
      <c r="K35" s="2">
        <v>4</v>
      </c>
      <c r="L35" s="2">
        <v>3505026639</v>
      </c>
      <c r="M35" s="2">
        <v>50</v>
      </c>
      <c r="N35" s="2" t="s">
        <v>373</v>
      </c>
      <c r="O35" s="2">
        <v>50</v>
      </c>
      <c r="P35" s="2" t="s">
        <v>374</v>
      </c>
      <c r="Q35" s="2">
        <v>50</v>
      </c>
      <c r="R35" s="2" t="s">
        <v>375</v>
      </c>
      <c r="S35" s="2">
        <v>50</v>
      </c>
      <c r="T35" s="2" t="s">
        <v>376</v>
      </c>
      <c r="U35" s="2">
        <v>50</v>
      </c>
      <c r="V35" s="2" t="s">
        <v>263</v>
      </c>
      <c r="W35" s="2">
        <v>50</v>
      </c>
      <c r="X35" s="2">
        <v>40</v>
      </c>
      <c r="Y35" s="2">
        <v>50</v>
      </c>
      <c r="Z35" s="2" t="s">
        <v>388</v>
      </c>
      <c r="AA35" s="2">
        <v>50</v>
      </c>
      <c r="AB35" s="2" t="s">
        <v>389</v>
      </c>
      <c r="AC35" s="2">
        <v>50</v>
      </c>
      <c r="AD35" s="2">
        <v>2</v>
      </c>
      <c r="AE35" s="2">
        <v>50</v>
      </c>
      <c r="AF35" s="2" t="s">
        <v>379</v>
      </c>
      <c r="AG35" s="2">
        <v>50</v>
      </c>
      <c r="AH35" s="2" t="s">
        <v>390</v>
      </c>
      <c r="AI35" s="2">
        <v>50</v>
      </c>
      <c r="AJ35" s="2" t="s">
        <v>381</v>
      </c>
      <c r="AK35" s="2">
        <v>50</v>
      </c>
    </row>
    <row r="36" spans="1:37" x14ac:dyDescent="0.25">
      <c r="A36" s="2" t="s">
        <v>166</v>
      </c>
      <c r="B36" s="2" t="s">
        <v>256</v>
      </c>
      <c r="C36" s="2" t="s">
        <v>9</v>
      </c>
      <c r="D36" s="3">
        <v>46080.559351851851</v>
      </c>
      <c r="E36" s="2">
        <v>64.8</v>
      </c>
      <c r="F36" s="2">
        <v>1140</v>
      </c>
      <c r="G36" s="2">
        <v>0</v>
      </c>
      <c r="I36" s="2" t="s">
        <v>372</v>
      </c>
      <c r="J36" s="2" t="s">
        <v>258</v>
      </c>
      <c r="K36" s="2">
        <v>5</v>
      </c>
      <c r="L36" s="2">
        <v>3505026639</v>
      </c>
      <c r="M36" s="2">
        <v>50</v>
      </c>
      <c r="N36" s="2" t="s">
        <v>373</v>
      </c>
      <c r="O36" s="2">
        <v>50</v>
      </c>
      <c r="P36" s="2" t="s">
        <v>374</v>
      </c>
      <c r="Q36" s="2">
        <v>50</v>
      </c>
      <c r="R36" s="2" t="s">
        <v>375</v>
      </c>
      <c r="S36" s="2">
        <v>50</v>
      </c>
      <c r="T36" s="2" t="s">
        <v>376</v>
      </c>
      <c r="U36" s="2">
        <v>50</v>
      </c>
      <c r="V36" s="2" t="s">
        <v>263</v>
      </c>
      <c r="W36" s="2">
        <v>50</v>
      </c>
      <c r="X36" s="2">
        <v>50</v>
      </c>
      <c r="Y36" s="2">
        <v>50</v>
      </c>
      <c r="Z36" s="2" t="s">
        <v>391</v>
      </c>
      <c r="AA36" s="2">
        <v>50</v>
      </c>
      <c r="AB36" s="2" t="s">
        <v>392</v>
      </c>
      <c r="AC36" s="2">
        <v>50</v>
      </c>
      <c r="AD36" s="2">
        <v>2</v>
      </c>
      <c r="AE36" s="2">
        <v>50</v>
      </c>
      <c r="AF36" s="2" t="s">
        <v>379</v>
      </c>
      <c r="AG36" s="2">
        <v>50</v>
      </c>
      <c r="AH36" s="2" t="s">
        <v>393</v>
      </c>
      <c r="AI36" s="2">
        <v>50</v>
      </c>
      <c r="AJ36" s="2" t="s">
        <v>381</v>
      </c>
      <c r="AK36" s="2">
        <v>50</v>
      </c>
    </row>
    <row r="37" spans="1:37" x14ac:dyDescent="0.25">
      <c r="A37" s="2" t="s">
        <v>166</v>
      </c>
      <c r="B37" s="2" t="s">
        <v>256</v>
      </c>
      <c r="C37" s="2" t="s">
        <v>9</v>
      </c>
      <c r="D37" s="3">
        <v>46080.559351851851</v>
      </c>
      <c r="E37" s="2">
        <v>64.8</v>
      </c>
      <c r="F37" s="2">
        <v>1140</v>
      </c>
      <c r="G37" s="2">
        <v>0</v>
      </c>
      <c r="I37" s="2" t="s">
        <v>372</v>
      </c>
      <c r="J37" s="2" t="s">
        <v>258</v>
      </c>
      <c r="K37" s="2">
        <v>6</v>
      </c>
      <c r="L37" s="2">
        <v>3505026639</v>
      </c>
      <c r="M37" s="2">
        <v>50</v>
      </c>
      <c r="N37" s="2" t="s">
        <v>373</v>
      </c>
      <c r="O37" s="2">
        <v>50</v>
      </c>
      <c r="P37" s="2" t="s">
        <v>374</v>
      </c>
      <c r="Q37" s="2">
        <v>50</v>
      </c>
      <c r="R37" s="2" t="s">
        <v>375</v>
      </c>
      <c r="S37" s="2">
        <v>50</v>
      </c>
      <c r="T37" s="2" t="s">
        <v>376</v>
      </c>
      <c r="U37" s="2">
        <v>50</v>
      </c>
      <c r="V37" s="2" t="s">
        <v>263</v>
      </c>
      <c r="W37" s="2">
        <v>50</v>
      </c>
      <c r="X37" s="2">
        <v>60</v>
      </c>
      <c r="Y37" s="2">
        <v>50</v>
      </c>
      <c r="Z37" s="2" t="s">
        <v>394</v>
      </c>
      <c r="AA37" s="2">
        <v>50</v>
      </c>
      <c r="AB37" s="2" t="s">
        <v>395</v>
      </c>
      <c r="AC37" s="2">
        <v>50</v>
      </c>
      <c r="AD37" s="2">
        <v>2</v>
      </c>
      <c r="AE37" s="2">
        <v>50</v>
      </c>
      <c r="AF37" s="2" t="s">
        <v>379</v>
      </c>
      <c r="AG37" s="2">
        <v>50</v>
      </c>
      <c r="AH37" s="2" t="s">
        <v>396</v>
      </c>
      <c r="AI37" s="2">
        <v>50</v>
      </c>
      <c r="AJ37" s="2" t="s">
        <v>381</v>
      </c>
      <c r="AK37" s="2">
        <v>50</v>
      </c>
    </row>
    <row r="38" spans="1:37" x14ac:dyDescent="0.25">
      <c r="A38" s="2" t="s">
        <v>166</v>
      </c>
      <c r="B38" s="2" t="s">
        <v>256</v>
      </c>
      <c r="C38" s="2" t="s">
        <v>9</v>
      </c>
      <c r="D38" s="3">
        <v>46080.559351851851</v>
      </c>
      <c r="E38" s="2">
        <v>64.8</v>
      </c>
      <c r="F38" s="2">
        <v>1140</v>
      </c>
      <c r="G38" s="2">
        <v>0</v>
      </c>
      <c r="I38" s="2" t="s">
        <v>372</v>
      </c>
      <c r="J38" s="2" t="s">
        <v>258</v>
      </c>
      <c r="K38" s="2">
        <v>7</v>
      </c>
      <c r="L38" s="2">
        <v>3505026639</v>
      </c>
      <c r="M38" s="2">
        <v>50</v>
      </c>
      <c r="N38" s="2" t="s">
        <v>373</v>
      </c>
      <c r="O38" s="2">
        <v>50</v>
      </c>
      <c r="P38" s="2" t="s">
        <v>374</v>
      </c>
      <c r="Q38" s="2">
        <v>50</v>
      </c>
      <c r="R38" s="2" t="s">
        <v>375</v>
      </c>
      <c r="S38" s="2">
        <v>50</v>
      </c>
      <c r="T38" s="2" t="s">
        <v>376</v>
      </c>
      <c r="U38" s="2">
        <v>50</v>
      </c>
      <c r="V38" s="2" t="s">
        <v>263</v>
      </c>
      <c r="W38" s="2">
        <v>50</v>
      </c>
      <c r="X38" s="2">
        <v>70</v>
      </c>
      <c r="Y38" s="2">
        <v>50</v>
      </c>
      <c r="Z38" s="2" t="s">
        <v>397</v>
      </c>
      <c r="AA38" s="2">
        <v>50</v>
      </c>
      <c r="AB38" s="2" t="s">
        <v>398</v>
      </c>
      <c r="AC38" s="2">
        <v>50</v>
      </c>
      <c r="AD38" s="2">
        <v>7</v>
      </c>
      <c r="AE38" s="2">
        <v>50</v>
      </c>
      <c r="AF38" s="2" t="s">
        <v>379</v>
      </c>
      <c r="AG38" s="2">
        <v>50</v>
      </c>
      <c r="AH38" s="2" t="s">
        <v>399</v>
      </c>
      <c r="AI38" s="2">
        <v>50</v>
      </c>
      <c r="AJ38" s="2" t="s">
        <v>381</v>
      </c>
      <c r="AK38" s="2">
        <v>50</v>
      </c>
    </row>
    <row r="39" spans="1:37" x14ac:dyDescent="0.25">
      <c r="A39" s="2" t="s">
        <v>166</v>
      </c>
      <c r="B39" s="2" t="s">
        <v>256</v>
      </c>
      <c r="C39" s="2" t="s">
        <v>9</v>
      </c>
      <c r="D39" s="3">
        <v>46080.559351851851</v>
      </c>
      <c r="E39" s="2">
        <v>64.8</v>
      </c>
      <c r="F39" s="2">
        <v>1140</v>
      </c>
      <c r="G39" s="2">
        <v>0</v>
      </c>
      <c r="I39" s="2" t="s">
        <v>372</v>
      </c>
      <c r="J39" s="2" t="s">
        <v>258</v>
      </c>
      <c r="K39" s="2">
        <v>8</v>
      </c>
      <c r="L39" s="2">
        <v>3505026639</v>
      </c>
      <c r="M39" s="2">
        <v>50</v>
      </c>
      <c r="N39" s="2" t="s">
        <v>373</v>
      </c>
      <c r="O39" s="2">
        <v>50</v>
      </c>
      <c r="P39" s="2" t="s">
        <v>374</v>
      </c>
      <c r="Q39" s="2">
        <v>50</v>
      </c>
      <c r="R39" s="2" t="s">
        <v>375</v>
      </c>
      <c r="S39" s="2">
        <v>50</v>
      </c>
      <c r="T39" s="2" t="s">
        <v>376</v>
      </c>
      <c r="U39" s="2">
        <v>50</v>
      </c>
      <c r="V39" s="2" t="s">
        <v>263</v>
      </c>
      <c r="W39" s="2">
        <v>50</v>
      </c>
      <c r="X39" s="2">
        <v>80</v>
      </c>
      <c r="Y39" s="2">
        <v>50</v>
      </c>
      <c r="Z39" s="2" t="s">
        <v>400</v>
      </c>
      <c r="AA39" s="2">
        <v>50</v>
      </c>
      <c r="AB39" s="2" t="s">
        <v>401</v>
      </c>
      <c r="AC39" s="2">
        <v>50</v>
      </c>
      <c r="AD39" s="2">
        <v>24</v>
      </c>
      <c r="AE39" s="2">
        <v>50</v>
      </c>
      <c r="AF39" s="2" t="s">
        <v>379</v>
      </c>
      <c r="AG39" s="2">
        <v>50</v>
      </c>
      <c r="AH39" s="2" t="s">
        <v>402</v>
      </c>
      <c r="AI39" s="2">
        <v>50</v>
      </c>
      <c r="AJ39" s="2" t="s">
        <v>381</v>
      </c>
      <c r="AK39" s="2">
        <v>50</v>
      </c>
    </row>
    <row r="40" spans="1:37" x14ac:dyDescent="0.25">
      <c r="A40" s="2" t="s">
        <v>166</v>
      </c>
      <c r="B40" s="2" t="s">
        <v>256</v>
      </c>
      <c r="C40" s="2" t="s">
        <v>9</v>
      </c>
      <c r="D40" s="3">
        <v>46080.559351851851</v>
      </c>
      <c r="E40" s="2">
        <v>64.8</v>
      </c>
      <c r="F40" s="2">
        <v>1140</v>
      </c>
      <c r="G40" s="2">
        <v>0</v>
      </c>
      <c r="I40" s="2" t="s">
        <v>372</v>
      </c>
      <c r="J40" s="2" t="s">
        <v>258</v>
      </c>
      <c r="K40" s="2">
        <v>9</v>
      </c>
      <c r="L40" s="2">
        <v>3505026639</v>
      </c>
      <c r="M40" s="2">
        <v>50</v>
      </c>
      <c r="N40" s="2" t="s">
        <v>373</v>
      </c>
      <c r="O40" s="2">
        <v>50</v>
      </c>
      <c r="P40" s="2" t="s">
        <v>374</v>
      </c>
      <c r="Q40" s="2">
        <v>50</v>
      </c>
      <c r="R40" s="2" t="s">
        <v>375</v>
      </c>
      <c r="S40" s="2">
        <v>50</v>
      </c>
      <c r="T40" s="2" t="s">
        <v>376</v>
      </c>
      <c r="U40" s="2">
        <v>50</v>
      </c>
      <c r="V40" s="2" t="s">
        <v>263</v>
      </c>
      <c r="W40" s="2">
        <v>50</v>
      </c>
      <c r="X40" s="2">
        <v>90</v>
      </c>
      <c r="Y40" s="2">
        <v>50</v>
      </c>
      <c r="Z40" s="2" t="s">
        <v>403</v>
      </c>
      <c r="AA40" s="2">
        <v>50</v>
      </c>
      <c r="AB40" s="2" t="s">
        <v>404</v>
      </c>
      <c r="AC40" s="2">
        <v>50</v>
      </c>
      <c r="AD40" s="2">
        <v>15</v>
      </c>
      <c r="AE40" s="2">
        <v>50</v>
      </c>
      <c r="AF40" s="2" t="s">
        <v>379</v>
      </c>
      <c r="AG40" s="2">
        <v>50</v>
      </c>
      <c r="AH40" s="2" t="s">
        <v>405</v>
      </c>
      <c r="AI40" s="2">
        <v>50</v>
      </c>
      <c r="AJ40" s="2" t="s">
        <v>381</v>
      </c>
      <c r="AK40" s="2">
        <v>50</v>
      </c>
    </row>
    <row r="41" spans="1:37" x14ac:dyDescent="0.25">
      <c r="A41" s="2" t="s">
        <v>166</v>
      </c>
      <c r="B41" s="2" t="s">
        <v>256</v>
      </c>
      <c r="C41" s="2" t="s">
        <v>9</v>
      </c>
      <c r="D41" s="3">
        <v>46080.559351851851</v>
      </c>
      <c r="E41" s="2">
        <v>64.8</v>
      </c>
      <c r="F41" s="2">
        <v>1140</v>
      </c>
      <c r="G41" s="2">
        <v>0</v>
      </c>
      <c r="I41" s="2" t="s">
        <v>372</v>
      </c>
      <c r="J41" s="2" t="s">
        <v>258</v>
      </c>
      <c r="K41" s="2">
        <v>10</v>
      </c>
      <c r="L41" s="2">
        <v>3505026639</v>
      </c>
      <c r="M41" s="2">
        <v>50</v>
      </c>
      <c r="N41" s="2" t="s">
        <v>373</v>
      </c>
      <c r="O41" s="2">
        <v>50</v>
      </c>
      <c r="P41" s="2" t="s">
        <v>374</v>
      </c>
      <c r="Q41" s="2">
        <v>50</v>
      </c>
      <c r="R41" s="2" t="s">
        <v>375</v>
      </c>
      <c r="S41" s="2">
        <v>50</v>
      </c>
      <c r="T41" s="2" t="s">
        <v>376</v>
      </c>
      <c r="U41" s="2">
        <v>50</v>
      </c>
      <c r="V41" s="2" t="s">
        <v>263</v>
      </c>
      <c r="W41" s="2">
        <v>50</v>
      </c>
      <c r="X41" s="2">
        <v>100</v>
      </c>
      <c r="Y41" s="2">
        <v>50</v>
      </c>
      <c r="Z41" s="2" t="s">
        <v>406</v>
      </c>
      <c r="AA41" s="2">
        <v>50</v>
      </c>
      <c r="AB41" s="2" t="s">
        <v>407</v>
      </c>
      <c r="AC41" s="2">
        <v>50</v>
      </c>
      <c r="AD41" s="2">
        <v>7</v>
      </c>
      <c r="AE41" s="2">
        <v>50</v>
      </c>
      <c r="AF41" s="2" t="s">
        <v>379</v>
      </c>
      <c r="AG41" s="2">
        <v>50</v>
      </c>
      <c r="AH41" s="2" t="s">
        <v>408</v>
      </c>
      <c r="AI41" s="2">
        <v>50</v>
      </c>
      <c r="AJ41" s="2" t="s">
        <v>381</v>
      </c>
      <c r="AK41" s="2">
        <v>50</v>
      </c>
    </row>
    <row r="42" spans="1:37" x14ac:dyDescent="0.25">
      <c r="A42" s="2" t="s">
        <v>166</v>
      </c>
      <c r="B42" s="2" t="s">
        <v>256</v>
      </c>
      <c r="C42" s="2" t="s">
        <v>9</v>
      </c>
      <c r="D42" s="3">
        <v>46080.559351851851</v>
      </c>
      <c r="E42" s="2">
        <v>64.8</v>
      </c>
      <c r="F42" s="2">
        <v>1140</v>
      </c>
      <c r="G42" s="2">
        <v>0</v>
      </c>
      <c r="I42" s="2" t="s">
        <v>372</v>
      </c>
      <c r="J42" s="2" t="s">
        <v>258</v>
      </c>
      <c r="K42" s="2">
        <v>11</v>
      </c>
      <c r="L42" s="2">
        <v>3505026639</v>
      </c>
      <c r="M42" s="2">
        <v>50</v>
      </c>
      <c r="N42" s="2" t="s">
        <v>373</v>
      </c>
      <c r="O42" s="2">
        <v>50</v>
      </c>
      <c r="P42" s="2" t="s">
        <v>374</v>
      </c>
      <c r="Q42" s="2">
        <v>50</v>
      </c>
      <c r="R42" s="2" t="s">
        <v>375</v>
      </c>
      <c r="S42" s="2">
        <v>50</v>
      </c>
      <c r="T42" s="2" t="s">
        <v>376</v>
      </c>
      <c r="U42" s="2">
        <v>50</v>
      </c>
      <c r="V42" s="2" t="s">
        <v>263</v>
      </c>
      <c r="W42" s="2">
        <v>50</v>
      </c>
      <c r="X42" s="2">
        <v>110</v>
      </c>
      <c r="Y42" s="2">
        <v>50</v>
      </c>
      <c r="Z42" s="2" t="s">
        <v>409</v>
      </c>
      <c r="AA42" s="2">
        <v>50</v>
      </c>
      <c r="AB42" s="2" t="s">
        <v>410</v>
      </c>
      <c r="AC42" s="2">
        <v>50</v>
      </c>
      <c r="AD42" s="2">
        <v>16</v>
      </c>
      <c r="AE42" s="2">
        <v>50</v>
      </c>
      <c r="AF42" s="2" t="s">
        <v>379</v>
      </c>
      <c r="AG42" s="2">
        <v>50</v>
      </c>
      <c r="AH42" s="2" t="s">
        <v>411</v>
      </c>
      <c r="AI42" s="2">
        <v>50</v>
      </c>
      <c r="AJ42" s="2" t="s">
        <v>381</v>
      </c>
      <c r="AK42" s="2">
        <v>50</v>
      </c>
    </row>
    <row r="43" spans="1:37" x14ac:dyDescent="0.25">
      <c r="A43" s="2" t="s">
        <v>166</v>
      </c>
      <c r="B43" s="2" t="s">
        <v>256</v>
      </c>
      <c r="C43" s="2" t="s">
        <v>9</v>
      </c>
      <c r="D43" s="3">
        <v>46080.559351851851</v>
      </c>
      <c r="E43" s="2">
        <v>64.8</v>
      </c>
      <c r="F43" s="2">
        <v>1140</v>
      </c>
      <c r="G43" s="2">
        <v>0</v>
      </c>
      <c r="I43" s="2" t="s">
        <v>372</v>
      </c>
      <c r="J43" s="2" t="s">
        <v>258</v>
      </c>
      <c r="K43" s="2">
        <v>12</v>
      </c>
      <c r="L43" s="2">
        <v>3505026639</v>
      </c>
      <c r="M43" s="2">
        <v>50</v>
      </c>
      <c r="N43" s="2" t="s">
        <v>373</v>
      </c>
      <c r="O43" s="2">
        <v>50</v>
      </c>
      <c r="P43" s="2" t="s">
        <v>374</v>
      </c>
      <c r="Q43" s="2">
        <v>50</v>
      </c>
      <c r="R43" s="2" t="s">
        <v>375</v>
      </c>
      <c r="S43" s="2">
        <v>50</v>
      </c>
      <c r="T43" s="2" t="s">
        <v>376</v>
      </c>
      <c r="U43" s="2">
        <v>50</v>
      </c>
      <c r="V43" s="2" t="s">
        <v>263</v>
      </c>
      <c r="W43" s="2">
        <v>50</v>
      </c>
      <c r="X43" s="2">
        <v>120</v>
      </c>
      <c r="Y43" s="2">
        <v>50</v>
      </c>
      <c r="Z43" s="2" t="s">
        <v>412</v>
      </c>
      <c r="AA43" s="2">
        <v>50</v>
      </c>
      <c r="AB43" s="2" t="s">
        <v>413</v>
      </c>
      <c r="AC43" s="2">
        <v>50</v>
      </c>
      <c r="AD43" s="2">
        <v>7</v>
      </c>
      <c r="AE43" s="2">
        <v>50</v>
      </c>
      <c r="AF43" s="2" t="s">
        <v>379</v>
      </c>
      <c r="AG43" s="2">
        <v>50</v>
      </c>
      <c r="AH43" s="2" t="s">
        <v>414</v>
      </c>
      <c r="AI43" s="2">
        <v>50</v>
      </c>
      <c r="AJ43" s="2" t="s">
        <v>381</v>
      </c>
      <c r="AK43" s="2">
        <v>50</v>
      </c>
    </row>
    <row r="44" spans="1:37" x14ac:dyDescent="0.25">
      <c r="A44" s="2" t="s">
        <v>166</v>
      </c>
      <c r="B44" s="2" t="s">
        <v>256</v>
      </c>
      <c r="C44" s="2" t="s">
        <v>9</v>
      </c>
      <c r="D44" s="3">
        <v>46080.559351851851</v>
      </c>
      <c r="E44" s="2">
        <v>64.8</v>
      </c>
      <c r="F44" s="2">
        <v>1140</v>
      </c>
      <c r="G44" s="2">
        <v>0</v>
      </c>
      <c r="I44" s="2" t="s">
        <v>372</v>
      </c>
      <c r="J44" s="2" t="s">
        <v>258</v>
      </c>
      <c r="K44" s="2">
        <v>13</v>
      </c>
      <c r="L44" s="2">
        <v>3505026639</v>
      </c>
      <c r="M44" s="2">
        <v>50</v>
      </c>
      <c r="N44" s="2" t="s">
        <v>373</v>
      </c>
      <c r="O44" s="2">
        <v>50</v>
      </c>
      <c r="P44" s="2" t="s">
        <v>374</v>
      </c>
      <c r="Q44" s="2">
        <v>50</v>
      </c>
      <c r="R44" s="2" t="s">
        <v>375</v>
      </c>
      <c r="S44" s="2">
        <v>50</v>
      </c>
      <c r="T44" s="2" t="s">
        <v>376</v>
      </c>
      <c r="U44" s="2">
        <v>50</v>
      </c>
      <c r="V44" s="2" t="s">
        <v>263</v>
      </c>
      <c r="W44" s="2">
        <v>50</v>
      </c>
      <c r="X44" s="2">
        <v>130</v>
      </c>
      <c r="Y44" s="2">
        <v>50</v>
      </c>
      <c r="Z44" s="2" t="s">
        <v>415</v>
      </c>
      <c r="AA44" s="2">
        <v>50</v>
      </c>
      <c r="AB44" s="2" t="s">
        <v>416</v>
      </c>
      <c r="AC44" s="2">
        <v>50</v>
      </c>
      <c r="AD44" s="2">
        <v>3</v>
      </c>
      <c r="AE44" s="2">
        <v>50</v>
      </c>
      <c r="AF44" s="2" t="s">
        <v>379</v>
      </c>
      <c r="AG44" s="2">
        <v>50</v>
      </c>
      <c r="AH44" s="2" t="s">
        <v>417</v>
      </c>
      <c r="AI44" s="2">
        <v>50</v>
      </c>
      <c r="AJ44" s="2" t="s">
        <v>381</v>
      </c>
      <c r="AK44" s="2">
        <v>50</v>
      </c>
    </row>
    <row r="45" spans="1:37" x14ac:dyDescent="0.25">
      <c r="A45" s="2" t="s">
        <v>166</v>
      </c>
      <c r="B45" s="2" t="s">
        <v>256</v>
      </c>
      <c r="C45" s="2" t="s">
        <v>9</v>
      </c>
      <c r="D45" s="3">
        <v>46080.559351851851</v>
      </c>
      <c r="E45" s="2">
        <v>64.8</v>
      </c>
      <c r="F45" s="2">
        <v>1140</v>
      </c>
      <c r="G45" s="2">
        <v>0</v>
      </c>
      <c r="I45" s="2" t="s">
        <v>372</v>
      </c>
      <c r="J45" s="2" t="s">
        <v>258</v>
      </c>
      <c r="K45" s="2">
        <v>14</v>
      </c>
      <c r="L45" s="2">
        <v>3505026639</v>
      </c>
      <c r="M45" s="2">
        <v>50</v>
      </c>
      <c r="N45" s="2" t="s">
        <v>373</v>
      </c>
      <c r="O45" s="2">
        <v>50</v>
      </c>
      <c r="P45" s="2" t="s">
        <v>374</v>
      </c>
      <c r="Q45" s="2">
        <v>50</v>
      </c>
      <c r="R45" s="2" t="s">
        <v>375</v>
      </c>
      <c r="S45" s="2">
        <v>50</v>
      </c>
      <c r="T45" s="2" t="s">
        <v>376</v>
      </c>
      <c r="U45" s="2">
        <v>50</v>
      </c>
      <c r="V45" s="2" t="s">
        <v>263</v>
      </c>
      <c r="W45" s="2">
        <v>50</v>
      </c>
      <c r="X45" s="2">
        <v>140</v>
      </c>
      <c r="Y45" s="2">
        <v>50</v>
      </c>
      <c r="Z45" s="2" t="s">
        <v>418</v>
      </c>
      <c r="AA45" s="2">
        <v>50</v>
      </c>
      <c r="AB45" s="2" t="s">
        <v>419</v>
      </c>
      <c r="AC45" s="2">
        <v>50</v>
      </c>
      <c r="AD45" s="2">
        <v>2</v>
      </c>
      <c r="AE45" s="2">
        <v>50</v>
      </c>
      <c r="AF45" s="2" t="s">
        <v>379</v>
      </c>
      <c r="AG45" s="2">
        <v>50</v>
      </c>
      <c r="AH45" s="2" t="s">
        <v>420</v>
      </c>
      <c r="AI45" s="2">
        <v>50</v>
      </c>
      <c r="AJ45" s="2" t="s">
        <v>381</v>
      </c>
      <c r="AK45" s="2">
        <v>50</v>
      </c>
    </row>
    <row r="46" spans="1:37" x14ac:dyDescent="0.25">
      <c r="A46" s="2" t="s">
        <v>166</v>
      </c>
      <c r="B46" s="2" t="s">
        <v>256</v>
      </c>
      <c r="C46" s="2" t="s">
        <v>9</v>
      </c>
      <c r="D46" s="3">
        <v>46080.559351851851</v>
      </c>
      <c r="E46" s="2">
        <v>64.8</v>
      </c>
      <c r="F46" s="2">
        <v>1140</v>
      </c>
      <c r="G46" s="2">
        <v>0</v>
      </c>
      <c r="I46" s="2" t="s">
        <v>372</v>
      </c>
      <c r="J46" s="2" t="s">
        <v>258</v>
      </c>
      <c r="K46" s="2">
        <v>15</v>
      </c>
      <c r="L46" s="2">
        <v>3505026639</v>
      </c>
      <c r="M46" s="2">
        <v>50</v>
      </c>
      <c r="N46" s="2" t="s">
        <v>373</v>
      </c>
      <c r="O46" s="2">
        <v>50</v>
      </c>
      <c r="P46" s="2" t="s">
        <v>374</v>
      </c>
      <c r="Q46" s="2">
        <v>50</v>
      </c>
      <c r="R46" s="2" t="s">
        <v>375</v>
      </c>
      <c r="S46" s="2">
        <v>50</v>
      </c>
      <c r="T46" s="2" t="s">
        <v>376</v>
      </c>
      <c r="U46" s="2">
        <v>50</v>
      </c>
      <c r="V46" s="2" t="s">
        <v>263</v>
      </c>
      <c r="W46" s="2">
        <v>50</v>
      </c>
      <c r="X46" s="2">
        <v>150</v>
      </c>
      <c r="Y46" s="2">
        <v>50</v>
      </c>
      <c r="Z46" s="2" t="s">
        <v>421</v>
      </c>
      <c r="AA46" s="2">
        <v>50</v>
      </c>
      <c r="AB46" s="2" t="s">
        <v>422</v>
      </c>
      <c r="AC46" s="2">
        <v>50</v>
      </c>
      <c r="AD46" s="2">
        <v>4</v>
      </c>
      <c r="AE46" s="2">
        <v>50</v>
      </c>
      <c r="AF46" s="2" t="s">
        <v>379</v>
      </c>
      <c r="AG46" s="2">
        <v>50</v>
      </c>
      <c r="AH46" s="2" t="s">
        <v>423</v>
      </c>
      <c r="AI46" s="2">
        <v>50</v>
      </c>
      <c r="AJ46" s="2" t="s">
        <v>381</v>
      </c>
      <c r="AK46" s="2">
        <v>50</v>
      </c>
    </row>
    <row r="47" spans="1:37" x14ac:dyDescent="0.25">
      <c r="A47" s="2" t="s">
        <v>166</v>
      </c>
      <c r="B47" s="2" t="s">
        <v>256</v>
      </c>
      <c r="C47" s="2" t="s">
        <v>9</v>
      </c>
      <c r="D47" s="3">
        <v>46080.559351851851</v>
      </c>
      <c r="E47" s="2">
        <v>64.8</v>
      </c>
      <c r="F47" s="2">
        <v>1140</v>
      </c>
      <c r="G47" s="2">
        <v>0</v>
      </c>
      <c r="I47" s="2" t="s">
        <v>372</v>
      </c>
      <c r="J47" s="2" t="s">
        <v>258</v>
      </c>
      <c r="K47" s="2">
        <v>16</v>
      </c>
      <c r="L47" s="2">
        <v>3505026639</v>
      </c>
      <c r="M47" s="2">
        <v>50</v>
      </c>
      <c r="N47" s="2" t="s">
        <v>373</v>
      </c>
      <c r="O47" s="2">
        <v>50</v>
      </c>
      <c r="P47" s="2" t="s">
        <v>374</v>
      </c>
      <c r="Q47" s="2">
        <v>50</v>
      </c>
      <c r="R47" s="2" t="s">
        <v>375</v>
      </c>
      <c r="S47" s="2">
        <v>50</v>
      </c>
      <c r="T47" s="2" t="s">
        <v>376</v>
      </c>
      <c r="U47" s="2">
        <v>50</v>
      </c>
      <c r="V47" s="2" t="s">
        <v>263</v>
      </c>
      <c r="W47" s="2">
        <v>50</v>
      </c>
      <c r="X47" s="2">
        <v>160</v>
      </c>
      <c r="Y47" s="2">
        <v>50</v>
      </c>
      <c r="Z47" s="2" t="s">
        <v>424</v>
      </c>
      <c r="AA47" s="2">
        <v>50</v>
      </c>
      <c r="AB47" s="2" t="s">
        <v>425</v>
      </c>
      <c r="AC47" s="2">
        <v>50</v>
      </c>
      <c r="AD47" s="2">
        <v>10</v>
      </c>
      <c r="AE47" s="2">
        <v>50</v>
      </c>
      <c r="AF47" s="2" t="s">
        <v>379</v>
      </c>
      <c r="AG47" s="2">
        <v>50</v>
      </c>
      <c r="AH47" s="2" t="s">
        <v>426</v>
      </c>
      <c r="AI47" s="2">
        <v>50</v>
      </c>
      <c r="AJ47" s="2" t="s">
        <v>381</v>
      </c>
      <c r="AK47" s="2">
        <v>50</v>
      </c>
    </row>
    <row r="48" spans="1:37" x14ac:dyDescent="0.25">
      <c r="A48" s="2" t="s">
        <v>166</v>
      </c>
      <c r="B48" s="2" t="s">
        <v>256</v>
      </c>
      <c r="C48" s="2" t="s">
        <v>9</v>
      </c>
      <c r="D48" s="3">
        <v>46080.559351851851</v>
      </c>
      <c r="E48" s="2">
        <v>64.8</v>
      </c>
      <c r="F48" s="2">
        <v>1140</v>
      </c>
      <c r="G48" s="2">
        <v>0</v>
      </c>
      <c r="I48" s="2" t="s">
        <v>372</v>
      </c>
      <c r="J48" s="2" t="s">
        <v>258</v>
      </c>
      <c r="K48" s="2">
        <v>17</v>
      </c>
      <c r="L48" s="2">
        <v>3505026639</v>
      </c>
      <c r="M48" s="2">
        <v>50</v>
      </c>
      <c r="N48" s="2" t="s">
        <v>373</v>
      </c>
      <c r="O48" s="2">
        <v>50</v>
      </c>
      <c r="P48" s="2" t="s">
        <v>374</v>
      </c>
      <c r="Q48" s="2">
        <v>50</v>
      </c>
      <c r="R48" s="2" t="s">
        <v>375</v>
      </c>
      <c r="S48" s="2">
        <v>50</v>
      </c>
      <c r="T48" s="2" t="s">
        <v>376</v>
      </c>
      <c r="U48" s="2">
        <v>50</v>
      </c>
      <c r="V48" s="2" t="s">
        <v>263</v>
      </c>
      <c r="W48" s="2">
        <v>50</v>
      </c>
      <c r="X48" s="2">
        <v>170</v>
      </c>
      <c r="Y48" s="2">
        <v>50</v>
      </c>
      <c r="Z48" s="2" t="s">
        <v>427</v>
      </c>
      <c r="AA48" s="2">
        <v>50</v>
      </c>
      <c r="AB48" s="2" t="s">
        <v>428</v>
      </c>
      <c r="AC48" s="2">
        <v>50</v>
      </c>
      <c r="AD48" s="2">
        <v>8</v>
      </c>
      <c r="AE48" s="2">
        <v>50</v>
      </c>
      <c r="AF48" s="2" t="s">
        <v>379</v>
      </c>
      <c r="AG48" s="2">
        <v>50</v>
      </c>
      <c r="AH48" s="2" t="s">
        <v>429</v>
      </c>
      <c r="AI48" s="2">
        <v>50</v>
      </c>
      <c r="AJ48" s="2" t="s">
        <v>381</v>
      </c>
      <c r="AK48" s="2">
        <v>50</v>
      </c>
    </row>
    <row r="49" spans="1:37" x14ac:dyDescent="0.25">
      <c r="A49" s="2" t="s">
        <v>166</v>
      </c>
      <c r="B49" s="2" t="s">
        <v>256</v>
      </c>
      <c r="C49" s="2" t="s">
        <v>9</v>
      </c>
      <c r="D49" s="3">
        <v>46080.559351851851</v>
      </c>
      <c r="E49" s="2">
        <v>64.8</v>
      </c>
      <c r="F49" s="2">
        <v>1140</v>
      </c>
      <c r="G49" s="2">
        <v>0</v>
      </c>
      <c r="I49" s="2" t="s">
        <v>372</v>
      </c>
      <c r="J49" s="2" t="s">
        <v>258</v>
      </c>
      <c r="K49" s="2">
        <v>18</v>
      </c>
      <c r="L49" s="2">
        <v>3505026639</v>
      </c>
      <c r="M49" s="2">
        <v>50</v>
      </c>
      <c r="N49" s="2" t="s">
        <v>373</v>
      </c>
      <c r="O49" s="2">
        <v>50</v>
      </c>
      <c r="P49" s="2" t="s">
        <v>374</v>
      </c>
      <c r="Q49" s="2">
        <v>50</v>
      </c>
      <c r="R49" s="2" t="s">
        <v>375</v>
      </c>
      <c r="S49" s="2">
        <v>50</v>
      </c>
      <c r="T49" s="2" t="s">
        <v>376</v>
      </c>
      <c r="U49" s="2">
        <v>50</v>
      </c>
      <c r="V49" s="2" t="s">
        <v>263</v>
      </c>
      <c r="W49" s="2">
        <v>50</v>
      </c>
      <c r="X49" s="2">
        <v>180</v>
      </c>
      <c r="Y49" s="2">
        <v>50</v>
      </c>
      <c r="Z49" s="2" t="s">
        <v>430</v>
      </c>
      <c r="AA49" s="2">
        <v>50</v>
      </c>
      <c r="AB49" s="2" t="s">
        <v>431</v>
      </c>
      <c r="AC49" s="2">
        <v>50</v>
      </c>
      <c r="AD49" s="2">
        <v>1</v>
      </c>
      <c r="AE49" s="2">
        <v>50</v>
      </c>
      <c r="AF49" s="2" t="s">
        <v>432</v>
      </c>
      <c r="AG49" s="2">
        <v>50</v>
      </c>
      <c r="AH49" s="2" t="s">
        <v>433</v>
      </c>
      <c r="AI49" s="2">
        <v>50</v>
      </c>
      <c r="AJ49" s="2" t="s">
        <v>381</v>
      </c>
      <c r="AK49" s="2">
        <v>50</v>
      </c>
    </row>
    <row r="50" spans="1:37" x14ac:dyDescent="0.25">
      <c r="A50" s="2" t="s">
        <v>166</v>
      </c>
      <c r="B50" s="2" t="s">
        <v>256</v>
      </c>
      <c r="C50" s="2" t="s">
        <v>9</v>
      </c>
      <c r="D50" s="3">
        <v>46080.559351851851</v>
      </c>
      <c r="E50" s="2">
        <v>64.8</v>
      </c>
      <c r="F50" s="2">
        <v>1140</v>
      </c>
      <c r="G50" s="2">
        <v>0</v>
      </c>
      <c r="I50" s="2" t="s">
        <v>372</v>
      </c>
      <c r="J50" s="2" t="s">
        <v>258</v>
      </c>
      <c r="K50" s="2">
        <v>19</v>
      </c>
      <c r="L50" s="2">
        <v>3505026639</v>
      </c>
      <c r="M50" s="2">
        <v>50</v>
      </c>
      <c r="N50" s="2" t="s">
        <v>373</v>
      </c>
      <c r="O50" s="2">
        <v>50</v>
      </c>
      <c r="P50" s="2" t="s">
        <v>374</v>
      </c>
      <c r="Q50" s="2">
        <v>50</v>
      </c>
      <c r="R50" s="2" t="s">
        <v>375</v>
      </c>
      <c r="S50" s="2">
        <v>50</v>
      </c>
      <c r="T50" s="2" t="s">
        <v>376</v>
      </c>
      <c r="U50" s="2">
        <v>50</v>
      </c>
      <c r="V50" s="2" t="s">
        <v>263</v>
      </c>
      <c r="W50" s="2">
        <v>50</v>
      </c>
      <c r="X50" s="2">
        <v>190</v>
      </c>
      <c r="Y50" s="2">
        <v>50</v>
      </c>
      <c r="Z50" s="2" t="s">
        <v>434</v>
      </c>
      <c r="AA50" s="2">
        <v>50</v>
      </c>
      <c r="AB50" s="2" t="s">
        <v>435</v>
      </c>
      <c r="AC50" s="2">
        <v>50</v>
      </c>
      <c r="AD50" s="2">
        <v>6</v>
      </c>
      <c r="AE50" s="2">
        <v>50</v>
      </c>
      <c r="AF50" s="2" t="s">
        <v>432</v>
      </c>
      <c r="AG50" s="2">
        <v>50</v>
      </c>
      <c r="AH50" s="2" t="s">
        <v>436</v>
      </c>
      <c r="AI50" s="2">
        <v>50</v>
      </c>
      <c r="AJ50" s="2" t="s">
        <v>381</v>
      </c>
      <c r="AK50" s="2">
        <v>50</v>
      </c>
    </row>
    <row r="51" spans="1:37" x14ac:dyDescent="0.25">
      <c r="A51" s="2" t="s">
        <v>166</v>
      </c>
      <c r="B51" s="2" t="s">
        <v>256</v>
      </c>
      <c r="C51" s="2" t="s">
        <v>9</v>
      </c>
      <c r="D51" s="3">
        <v>46080.559351851851</v>
      </c>
      <c r="E51" s="2">
        <v>64.8</v>
      </c>
      <c r="F51" s="2">
        <v>1140</v>
      </c>
      <c r="G51" s="2">
        <v>0</v>
      </c>
      <c r="I51" s="2" t="s">
        <v>372</v>
      </c>
      <c r="J51" s="2" t="s">
        <v>258</v>
      </c>
      <c r="K51" s="2">
        <v>20</v>
      </c>
      <c r="L51" s="2">
        <v>3505026639</v>
      </c>
      <c r="M51" s="2">
        <v>50</v>
      </c>
      <c r="N51" s="2" t="s">
        <v>373</v>
      </c>
      <c r="O51" s="2">
        <v>50</v>
      </c>
      <c r="P51" s="2" t="s">
        <v>374</v>
      </c>
      <c r="Q51" s="2">
        <v>50</v>
      </c>
      <c r="R51" s="2" t="s">
        <v>375</v>
      </c>
      <c r="S51" s="2">
        <v>50</v>
      </c>
      <c r="T51" s="2" t="s">
        <v>376</v>
      </c>
      <c r="U51" s="2">
        <v>50</v>
      </c>
      <c r="V51" s="2" t="s">
        <v>263</v>
      </c>
      <c r="W51" s="2">
        <v>50</v>
      </c>
      <c r="X51" s="2">
        <v>200</v>
      </c>
      <c r="Y51" s="2">
        <v>50</v>
      </c>
      <c r="Z51" s="2" t="s">
        <v>437</v>
      </c>
      <c r="AA51" s="2">
        <v>50</v>
      </c>
      <c r="AB51" s="2" t="s">
        <v>438</v>
      </c>
      <c r="AC51" s="2">
        <v>50</v>
      </c>
      <c r="AD51" s="2">
        <v>28</v>
      </c>
      <c r="AE51" s="2">
        <v>50</v>
      </c>
      <c r="AF51" s="2" t="s">
        <v>432</v>
      </c>
      <c r="AG51" s="2">
        <v>50</v>
      </c>
      <c r="AH51" s="2" t="s">
        <v>439</v>
      </c>
      <c r="AI51" s="2">
        <v>50</v>
      </c>
      <c r="AJ51" s="2" t="s">
        <v>381</v>
      </c>
      <c r="AK51" s="2">
        <v>50</v>
      </c>
    </row>
    <row r="52" spans="1:37" x14ac:dyDescent="0.25">
      <c r="A52" s="2" t="s">
        <v>166</v>
      </c>
      <c r="B52" s="2" t="s">
        <v>256</v>
      </c>
      <c r="C52" s="2" t="s">
        <v>9</v>
      </c>
      <c r="D52" s="3">
        <v>46080.559351851851</v>
      </c>
      <c r="E52" s="2">
        <v>64.8</v>
      </c>
      <c r="F52" s="2">
        <v>1140</v>
      </c>
      <c r="G52" s="2">
        <v>0</v>
      </c>
      <c r="I52" s="2" t="s">
        <v>372</v>
      </c>
      <c r="J52" s="2" t="s">
        <v>258</v>
      </c>
      <c r="K52" s="2">
        <v>21</v>
      </c>
      <c r="L52" s="2">
        <v>3505026639</v>
      </c>
      <c r="M52" s="2">
        <v>50</v>
      </c>
      <c r="N52" s="2" t="s">
        <v>373</v>
      </c>
      <c r="O52" s="2">
        <v>50</v>
      </c>
      <c r="P52" s="2" t="s">
        <v>374</v>
      </c>
      <c r="Q52" s="2">
        <v>50</v>
      </c>
      <c r="R52" s="2" t="s">
        <v>375</v>
      </c>
      <c r="S52" s="2">
        <v>50</v>
      </c>
      <c r="T52" s="2" t="s">
        <v>376</v>
      </c>
      <c r="U52" s="2">
        <v>50</v>
      </c>
      <c r="V52" s="2" t="s">
        <v>263</v>
      </c>
      <c r="W52" s="2">
        <v>50</v>
      </c>
      <c r="X52" s="2">
        <v>210</v>
      </c>
      <c r="Y52" s="2">
        <v>50</v>
      </c>
      <c r="Z52" s="2" t="s">
        <v>440</v>
      </c>
      <c r="AA52" s="2">
        <v>50</v>
      </c>
      <c r="AB52" s="2" t="s">
        <v>441</v>
      </c>
      <c r="AC52" s="2">
        <v>50</v>
      </c>
      <c r="AD52" s="2">
        <v>8</v>
      </c>
      <c r="AE52" s="2">
        <v>50</v>
      </c>
      <c r="AF52" s="2" t="s">
        <v>432</v>
      </c>
      <c r="AG52" s="2">
        <v>50</v>
      </c>
      <c r="AH52" s="2" t="s">
        <v>442</v>
      </c>
      <c r="AI52" s="2">
        <v>50</v>
      </c>
      <c r="AJ52" s="2" t="s">
        <v>381</v>
      </c>
      <c r="AK52" s="2">
        <v>50</v>
      </c>
    </row>
    <row r="53" spans="1:37" x14ac:dyDescent="0.25">
      <c r="A53" s="2" t="s">
        <v>166</v>
      </c>
      <c r="B53" s="2" t="s">
        <v>256</v>
      </c>
      <c r="C53" s="2" t="s">
        <v>9</v>
      </c>
      <c r="D53" s="3">
        <v>46080.559351851851</v>
      </c>
      <c r="E53" s="2">
        <v>64.8</v>
      </c>
      <c r="F53" s="2">
        <v>1140</v>
      </c>
      <c r="G53" s="2">
        <v>0</v>
      </c>
      <c r="I53" s="2" t="s">
        <v>372</v>
      </c>
      <c r="J53" s="2" t="s">
        <v>258</v>
      </c>
      <c r="K53" s="2">
        <v>22</v>
      </c>
      <c r="L53" s="2">
        <v>3505026639</v>
      </c>
      <c r="M53" s="2">
        <v>50</v>
      </c>
      <c r="N53" s="2" t="s">
        <v>373</v>
      </c>
      <c r="O53" s="2">
        <v>50</v>
      </c>
      <c r="P53" s="2" t="s">
        <v>374</v>
      </c>
      <c r="Q53" s="2">
        <v>50</v>
      </c>
      <c r="R53" s="2" t="s">
        <v>375</v>
      </c>
      <c r="S53" s="2">
        <v>50</v>
      </c>
      <c r="T53" s="2" t="s">
        <v>376</v>
      </c>
      <c r="U53" s="2">
        <v>50</v>
      </c>
      <c r="V53" s="2" t="s">
        <v>263</v>
      </c>
      <c r="W53" s="2">
        <v>50</v>
      </c>
      <c r="X53" s="2">
        <v>220</v>
      </c>
      <c r="Y53" s="2">
        <v>50</v>
      </c>
      <c r="Z53" s="2" t="s">
        <v>443</v>
      </c>
      <c r="AA53" s="2">
        <v>50</v>
      </c>
      <c r="AB53" s="2" t="s">
        <v>444</v>
      </c>
      <c r="AC53" s="2">
        <v>50</v>
      </c>
      <c r="AD53" s="2">
        <v>2</v>
      </c>
      <c r="AE53" s="2">
        <v>50</v>
      </c>
      <c r="AF53" s="2" t="s">
        <v>432</v>
      </c>
      <c r="AG53" s="2">
        <v>50</v>
      </c>
      <c r="AH53" s="2" t="s">
        <v>445</v>
      </c>
      <c r="AI53" s="2">
        <v>50</v>
      </c>
      <c r="AJ53" s="2" t="s">
        <v>381</v>
      </c>
      <c r="AK53" s="2">
        <v>50</v>
      </c>
    </row>
    <row r="54" spans="1:37" x14ac:dyDescent="0.25">
      <c r="A54" s="2" t="s">
        <v>166</v>
      </c>
      <c r="B54" s="2" t="s">
        <v>256</v>
      </c>
      <c r="C54" s="2" t="s">
        <v>9</v>
      </c>
      <c r="D54" s="3">
        <v>46080.559351851851</v>
      </c>
      <c r="E54" s="2">
        <v>64.8</v>
      </c>
      <c r="F54" s="2">
        <v>1140</v>
      </c>
      <c r="G54" s="2">
        <v>0</v>
      </c>
      <c r="I54" s="2" t="s">
        <v>372</v>
      </c>
      <c r="J54" s="2" t="s">
        <v>258</v>
      </c>
      <c r="K54" s="2">
        <v>23</v>
      </c>
      <c r="L54" s="2">
        <v>3505026639</v>
      </c>
      <c r="M54" s="2">
        <v>50</v>
      </c>
      <c r="N54" s="2" t="s">
        <v>373</v>
      </c>
      <c r="O54" s="2">
        <v>50</v>
      </c>
      <c r="P54" s="2" t="s">
        <v>374</v>
      </c>
      <c r="Q54" s="2">
        <v>50</v>
      </c>
      <c r="R54" s="2" t="s">
        <v>375</v>
      </c>
      <c r="S54" s="2">
        <v>50</v>
      </c>
      <c r="T54" s="2" t="s">
        <v>376</v>
      </c>
      <c r="U54" s="2">
        <v>50</v>
      </c>
      <c r="V54" s="2" t="s">
        <v>263</v>
      </c>
      <c r="W54" s="2">
        <v>50</v>
      </c>
      <c r="X54" s="2">
        <v>230</v>
      </c>
      <c r="Y54" s="2">
        <v>50</v>
      </c>
      <c r="Z54" s="2" t="s">
        <v>446</v>
      </c>
      <c r="AA54" s="2">
        <v>50</v>
      </c>
      <c r="AB54" s="2" t="s">
        <v>447</v>
      </c>
      <c r="AC54" s="2">
        <v>50</v>
      </c>
      <c r="AD54" s="2">
        <v>44</v>
      </c>
      <c r="AE54" s="2">
        <v>50</v>
      </c>
      <c r="AF54" s="2" t="s">
        <v>432</v>
      </c>
      <c r="AG54" s="2">
        <v>50</v>
      </c>
      <c r="AH54" s="2" t="s">
        <v>448</v>
      </c>
      <c r="AI54" s="2">
        <v>50</v>
      </c>
      <c r="AJ54" s="2" t="s">
        <v>381</v>
      </c>
      <c r="AK54" s="2">
        <v>50</v>
      </c>
    </row>
    <row r="55" spans="1:37" x14ac:dyDescent="0.25">
      <c r="A55" s="2" t="s">
        <v>166</v>
      </c>
      <c r="B55" s="2" t="s">
        <v>256</v>
      </c>
      <c r="C55" s="2" t="s">
        <v>9</v>
      </c>
      <c r="D55" s="3">
        <v>46080.559351851851</v>
      </c>
      <c r="E55" s="2">
        <v>64.8</v>
      </c>
      <c r="F55" s="2">
        <v>1140</v>
      </c>
      <c r="G55" s="2">
        <v>0</v>
      </c>
      <c r="I55" s="2" t="s">
        <v>372</v>
      </c>
      <c r="J55" s="2" t="s">
        <v>258</v>
      </c>
      <c r="K55" s="2">
        <v>24</v>
      </c>
      <c r="L55" s="2">
        <v>3505026639</v>
      </c>
      <c r="M55" s="2">
        <v>50</v>
      </c>
      <c r="N55" s="2" t="s">
        <v>373</v>
      </c>
      <c r="O55" s="2">
        <v>50</v>
      </c>
      <c r="P55" s="2" t="s">
        <v>374</v>
      </c>
      <c r="Q55" s="2">
        <v>50</v>
      </c>
      <c r="R55" s="2" t="s">
        <v>375</v>
      </c>
      <c r="S55" s="2">
        <v>50</v>
      </c>
      <c r="T55" s="2" t="s">
        <v>376</v>
      </c>
      <c r="U55" s="2">
        <v>50</v>
      </c>
      <c r="V55" s="2" t="s">
        <v>263</v>
      </c>
      <c r="W55" s="2">
        <v>50</v>
      </c>
      <c r="X55" s="2">
        <v>240</v>
      </c>
      <c r="Y55" s="2">
        <v>50</v>
      </c>
      <c r="Z55" s="2" t="s">
        <v>449</v>
      </c>
      <c r="AA55" s="2">
        <v>50</v>
      </c>
      <c r="AB55" s="2" t="s">
        <v>450</v>
      </c>
      <c r="AC55" s="2">
        <v>50</v>
      </c>
      <c r="AD55" s="2">
        <v>31</v>
      </c>
      <c r="AE55" s="2">
        <v>50</v>
      </c>
      <c r="AF55" s="2" t="s">
        <v>432</v>
      </c>
      <c r="AG55" s="2">
        <v>50</v>
      </c>
      <c r="AH55" s="2" t="s">
        <v>451</v>
      </c>
      <c r="AI55" s="2">
        <v>50</v>
      </c>
      <c r="AJ55" s="2" t="s">
        <v>381</v>
      </c>
      <c r="AK55" s="2">
        <v>50</v>
      </c>
    </row>
    <row r="56" spans="1:37" x14ac:dyDescent="0.25">
      <c r="A56" s="2" t="s">
        <v>166</v>
      </c>
      <c r="B56" s="2" t="s">
        <v>256</v>
      </c>
      <c r="C56" s="2" t="s">
        <v>9</v>
      </c>
      <c r="D56" s="3">
        <v>46080.559351851851</v>
      </c>
      <c r="E56" s="2">
        <v>64.8</v>
      </c>
      <c r="F56" s="2">
        <v>1140</v>
      </c>
      <c r="G56" s="2">
        <v>0</v>
      </c>
      <c r="I56" s="2" t="s">
        <v>372</v>
      </c>
      <c r="J56" s="2" t="s">
        <v>258</v>
      </c>
      <c r="K56" s="2">
        <v>25</v>
      </c>
      <c r="L56" s="2">
        <v>3505026639</v>
      </c>
      <c r="M56" s="2">
        <v>50</v>
      </c>
      <c r="N56" s="2" t="s">
        <v>373</v>
      </c>
      <c r="O56" s="2">
        <v>50</v>
      </c>
      <c r="P56" s="2" t="s">
        <v>374</v>
      </c>
      <c r="Q56" s="2">
        <v>50</v>
      </c>
      <c r="R56" s="2" t="s">
        <v>375</v>
      </c>
      <c r="S56" s="2">
        <v>50</v>
      </c>
      <c r="T56" s="2" t="s">
        <v>376</v>
      </c>
      <c r="U56" s="2">
        <v>50</v>
      </c>
      <c r="V56" s="2" t="s">
        <v>263</v>
      </c>
      <c r="W56" s="2">
        <v>50</v>
      </c>
      <c r="X56" s="2">
        <v>250</v>
      </c>
      <c r="Y56" s="2">
        <v>50</v>
      </c>
      <c r="Z56" s="2" t="s">
        <v>452</v>
      </c>
      <c r="AA56" s="2">
        <v>50</v>
      </c>
      <c r="AB56" s="2" t="s">
        <v>453</v>
      </c>
      <c r="AC56" s="2">
        <v>50</v>
      </c>
      <c r="AD56" s="2">
        <v>24</v>
      </c>
      <c r="AE56" s="2">
        <v>50</v>
      </c>
      <c r="AF56" s="2" t="s">
        <v>432</v>
      </c>
      <c r="AG56" s="2">
        <v>50</v>
      </c>
      <c r="AH56" s="2" t="s">
        <v>454</v>
      </c>
      <c r="AI56" s="2">
        <v>50</v>
      </c>
      <c r="AJ56" s="2" t="s">
        <v>381</v>
      </c>
      <c r="AK56" s="2">
        <v>50</v>
      </c>
    </row>
    <row r="57" spans="1:37" x14ac:dyDescent="0.25">
      <c r="A57" s="2" t="s">
        <v>166</v>
      </c>
      <c r="B57" s="2" t="s">
        <v>256</v>
      </c>
      <c r="C57" s="2" t="s">
        <v>9</v>
      </c>
      <c r="D57" s="3">
        <v>46080.559351851851</v>
      </c>
      <c r="E57" s="2">
        <v>64.8</v>
      </c>
      <c r="F57" s="2">
        <v>1140</v>
      </c>
      <c r="G57" s="2">
        <v>0</v>
      </c>
      <c r="I57" s="2" t="s">
        <v>372</v>
      </c>
      <c r="J57" s="2" t="s">
        <v>258</v>
      </c>
      <c r="K57" s="2">
        <v>26</v>
      </c>
      <c r="L57" s="2">
        <v>3505026639</v>
      </c>
      <c r="M57" s="2">
        <v>50</v>
      </c>
      <c r="N57" s="2" t="s">
        <v>373</v>
      </c>
      <c r="O57" s="2">
        <v>50</v>
      </c>
      <c r="P57" s="2" t="s">
        <v>374</v>
      </c>
      <c r="Q57" s="2">
        <v>50</v>
      </c>
      <c r="R57" s="2" t="s">
        <v>375</v>
      </c>
      <c r="S57" s="2">
        <v>50</v>
      </c>
      <c r="T57" s="2" t="s">
        <v>376</v>
      </c>
      <c r="U57" s="2">
        <v>50</v>
      </c>
      <c r="V57" s="2" t="s">
        <v>263</v>
      </c>
      <c r="W57" s="2">
        <v>50</v>
      </c>
      <c r="X57" s="2">
        <v>260</v>
      </c>
      <c r="Y57" s="2">
        <v>50</v>
      </c>
      <c r="Z57" s="2" t="s">
        <v>455</v>
      </c>
      <c r="AA57" s="2">
        <v>50</v>
      </c>
      <c r="AB57" s="2" t="s">
        <v>456</v>
      </c>
      <c r="AC57" s="2">
        <v>50</v>
      </c>
      <c r="AD57" s="2">
        <v>13</v>
      </c>
      <c r="AE57" s="2">
        <v>50</v>
      </c>
      <c r="AF57" s="2" t="s">
        <v>432</v>
      </c>
      <c r="AG57" s="2">
        <v>50</v>
      </c>
      <c r="AH57" s="2" t="s">
        <v>457</v>
      </c>
      <c r="AI57" s="2">
        <v>50</v>
      </c>
      <c r="AJ57" s="2" t="s">
        <v>381</v>
      </c>
      <c r="AK57" s="2">
        <v>50</v>
      </c>
    </row>
    <row r="58" spans="1:37" x14ac:dyDescent="0.25">
      <c r="A58" s="2" t="s">
        <v>166</v>
      </c>
      <c r="B58" s="2" t="s">
        <v>256</v>
      </c>
      <c r="C58" s="2" t="s">
        <v>9</v>
      </c>
      <c r="D58" s="3">
        <v>46080.559351851851</v>
      </c>
      <c r="E58" s="2">
        <v>64.8</v>
      </c>
      <c r="F58" s="2">
        <v>1140</v>
      </c>
      <c r="G58" s="2">
        <v>0</v>
      </c>
      <c r="I58" s="2" t="s">
        <v>372</v>
      </c>
      <c r="J58" s="2" t="s">
        <v>258</v>
      </c>
      <c r="K58" s="2">
        <v>27</v>
      </c>
      <c r="L58" s="2">
        <v>3505026639</v>
      </c>
      <c r="M58" s="2">
        <v>50</v>
      </c>
      <c r="N58" s="2" t="s">
        <v>373</v>
      </c>
      <c r="O58" s="2">
        <v>50</v>
      </c>
      <c r="P58" s="2" t="s">
        <v>374</v>
      </c>
      <c r="Q58" s="2">
        <v>50</v>
      </c>
      <c r="R58" s="2" t="s">
        <v>375</v>
      </c>
      <c r="S58" s="2">
        <v>50</v>
      </c>
      <c r="T58" s="2" t="s">
        <v>376</v>
      </c>
      <c r="U58" s="2">
        <v>50</v>
      </c>
      <c r="V58" s="2" t="s">
        <v>263</v>
      </c>
      <c r="W58" s="2">
        <v>50</v>
      </c>
      <c r="X58" s="2">
        <v>270</v>
      </c>
      <c r="Y58" s="2">
        <v>50</v>
      </c>
      <c r="Z58" s="2" t="s">
        <v>458</v>
      </c>
      <c r="AA58" s="2">
        <v>50</v>
      </c>
      <c r="AB58" s="2" t="s">
        <v>459</v>
      </c>
      <c r="AC58" s="2">
        <v>50</v>
      </c>
      <c r="AD58" s="2">
        <v>1</v>
      </c>
      <c r="AE58" s="2">
        <v>50</v>
      </c>
      <c r="AF58" s="2" t="s">
        <v>432</v>
      </c>
      <c r="AG58" s="2">
        <v>50</v>
      </c>
      <c r="AH58" s="2" t="s">
        <v>460</v>
      </c>
      <c r="AI58" s="2">
        <v>50</v>
      </c>
      <c r="AJ58" s="2" t="s">
        <v>381</v>
      </c>
      <c r="AK58" s="2">
        <v>50</v>
      </c>
    </row>
    <row r="59" spans="1:37" x14ac:dyDescent="0.25">
      <c r="A59" s="2" t="s">
        <v>166</v>
      </c>
      <c r="B59" s="2" t="s">
        <v>256</v>
      </c>
      <c r="C59" s="2" t="s">
        <v>9</v>
      </c>
      <c r="D59" s="3">
        <v>46080.559351851851</v>
      </c>
      <c r="E59" s="2">
        <v>64.8</v>
      </c>
      <c r="F59" s="2">
        <v>1140</v>
      </c>
      <c r="G59" s="2">
        <v>0</v>
      </c>
      <c r="I59" s="2" t="s">
        <v>372</v>
      </c>
      <c r="J59" s="2" t="s">
        <v>258</v>
      </c>
      <c r="K59" s="2">
        <v>28</v>
      </c>
      <c r="L59" s="2">
        <v>3505026639</v>
      </c>
      <c r="M59" s="2">
        <v>50</v>
      </c>
      <c r="N59" s="2" t="s">
        <v>373</v>
      </c>
      <c r="O59" s="2">
        <v>50</v>
      </c>
      <c r="P59" s="2" t="s">
        <v>374</v>
      </c>
      <c r="Q59" s="2">
        <v>50</v>
      </c>
      <c r="R59" s="2" t="s">
        <v>375</v>
      </c>
      <c r="S59" s="2">
        <v>50</v>
      </c>
      <c r="T59" s="2" t="s">
        <v>376</v>
      </c>
      <c r="U59" s="2">
        <v>50</v>
      </c>
      <c r="V59" s="2" t="s">
        <v>263</v>
      </c>
      <c r="W59" s="2">
        <v>50</v>
      </c>
      <c r="X59" s="2">
        <v>280</v>
      </c>
      <c r="Y59" s="2">
        <v>50</v>
      </c>
      <c r="Z59" s="2" t="s">
        <v>461</v>
      </c>
      <c r="AA59" s="2">
        <v>50</v>
      </c>
      <c r="AB59" s="2" t="s">
        <v>462</v>
      </c>
      <c r="AC59" s="2">
        <v>50</v>
      </c>
      <c r="AD59" s="2">
        <v>3</v>
      </c>
      <c r="AE59" s="2">
        <v>50</v>
      </c>
      <c r="AF59" s="2" t="s">
        <v>432</v>
      </c>
      <c r="AG59" s="2">
        <v>50</v>
      </c>
      <c r="AH59" s="2" t="s">
        <v>463</v>
      </c>
      <c r="AI59" s="2">
        <v>50</v>
      </c>
      <c r="AJ59" s="2" t="s">
        <v>381</v>
      </c>
      <c r="AK59" s="2">
        <v>50</v>
      </c>
    </row>
    <row r="60" spans="1:37" x14ac:dyDescent="0.25">
      <c r="A60" s="2" t="s">
        <v>166</v>
      </c>
      <c r="B60" s="2" t="s">
        <v>256</v>
      </c>
      <c r="C60" s="2" t="s">
        <v>9</v>
      </c>
      <c r="D60" s="3">
        <v>46080.559351851851</v>
      </c>
      <c r="E60" s="2">
        <v>64.8</v>
      </c>
      <c r="F60" s="2">
        <v>1140</v>
      </c>
      <c r="G60" s="2">
        <v>0</v>
      </c>
      <c r="I60" s="2" t="s">
        <v>372</v>
      </c>
      <c r="J60" s="2" t="s">
        <v>258</v>
      </c>
      <c r="K60" s="2">
        <v>29</v>
      </c>
      <c r="L60" s="2">
        <v>3505026639</v>
      </c>
      <c r="M60" s="2">
        <v>50</v>
      </c>
      <c r="N60" s="2" t="s">
        <v>373</v>
      </c>
      <c r="O60" s="2">
        <v>50</v>
      </c>
      <c r="P60" s="2" t="s">
        <v>374</v>
      </c>
      <c r="Q60" s="2">
        <v>50</v>
      </c>
      <c r="R60" s="2" t="s">
        <v>375</v>
      </c>
      <c r="S60" s="2">
        <v>50</v>
      </c>
      <c r="T60" s="2" t="s">
        <v>376</v>
      </c>
      <c r="U60" s="2">
        <v>50</v>
      </c>
      <c r="V60" s="2" t="s">
        <v>263</v>
      </c>
      <c r="W60" s="2">
        <v>50</v>
      </c>
      <c r="X60" s="2">
        <v>290</v>
      </c>
      <c r="Y60" s="2">
        <v>50</v>
      </c>
      <c r="Z60" s="2" t="s">
        <v>464</v>
      </c>
      <c r="AA60" s="2">
        <v>50</v>
      </c>
      <c r="AB60" s="2" t="s">
        <v>465</v>
      </c>
      <c r="AC60" s="2">
        <v>50</v>
      </c>
      <c r="AD60" s="2">
        <v>2</v>
      </c>
      <c r="AE60" s="2">
        <v>50</v>
      </c>
      <c r="AF60" s="2" t="s">
        <v>432</v>
      </c>
      <c r="AG60" s="2">
        <v>50</v>
      </c>
      <c r="AH60" s="2" t="s">
        <v>466</v>
      </c>
      <c r="AI60" s="2">
        <v>50</v>
      </c>
      <c r="AJ60" s="2" t="s">
        <v>381</v>
      </c>
      <c r="AK60" s="2">
        <v>50</v>
      </c>
    </row>
    <row r="61" spans="1:37" x14ac:dyDescent="0.25">
      <c r="A61" s="2" t="s">
        <v>166</v>
      </c>
      <c r="B61" s="2" t="s">
        <v>256</v>
      </c>
      <c r="C61" s="2" t="s">
        <v>9</v>
      </c>
      <c r="D61" s="3">
        <v>46080.559351851851</v>
      </c>
      <c r="E61" s="2">
        <v>64.8</v>
      </c>
      <c r="F61" s="2">
        <v>1140</v>
      </c>
      <c r="G61" s="2">
        <v>0</v>
      </c>
      <c r="I61" s="2" t="s">
        <v>372</v>
      </c>
      <c r="J61" s="2" t="s">
        <v>258</v>
      </c>
      <c r="K61" s="2">
        <v>30</v>
      </c>
      <c r="L61" s="2">
        <v>3505026639</v>
      </c>
      <c r="M61" s="2">
        <v>50</v>
      </c>
      <c r="N61" s="2" t="s">
        <v>373</v>
      </c>
      <c r="O61" s="2">
        <v>50</v>
      </c>
      <c r="P61" s="2" t="s">
        <v>374</v>
      </c>
      <c r="Q61" s="2">
        <v>50</v>
      </c>
      <c r="R61" s="2" t="s">
        <v>375</v>
      </c>
      <c r="S61" s="2">
        <v>50</v>
      </c>
      <c r="T61" s="2" t="s">
        <v>376</v>
      </c>
      <c r="U61" s="2">
        <v>50</v>
      </c>
      <c r="V61" s="2" t="s">
        <v>263</v>
      </c>
      <c r="W61" s="2">
        <v>50</v>
      </c>
      <c r="X61" s="2">
        <v>300</v>
      </c>
      <c r="Y61" s="2">
        <v>50</v>
      </c>
      <c r="Z61" s="2" t="s">
        <v>467</v>
      </c>
      <c r="AA61" s="2">
        <v>50</v>
      </c>
      <c r="AB61" s="2" t="s">
        <v>468</v>
      </c>
      <c r="AC61" s="2">
        <v>50</v>
      </c>
      <c r="AD61" s="2">
        <v>5</v>
      </c>
      <c r="AE61" s="2">
        <v>50</v>
      </c>
      <c r="AF61" s="2" t="s">
        <v>432</v>
      </c>
      <c r="AG61" s="2">
        <v>50</v>
      </c>
      <c r="AH61" s="2" t="s">
        <v>469</v>
      </c>
      <c r="AI61" s="2">
        <v>50</v>
      </c>
      <c r="AJ61" s="2" t="s">
        <v>381</v>
      </c>
      <c r="AK61" s="2">
        <v>50</v>
      </c>
    </row>
    <row r="62" spans="1:37" x14ac:dyDescent="0.25">
      <c r="A62" s="2" t="s">
        <v>166</v>
      </c>
      <c r="B62" s="2" t="s">
        <v>256</v>
      </c>
      <c r="C62" s="2" t="s">
        <v>9</v>
      </c>
      <c r="D62" s="3">
        <v>46080.559351851851</v>
      </c>
      <c r="E62" s="2">
        <v>64.8</v>
      </c>
      <c r="F62" s="2">
        <v>1140</v>
      </c>
      <c r="G62" s="2">
        <v>0</v>
      </c>
      <c r="I62" s="2" t="s">
        <v>372</v>
      </c>
      <c r="J62" s="2" t="s">
        <v>258</v>
      </c>
      <c r="K62" s="2">
        <v>31</v>
      </c>
      <c r="L62" s="2">
        <v>3505026639</v>
      </c>
      <c r="M62" s="2">
        <v>50</v>
      </c>
      <c r="N62" s="2" t="s">
        <v>373</v>
      </c>
      <c r="O62" s="2">
        <v>50</v>
      </c>
      <c r="P62" s="2" t="s">
        <v>374</v>
      </c>
      <c r="Q62" s="2">
        <v>50</v>
      </c>
      <c r="R62" s="2" t="s">
        <v>375</v>
      </c>
      <c r="S62" s="2">
        <v>50</v>
      </c>
      <c r="T62" s="2" t="s">
        <v>376</v>
      </c>
      <c r="U62" s="2">
        <v>50</v>
      </c>
      <c r="V62" s="2" t="s">
        <v>263</v>
      </c>
      <c r="W62" s="2">
        <v>50</v>
      </c>
      <c r="X62" s="2">
        <v>310</v>
      </c>
      <c r="Y62" s="2">
        <v>50</v>
      </c>
      <c r="Z62" s="2" t="s">
        <v>470</v>
      </c>
      <c r="AA62" s="2">
        <v>50</v>
      </c>
      <c r="AB62" s="2" t="s">
        <v>471</v>
      </c>
      <c r="AC62" s="2">
        <v>50</v>
      </c>
      <c r="AD62" s="2">
        <v>3</v>
      </c>
      <c r="AE62" s="2">
        <v>50</v>
      </c>
      <c r="AF62" s="2" t="s">
        <v>432</v>
      </c>
      <c r="AG62" s="2">
        <v>50</v>
      </c>
      <c r="AH62" s="2" t="s">
        <v>472</v>
      </c>
      <c r="AI62" s="2">
        <v>50</v>
      </c>
      <c r="AJ62" s="2" t="s">
        <v>381</v>
      </c>
      <c r="AK62" s="2">
        <v>50</v>
      </c>
    </row>
    <row r="63" spans="1:37" x14ac:dyDescent="0.25">
      <c r="A63" s="2" t="s">
        <v>166</v>
      </c>
      <c r="B63" s="2" t="s">
        <v>256</v>
      </c>
      <c r="C63" s="2" t="s">
        <v>9</v>
      </c>
      <c r="D63" s="3">
        <v>46080.559351851851</v>
      </c>
      <c r="E63" s="2">
        <v>64.8</v>
      </c>
      <c r="F63" s="2">
        <v>1140</v>
      </c>
      <c r="G63" s="2">
        <v>0</v>
      </c>
      <c r="I63" s="2" t="s">
        <v>372</v>
      </c>
      <c r="J63" s="2" t="s">
        <v>258</v>
      </c>
      <c r="K63" s="2">
        <v>32</v>
      </c>
      <c r="L63" s="2">
        <v>3505026639</v>
      </c>
      <c r="M63" s="2">
        <v>50</v>
      </c>
      <c r="N63" s="2" t="s">
        <v>373</v>
      </c>
      <c r="O63" s="2">
        <v>50</v>
      </c>
      <c r="P63" s="2" t="s">
        <v>374</v>
      </c>
      <c r="Q63" s="2">
        <v>50</v>
      </c>
      <c r="R63" s="2" t="s">
        <v>375</v>
      </c>
      <c r="S63" s="2">
        <v>50</v>
      </c>
      <c r="T63" s="2" t="s">
        <v>376</v>
      </c>
      <c r="U63" s="2">
        <v>50</v>
      </c>
      <c r="V63" s="2" t="s">
        <v>263</v>
      </c>
      <c r="W63" s="2">
        <v>50</v>
      </c>
      <c r="X63" s="2">
        <v>320</v>
      </c>
      <c r="Y63" s="2">
        <v>50</v>
      </c>
      <c r="Z63" s="2" t="s">
        <v>473</v>
      </c>
      <c r="AA63" s="2">
        <v>50</v>
      </c>
      <c r="AB63" s="2" t="s">
        <v>474</v>
      </c>
      <c r="AC63" s="2">
        <v>50</v>
      </c>
      <c r="AD63" s="2">
        <v>42</v>
      </c>
      <c r="AE63" s="2">
        <v>50</v>
      </c>
      <c r="AF63" s="2" t="s">
        <v>432</v>
      </c>
      <c r="AG63" s="2">
        <v>50</v>
      </c>
      <c r="AH63" s="2" t="s">
        <v>475</v>
      </c>
      <c r="AI63" s="2">
        <v>50</v>
      </c>
      <c r="AJ63" s="2" t="s">
        <v>381</v>
      </c>
      <c r="AK63" s="2">
        <v>50</v>
      </c>
    </row>
    <row r="64" spans="1:37" x14ac:dyDescent="0.25">
      <c r="A64" s="2" t="s">
        <v>166</v>
      </c>
      <c r="B64" s="2" t="s">
        <v>256</v>
      </c>
      <c r="C64" s="2" t="s">
        <v>9</v>
      </c>
      <c r="D64" s="3">
        <v>46080.559351851851</v>
      </c>
      <c r="E64" s="2">
        <v>64.8</v>
      </c>
      <c r="F64" s="2">
        <v>1140</v>
      </c>
      <c r="G64" s="2">
        <v>0</v>
      </c>
      <c r="I64" s="2" t="s">
        <v>372</v>
      </c>
      <c r="J64" s="2" t="s">
        <v>258</v>
      </c>
      <c r="K64" s="2">
        <v>33</v>
      </c>
      <c r="L64" s="2">
        <v>3505026639</v>
      </c>
      <c r="M64" s="2">
        <v>50</v>
      </c>
      <c r="N64" s="2" t="s">
        <v>373</v>
      </c>
      <c r="O64" s="2">
        <v>50</v>
      </c>
      <c r="P64" s="2" t="s">
        <v>374</v>
      </c>
      <c r="Q64" s="2">
        <v>50</v>
      </c>
      <c r="R64" s="2" t="s">
        <v>375</v>
      </c>
      <c r="S64" s="2">
        <v>50</v>
      </c>
      <c r="T64" s="2" t="s">
        <v>376</v>
      </c>
      <c r="U64" s="2">
        <v>50</v>
      </c>
      <c r="V64" s="2" t="s">
        <v>263</v>
      </c>
      <c r="W64" s="2">
        <v>50</v>
      </c>
      <c r="X64" s="2">
        <v>330</v>
      </c>
      <c r="Y64" s="2">
        <v>50</v>
      </c>
      <c r="Z64" s="2" t="s">
        <v>476</v>
      </c>
      <c r="AA64" s="2">
        <v>50</v>
      </c>
      <c r="AB64" s="2" t="s">
        <v>477</v>
      </c>
      <c r="AC64" s="2">
        <v>50</v>
      </c>
      <c r="AD64" s="2">
        <v>80</v>
      </c>
      <c r="AE64" s="2">
        <v>50</v>
      </c>
      <c r="AF64" s="2" t="s">
        <v>379</v>
      </c>
      <c r="AG64" s="2">
        <v>50</v>
      </c>
      <c r="AH64" s="2" t="s">
        <v>478</v>
      </c>
      <c r="AI64" s="2">
        <v>50</v>
      </c>
      <c r="AJ64" s="2" t="s">
        <v>381</v>
      </c>
      <c r="AK64" s="2">
        <v>50</v>
      </c>
    </row>
    <row r="65" spans="1:37" x14ac:dyDescent="0.25">
      <c r="A65" s="2" t="s">
        <v>166</v>
      </c>
      <c r="B65" s="2" t="s">
        <v>256</v>
      </c>
      <c r="C65" s="2" t="s">
        <v>9</v>
      </c>
      <c r="D65" s="3">
        <v>46080.559351851851</v>
      </c>
      <c r="E65" s="2">
        <v>64.8</v>
      </c>
      <c r="F65" s="2">
        <v>1140</v>
      </c>
      <c r="G65" s="2">
        <v>0</v>
      </c>
      <c r="I65" s="2" t="s">
        <v>372</v>
      </c>
      <c r="J65" s="2" t="s">
        <v>258</v>
      </c>
      <c r="K65" s="2">
        <v>34</v>
      </c>
      <c r="L65" s="2">
        <v>3505026639</v>
      </c>
      <c r="M65" s="2">
        <v>50</v>
      </c>
      <c r="N65" s="2" t="s">
        <v>373</v>
      </c>
      <c r="O65" s="2">
        <v>50</v>
      </c>
      <c r="P65" s="2" t="s">
        <v>374</v>
      </c>
      <c r="Q65" s="2">
        <v>50</v>
      </c>
      <c r="R65" s="2" t="s">
        <v>375</v>
      </c>
      <c r="S65" s="2">
        <v>50</v>
      </c>
      <c r="T65" s="2" t="s">
        <v>376</v>
      </c>
      <c r="U65" s="2">
        <v>50</v>
      </c>
      <c r="V65" s="2" t="s">
        <v>263</v>
      </c>
      <c r="W65" s="2">
        <v>50</v>
      </c>
      <c r="X65" s="2">
        <v>340</v>
      </c>
      <c r="Y65" s="2">
        <v>50</v>
      </c>
      <c r="Z65" s="2" t="s">
        <v>479</v>
      </c>
      <c r="AA65" s="2">
        <v>50</v>
      </c>
      <c r="AB65" s="2" t="s">
        <v>480</v>
      </c>
      <c r="AC65" s="2">
        <v>50</v>
      </c>
      <c r="AD65" s="2">
        <v>70</v>
      </c>
      <c r="AE65" s="2">
        <v>50</v>
      </c>
      <c r="AF65" s="2" t="s">
        <v>379</v>
      </c>
      <c r="AG65" s="2">
        <v>50</v>
      </c>
      <c r="AH65" s="2" t="s">
        <v>481</v>
      </c>
      <c r="AI65" s="2">
        <v>50</v>
      </c>
      <c r="AJ65" s="2" t="s">
        <v>381</v>
      </c>
      <c r="AK65" s="2">
        <v>50</v>
      </c>
    </row>
    <row r="66" spans="1:37" x14ac:dyDescent="0.25">
      <c r="A66" s="2" t="s">
        <v>166</v>
      </c>
      <c r="B66" s="2" t="s">
        <v>256</v>
      </c>
      <c r="C66" s="2" t="s">
        <v>9</v>
      </c>
      <c r="D66" s="3">
        <v>46080.559351851851</v>
      </c>
      <c r="E66" s="2">
        <v>64.8</v>
      </c>
      <c r="F66" s="2">
        <v>1140</v>
      </c>
      <c r="G66" s="2">
        <v>0</v>
      </c>
      <c r="I66" s="2" t="s">
        <v>372</v>
      </c>
      <c r="J66" s="2" t="s">
        <v>258</v>
      </c>
      <c r="K66" s="2">
        <v>35</v>
      </c>
      <c r="L66" s="2">
        <v>3505026639</v>
      </c>
      <c r="M66" s="2">
        <v>50</v>
      </c>
      <c r="N66" s="2" t="s">
        <v>373</v>
      </c>
      <c r="O66" s="2">
        <v>50</v>
      </c>
      <c r="P66" s="2" t="s">
        <v>374</v>
      </c>
      <c r="Q66" s="2">
        <v>50</v>
      </c>
      <c r="R66" s="2" t="s">
        <v>375</v>
      </c>
      <c r="S66" s="2">
        <v>50</v>
      </c>
      <c r="T66" s="2" t="s">
        <v>376</v>
      </c>
      <c r="U66" s="2">
        <v>50</v>
      </c>
      <c r="V66" s="2" t="s">
        <v>263</v>
      </c>
      <c r="W66" s="2">
        <v>50</v>
      </c>
      <c r="X66" s="2">
        <v>350</v>
      </c>
      <c r="Y66" s="2">
        <v>50</v>
      </c>
      <c r="Z66" s="2" t="s">
        <v>482</v>
      </c>
      <c r="AA66" s="2">
        <v>50</v>
      </c>
      <c r="AB66" s="2" t="s">
        <v>483</v>
      </c>
      <c r="AC66" s="2">
        <v>50</v>
      </c>
      <c r="AD66" s="2">
        <v>100</v>
      </c>
      <c r="AE66" s="2">
        <v>50</v>
      </c>
      <c r="AF66" s="2" t="s">
        <v>379</v>
      </c>
      <c r="AG66" s="2">
        <v>50</v>
      </c>
      <c r="AH66" s="2" t="s">
        <v>484</v>
      </c>
      <c r="AI66" s="2">
        <v>50</v>
      </c>
      <c r="AJ66" s="2" t="s">
        <v>381</v>
      </c>
      <c r="AK66" s="2">
        <v>50</v>
      </c>
    </row>
    <row r="67" spans="1:37" x14ac:dyDescent="0.25">
      <c r="A67" s="2" t="s">
        <v>166</v>
      </c>
      <c r="B67" s="2" t="s">
        <v>256</v>
      </c>
      <c r="C67" s="2" t="s">
        <v>9</v>
      </c>
      <c r="D67" s="3">
        <v>46080.559351851851</v>
      </c>
      <c r="E67" s="2">
        <v>64.8</v>
      </c>
      <c r="F67" s="2">
        <v>1140</v>
      </c>
      <c r="G67" s="2">
        <v>0</v>
      </c>
      <c r="I67" s="2" t="s">
        <v>372</v>
      </c>
      <c r="J67" s="2" t="s">
        <v>258</v>
      </c>
      <c r="K67" s="2">
        <v>36</v>
      </c>
      <c r="L67" s="2">
        <v>3505026639</v>
      </c>
      <c r="M67" s="2">
        <v>50</v>
      </c>
      <c r="N67" s="2" t="s">
        <v>373</v>
      </c>
      <c r="O67" s="2">
        <v>50</v>
      </c>
      <c r="P67" s="2" t="s">
        <v>374</v>
      </c>
      <c r="Q67" s="2">
        <v>50</v>
      </c>
      <c r="R67" s="2" t="s">
        <v>375</v>
      </c>
      <c r="S67" s="2">
        <v>50</v>
      </c>
      <c r="T67" s="2" t="s">
        <v>376</v>
      </c>
      <c r="U67" s="2">
        <v>50</v>
      </c>
      <c r="V67" s="2" t="s">
        <v>263</v>
      </c>
      <c r="W67" s="2">
        <v>50</v>
      </c>
      <c r="X67" s="2">
        <v>360</v>
      </c>
      <c r="Y67" s="2">
        <v>50</v>
      </c>
      <c r="Z67" s="2" t="s">
        <v>485</v>
      </c>
      <c r="AA67" s="2">
        <v>50</v>
      </c>
      <c r="AB67" s="2" t="s">
        <v>486</v>
      </c>
      <c r="AC67" s="2">
        <v>50</v>
      </c>
      <c r="AD67" s="2">
        <v>80</v>
      </c>
      <c r="AE67" s="2">
        <v>50</v>
      </c>
      <c r="AF67" s="2" t="s">
        <v>379</v>
      </c>
      <c r="AG67" s="2">
        <v>50</v>
      </c>
      <c r="AH67" s="2" t="s">
        <v>487</v>
      </c>
      <c r="AI67" s="2">
        <v>50</v>
      </c>
      <c r="AJ67" s="2" t="s">
        <v>381</v>
      </c>
      <c r="AK67" s="2">
        <v>50</v>
      </c>
    </row>
    <row r="68" spans="1:37" x14ac:dyDescent="0.25">
      <c r="A68" s="2" t="s">
        <v>166</v>
      </c>
      <c r="B68" s="2" t="s">
        <v>256</v>
      </c>
      <c r="C68" s="2" t="s">
        <v>9</v>
      </c>
      <c r="D68" s="3">
        <v>46080.559351851851</v>
      </c>
      <c r="E68" s="2">
        <v>64.8</v>
      </c>
      <c r="F68" s="2">
        <v>1140</v>
      </c>
      <c r="G68" s="2">
        <v>0</v>
      </c>
      <c r="I68" s="2" t="s">
        <v>372</v>
      </c>
      <c r="J68" s="2" t="s">
        <v>258</v>
      </c>
      <c r="K68" s="2">
        <v>37</v>
      </c>
      <c r="L68" s="2">
        <v>3505026639</v>
      </c>
      <c r="M68" s="2">
        <v>50</v>
      </c>
      <c r="N68" s="2" t="s">
        <v>373</v>
      </c>
      <c r="O68" s="2">
        <v>50</v>
      </c>
      <c r="P68" s="2" t="s">
        <v>374</v>
      </c>
      <c r="Q68" s="2">
        <v>50</v>
      </c>
      <c r="R68" s="2" t="s">
        <v>375</v>
      </c>
      <c r="S68" s="2">
        <v>50</v>
      </c>
      <c r="T68" s="2" t="s">
        <v>376</v>
      </c>
      <c r="U68" s="2">
        <v>50</v>
      </c>
      <c r="V68" s="2" t="s">
        <v>263</v>
      </c>
      <c r="W68" s="2">
        <v>50</v>
      </c>
      <c r="X68" s="2">
        <v>370</v>
      </c>
      <c r="Y68" s="2">
        <v>50</v>
      </c>
      <c r="Z68" s="2" t="s">
        <v>488</v>
      </c>
      <c r="AA68" s="2">
        <v>50</v>
      </c>
      <c r="AB68" s="2" t="s">
        <v>489</v>
      </c>
      <c r="AC68" s="2">
        <v>50</v>
      </c>
      <c r="AD68" s="2">
        <v>125</v>
      </c>
      <c r="AE68" s="2">
        <v>50</v>
      </c>
      <c r="AF68" s="2" t="s">
        <v>379</v>
      </c>
      <c r="AG68" s="2">
        <v>50</v>
      </c>
      <c r="AH68" s="2" t="s">
        <v>490</v>
      </c>
      <c r="AI68" s="2">
        <v>50</v>
      </c>
      <c r="AJ68" s="2" t="s">
        <v>381</v>
      </c>
      <c r="AK68" s="2">
        <v>50</v>
      </c>
    </row>
    <row r="69" spans="1:37" x14ac:dyDescent="0.25">
      <c r="A69" s="2" t="s">
        <v>166</v>
      </c>
      <c r="B69" s="2" t="s">
        <v>256</v>
      </c>
      <c r="C69" s="2" t="s">
        <v>9</v>
      </c>
      <c r="D69" s="3">
        <v>46080.559351851851</v>
      </c>
      <c r="E69" s="2">
        <v>64.8</v>
      </c>
      <c r="F69" s="2">
        <v>1140</v>
      </c>
      <c r="G69" s="2">
        <v>0</v>
      </c>
      <c r="I69" s="2" t="s">
        <v>372</v>
      </c>
      <c r="J69" s="2" t="s">
        <v>258</v>
      </c>
      <c r="K69" s="2">
        <v>38</v>
      </c>
      <c r="L69" s="2">
        <v>3505026639</v>
      </c>
      <c r="M69" s="2">
        <v>50</v>
      </c>
      <c r="N69" s="2" t="s">
        <v>373</v>
      </c>
      <c r="O69" s="2">
        <v>50</v>
      </c>
      <c r="P69" s="2" t="s">
        <v>374</v>
      </c>
      <c r="Q69" s="2">
        <v>50</v>
      </c>
      <c r="R69" s="2" t="s">
        <v>375</v>
      </c>
      <c r="S69" s="2">
        <v>50</v>
      </c>
      <c r="T69" s="2" t="s">
        <v>376</v>
      </c>
      <c r="U69" s="2">
        <v>50</v>
      </c>
      <c r="V69" s="2" t="s">
        <v>263</v>
      </c>
      <c r="W69" s="2">
        <v>50</v>
      </c>
      <c r="X69" s="2">
        <v>380</v>
      </c>
      <c r="Y69" s="2">
        <v>50</v>
      </c>
      <c r="Z69" s="2" t="s">
        <v>491</v>
      </c>
      <c r="AA69" s="2">
        <v>50</v>
      </c>
      <c r="AB69" s="2" t="s">
        <v>492</v>
      </c>
      <c r="AC69" s="2">
        <v>50</v>
      </c>
      <c r="AD69" s="2">
        <v>80</v>
      </c>
      <c r="AE69" s="2">
        <v>50</v>
      </c>
      <c r="AF69" s="2" t="s">
        <v>379</v>
      </c>
      <c r="AG69" s="2">
        <v>50</v>
      </c>
      <c r="AH69" s="2" t="s">
        <v>493</v>
      </c>
      <c r="AI69" s="2">
        <v>50</v>
      </c>
      <c r="AJ69" s="2" t="s">
        <v>381</v>
      </c>
      <c r="AK69" s="2">
        <v>50</v>
      </c>
    </row>
    <row r="70" spans="1:37" x14ac:dyDescent="0.25">
      <c r="A70" s="2" t="s">
        <v>166</v>
      </c>
      <c r="B70" s="2" t="s">
        <v>256</v>
      </c>
      <c r="C70" s="2" t="s">
        <v>9</v>
      </c>
      <c r="D70" s="3">
        <v>46080.559351851851</v>
      </c>
      <c r="E70" s="2">
        <v>64.8</v>
      </c>
      <c r="F70" s="2">
        <v>1140</v>
      </c>
      <c r="G70" s="2">
        <v>0</v>
      </c>
      <c r="I70" s="2" t="s">
        <v>372</v>
      </c>
      <c r="J70" s="2" t="s">
        <v>258</v>
      </c>
      <c r="K70" s="2">
        <v>39</v>
      </c>
      <c r="L70" s="2">
        <v>3505026639</v>
      </c>
      <c r="M70" s="2">
        <v>50</v>
      </c>
      <c r="N70" s="2" t="s">
        <v>373</v>
      </c>
      <c r="O70" s="2">
        <v>50</v>
      </c>
      <c r="P70" s="2" t="s">
        <v>374</v>
      </c>
      <c r="Q70" s="2">
        <v>50</v>
      </c>
      <c r="R70" s="2" t="s">
        <v>375</v>
      </c>
      <c r="S70" s="2">
        <v>50</v>
      </c>
      <c r="T70" s="2" t="s">
        <v>376</v>
      </c>
      <c r="U70" s="2">
        <v>50</v>
      </c>
      <c r="V70" s="2" t="s">
        <v>263</v>
      </c>
      <c r="W70" s="2">
        <v>50</v>
      </c>
      <c r="X70" s="2">
        <v>390</v>
      </c>
      <c r="Y70" s="2">
        <v>50</v>
      </c>
      <c r="Z70" s="2" t="s">
        <v>494</v>
      </c>
      <c r="AA70" s="2">
        <v>50</v>
      </c>
      <c r="AB70" s="2" t="s">
        <v>495</v>
      </c>
      <c r="AC70" s="2">
        <v>50</v>
      </c>
      <c r="AD70" s="2">
        <v>600</v>
      </c>
      <c r="AE70" s="2">
        <v>50</v>
      </c>
      <c r="AF70" s="2" t="s">
        <v>379</v>
      </c>
      <c r="AG70" s="2">
        <v>50</v>
      </c>
      <c r="AH70" s="2" t="s">
        <v>496</v>
      </c>
      <c r="AI70" s="2">
        <v>50</v>
      </c>
      <c r="AJ70" s="2" t="s">
        <v>381</v>
      </c>
      <c r="AK70" s="2">
        <v>50</v>
      </c>
    </row>
    <row r="71" spans="1:37" x14ac:dyDescent="0.25">
      <c r="A71" s="2" t="s">
        <v>166</v>
      </c>
      <c r="B71" s="2" t="s">
        <v>256</v>
      </c>
      <c r="C71" s="2" t="s">
        <v>9</v>
      </c>
      <c r="D71" s="3">
        <v>46080.559351851851</v>
      </c>
      <c r="E71" s="2">
        <v>64.8</v>
      </c>
      <c r="F71" s="2">
        <v>1140</v>
      </c>
      <c r="G71" s="2">
        <v>0</v>
      </c>
      <c r="I71" s="2" t="s">
        <v>372</v>
      </c>
      <c r="J71" s="2" t="s">
        <v>258</v>
      </c>
      <c r="K71" s="2">
        <v>40</v>
      </c>
      <c r="L71" s="2">
        <v>3505026639</v>
      </c>
      <c r="M71" s="2">
        <v>50</v>
      </c>
      <c r="N71" s="2" t="s">
        <v>373</v>
      </c>
      <c r="O71" s="2">
        <v>50</v>
      </c>
      <c r="P71" s="2" t="s">
        <v>374</v>
      </c>
      <c r="Q71" s="2">
        <v>50</v>
      </c>
      <c r="R71" s="2" t="s">
        <v>375</v>
      </c>
      <c r="S71" s="2">
        <v>50</v>
      </c>
      <c r="T71" s="2" t="s">
        <v>376</v>
      </c>
      <c r="U71" s="2">
        <v>50</v>
      </c>
      <c r="V71" s="2" t="s">
        <v>263</v>
      </c>
      <c r="W71" s="2">
        <v>50</v>
      </c>
      <c r="X71" s="2">
        <v>400</v>
      </c>
      <c r="Y71" s="2">
        <v>50</v>
      </c>
      <c r="Z71" s="2" t="s">
        <v>497</v>
      </c>
      <c r="AA71" s="2">
        <v>50</v>
      </c>
      <c r="AB71" s="2" t="s">
        <v>498</v>
      </c>
      <c r="AC71" s="2">
        <v>50</v>
      </c>
      <c r="AD71" s="2">
        <v>3</v>
      </c>
      <c r="AE71" s="2">
        <v>50</v>
      </c>
      <c r="AF71" s="2" t="s">
        <v>379</v>
      </c>
      <c r="AG71" s="2">
        <v>50</v>
      </c>
      <c r="AH71" s="2" t="s">
        <v>499</v>
      </c>
      <c r="AI71" s="2">
        <v>50</v>
      </c>
      <c r="AJ71" s="2" t="s">
        <v>381</v>
      </c>
      <c r="AK71" s="2">
        <v>50</v>
      </c>
    </row>
    <row r="72" spans="1:37" x14ac:dyDescent="0.25">
      <c r="A72" s="2" t="s">
        <v>166</v>
      </c>
      <c r="B72" s="2" t="s">
        <v>256</v>
      </c>
      <c r="C72" s="2" t="s">
        <v>9</v>
      </c>
      <c r="D72" s="3">
        <v>46080.559351851851</v>
      </c>
      <c r="E72" s="2">
        <v>64.8</v>
      </c>
      <c r="F72" s="2">
        <v>1140</v>
      </c>
      <c r="G72" s="2">
        <v>0</v>
      </c>
      <c r="I72" s="2" t="s">
        <v>372</v>
      </c>
      <c r="J72" s="2" t="s">
        <v>258</v>
      </c>
      <c r="K72" s="2">
        <v>41</v>
      </c>
      <c r="L72" s="2">
        <v>3505026639</v>
      </c>
      <c r="M72" s="2">
        <v>50</v>
      </c>
      <c r="N72" s="2" t="s">
        <v>373</v>
      </c>
      <c r="O72" s="2">
        <v>50</v>
      </c>
      <c r="P72" s="2" t="s">
        <v>374</v>
      </c>
      <c r="Q72" s="2">
        <v>50</v>
      </c>
      <c r="R72" s="2" t="s">
        <v>375</v>
      </c>
      <c r="S72" s="2">
        <v>50</v>
      </c>
      <c r="T72" s="2" t="s">
        <v>376</v>
      </c>
      <c r="U72" s="2">
        <v>50</v>
      </c>
      <c r="V72" s="2" t="s">
        <v>263</v>
      </c>
      <c r="W72" s="2">
        <v>50</v>
      </c>
      <c r="X72" s="2">
        <v>410</v>
      </c>
      <c r="Y72" s="2">
        <v>50</v>
      </c>
      <c r="Z72" s="2" t="s">
        <v>500</v>
      </c>
      <c r="AA72" s="2">
        <v>50</v>
      </c>
      <c r="AB72" s="2" t="s">
        <v>501</v>
      </c>
      <c r="AC72" s="2">
        <v>50</v>
      </c>
      <c r="AD72" s="2">
        <v>1</v>
      </c>
      <c r="AE72" s="2">
        <v>50</v>
      </c>
      <c r="AF72" s="2" t="s">
        <v>379</v>
      </c>
      <c r="AG72" s="2">
        <v>50</v>
      </c>
      <c r="AH72" s="2" t="s">
        <v>502</v>
      </c>
      <c r="AI72" s="2">
        <v>50</v>
      </c>
      <c r="AJ72" s="2" t="s">
        <v>381</v>
      </c>
      <c r="AK72" s="2">
        <v>50</v>
      </c>
    </row>
    <row r="73" spans="1:37" x14ac:dyDescent="0.25">
      <c r="A73" s="2" t="s">
        <v>166</v>
      </c>
      <c r="B73" s="2" t="s">
        <v>256</v>
      </c>
      <c r="C73" s="2" t="s">
        <v>9</v>
      </c>
      <c r="D73" s="3">
        <v>46080.559351851851</v>
      </c>
      <c r="E73" s="2">
        <v>64.8</v>
      </c>
      <c r="F73" s="2">
        <v>1140</v>
      </c>
      <c r="G73" s="2">
        <v>0</v>
      </c>
      <c r="I73" s="2" t="s">
        <v>372</v>
      </c>
      <c r="J73" s="2" t="s">
        <v>258</v>
      </c>
      <c r="K73" s="2">
        <v>42</v>
      </c>
      <c r="L73" s="2">
        <v>3505026639</v>
      </c>
      <c r="M73" s="2">
        <v>50</v>
      </c>
      <c r="N73" s="2" t="s">
        <v>373</v>
      </c>
      <c r="O73" s="2">
        <v>50</v>
      </c>
      <c r="P73" s="2" t="s">
        <v>374</v>
      </c>
      <c r="Q73" s="2">
        <v>50</v>
      </c>
      <c r="R73" s="2" t="s">
        <v>375</v>
      </c>
      <c r="S73" s="2">
        <v>50</v>
      </c>
      <c r="T73" s="2" t="s">
        <v>376</v>
      </c>
      <c r="U73" s="2">
        <v>50</v>
      </c>
      <c r="V73" s="2" t="s">
        <v>263</v>
      </c>
      <c r="W73" s="2">
        <v>50</v>
      </c>
      <c r="X73" s="2">
        <v>420</v>
      </c>
      <c r="Y73" s="2">
        <v>50</v>
      </c>
      <c r="Z73" s="2" t="s">
        <v>503</v>
      </c>
      <c r="AA73" s="2">
        <v>50</v>
      </c>
      <c r="AB73" s="2" t="s">
        <v>504</v>
      </c>
      <c r="AC73" s="2">
        <v>50</v>
      </c>
      <c r="AD73" s="2">
        <v>12</v>
      </c>
      <c r="AE73" s="2">
        <v>50</v>
      </c>
      <c r="AF73" s="2" t="s">
        <v>379</v>
      </c>
      <c r="AG73" s="2">
        <v>50</v>
      </c>
      <c r="AH73" s="2" t="s">
        <v>505</v>
      </c>
      <c r="AI73" s="2">
        <v>50</v>
      </c>
      <c r="AJ73" s="2" t="s">
        <v>381</v>
      </c>
      <c r="AK73" s="2">
        <v>50</v>
      </c>
    </row>
    <row r="74" spans="1:37" x14ac:dyDescent="0.25">
      <c r="A74" s="2" t="s">
        <v>166</v>
      </c>
      <c r="B74" s="2" t="s">
        <v>256</v>
      </c>
      <c r="C74" s="2" t="s">
        <v>9</v>
      </c>
      <c r="D74" s="3">
        <v>46080.559351851851</v>
      </c>
      <c r="E74" s="2">
        <v>64.8</v>
      </c>
      <c r="F74" s="2">
        <v>1140</v>
      </c>
      <c r="G74" s="2">
        <v>0</v>
      </c>
      <c r="I74" s="2" t="s">
        <v>372</v>
      </c>
      <c r="J74" s="2" t="s">
        <v>258</v>
      </c>
      <c r="K74" s="2">
        <v>43</v>
      </c>
      <c r="L74" s="2">
        <v>3505026639</v>
      </c>
      <c r="M74" s="2">
        <v>50</v>
      </c>
      <c r="N74" s="2" t="s">
        <v>373</v>
      </c>
      <c r="O74" s="2">
        <v>50</v>
      </c>
      <c r="P74" s="2" t="s">
        <v>374</v>
      </c>
      <c r="Q74" s="2">
        <v>50</v>
      </c>
      <c r="R74" s="2" t="s">
        <v>375</v>
      </c>
      <c r="S74" s="2">
        <v>50</v>
      </c>
      <c r="T74" s="2" t="s">
        <v>376</v>
      </c>
      <c r="U74" s="2">
        <v>50</v>
      </c>
      <c r="V74" s="2" t="s">
        <v>263</v>
      </c>
      <c r="W74" s="2">
        <v>50</v>
      </c>
      <c r="X74" s="2">
        <v>430</v>
      </c>
      <c r="Y74" s="2">
        <v>50</v>
      </c>
      <c r="Z74" s="2" t="s">
        <v>506</v>
      </c>
      <c r="AA74" s="2">
        <v>50</v>
      </c>
      <c r="AB74" s="2" t="s">
        <v>507</v>
      </c>
      <c r="AC74" s="2">
        <v>50</v>
      </c>
      <c r="AD74" s="2">
        <v>10</v>
      </c>
      <c r="AE74" s="2">
        <v>50</v>
      </c>
      <c r="AF74" s="2" t="s">
        <v>379</v>
      </c>
      <c r="AG74" s="2">
        <v>50</v>
      </c>
      <c r="AH74" s="2" t="s">
        <v>508</v>
      </c>
      <c r="AI74" s="2">
        <v>50</v>
      </c>
      <c r="AJ74" s="2" t="s">
        <v>381</v>
      </c>
      <c r="AK74" s="2">
        <v>50</v>
      </c>
    </row>
    <row r="75" spans="1:37" x14ac:dyDescent="0.25">
      <c r="A75" s="2" t="s">
        <v>166</v>
      </c>
      <c r="B75" s="2" t="s">
        <v>256</v>
      </c>
      <c r="C75" s="2" t="s">
        <v>9</v>
      </c>
      <c r="D75" s="3">
        <v>46080.559351851851</v>
      </c>
      <c r="E75" s="2">
        <v>64.8</v>
      </c>
      <c r="F75" s="2">
        <v>1140</v>
      </c>
      <c r="G75" s="2">
        <v>0</v>
      </c>
      <c r="I75" s="2" t="s">
        <v>372</v>
      </c>
      <c r="J75" s="2" t="s">
        <v>258</v>
      </c>
      <c r="K75" s="2">
        <v>44</v>
      </c>
      <c r="L75" s="2">
        <v>3505026639</v>
      </c>
      <c r="M75" s="2">
        <v>50</v>
      </c>
      <c r="N75" s="2" t="s">
        <v>373</v>
      </c>
      <c r="O75" s="2">
        <v>50</v>
      </c>
      <c r="P75" s="2" t="s">
        <v>374</v>
      </c>
      <c r="Q75" s="2">
        <v>50</v>
      </c>
      <c r="R75" s="2" t="s">
        <v>375</v>
      </c>
      <c r="S75" s="2">
        <v>50</v>
      </c>
      <c r="T75" s="2" t="s">
        <v>376</v>
      </c>
      <c r="U75" s="2">
        <v>50</v>
      </c>
      <c r="V75" s="2" t="s">
        <v>263</v>
      </c>
      <c r="W75" s="2">
        <v>50</v>
      </c>
      <c r="X75" s="2">
        <v>440</v>
      </c>
      <c r="Y75" s="2">
        <v>50</v>
      </c>
      <c r="Z75" s="2" t="s">
        <v>509</v>
      </c>
      <c r="AA75" s="2">
        <v>50</v>
      </c>
      <c r="AB75" s="2" t="s">
        <v>510</v>
      </c>
      <c r="AC75" s="2">
        <v>50</v>
      </c>
      <c r="AD75" s="2">
        <v>10</v>
      </c>
      <c r="AE75" s="2">
        <v>50</v>
      </c>
      <c r="AF75" s="2" t="s">
        <v>379</v>
      </c>
      <c r="AG75" s="2">
        <v>50</v>
      </c>
      <c r="AH75" s="2" t="s">
        <v>511</v>
      </c>
      <c r="AI75" s="2">
        <v>50</v>
      </c>
      <c r="AJ75" s="2" t="s">
        <v>381</v>
      </c>
      <c r="AK75" s="2">
        <v>50</v>
      </c>
    </row>
    <row r="76" spans="1:37" x14ac:dyDescent="0.25">
      <c r="A76" s="2" t="s">
        <v>166</v>
      </c>
      <c r="B76" s="2" t="s">
        <v>256</v>
      </c>
      <c r="C76" s="2" t="s">
        <v>9</v>
      </c>
      <c r="D76" s="3">
        <v>46080.559351851851</v>
      </c>
      <c r="E76" s="2">
        <v>64.8</v>
      </c>
      <c r="F76" s="2">
        <v>1140</v>
      </c>
      <c r="G76" s="2">
        <v>0</v>
      </c>
      <c r="I76" s="2" t="s">
        <v>372</v>
      </c>
      <c r="J76" s="2" t="s">
        <v>258</v>
      </c>
      <c r="K76" s="2">
        <v>45</v>
      </c>
      <c r="L76" s="2">
        <v>3505026639</v>
      </c>
      <c r="M76" s="2">
        <v>50</v>
      </c>
      <c r="N76" s="2" t="s">
        <v>373</v>
      </c>
      <c r="O76" s="2">
        <v>50</v>
      </c>
      <c r="P76" s="2" t="s">
        <v>374</v>
      </c>
      <c r="Q76" s="2">
        <v>50</v>
      </c>
      <c r="R76" s="2" t="s">
        <v>375</v>
      </c>
      <c r="S76" s="2">
        <v>50</v>
      </c>
      <c r="T76" s="2" t="s">
        <v>376</v>
      </c>
      <c r="U76" s="2">
        <v>50</v>
      </c>
      <c r="V76" s="2" t="s">
        <v>263</v>
      </c>
      <c r="W76" s="2">
        <v>50</v>
      </c>
      <c r="X76" s="2">
        <v>450</v>
      </c>
      <c r="Y76" s="2">
        <v>50</v>
      </c>
      <c r="Z76" s="2" t="s">
        <v>512</v>
      </c>
      <c r="AA76" s="2">
        <v>50</v>
      </c>
      <c r="AB76" s="2" t="s">
        <v>513</v>
      </c>
      <c r="AC76" s="2">
        <v>50</v>
      </c>
      <c r="AD76" s="2">
        <v>48</v>
      </c>
      <c r="AE76" s="2">
        <v>50</v>
      </c>
      <c r="AF76" s="2" t="s">
        <v>379</v>
      </c>
      <c r="AG76" s="2">
        <v>50</v>
      </c>
      <c r="AH76" s="2" t="s">
        <v>514</v>
      </c>
      <c r="AI76" s="2">
        <v>50</v>
      </c>
    </row>
    <row r="77" spans="1:37" x14ac:dyDescent="0.25">
      <c r="A77" s="2" t="s">
        <v>166</v>
      </c>
      <c r="B77" s="2" t="s">
        <v>256</v>
      </c>
      <c r="C77" s="2" t="s">
        <v>9</v>
      </c>
      <c r="D77" s="3">
        <v>46080.559351851851</v>
      </c>
      <c r="E77" s="2">
        <v>64.8</v>
      </c>
      <c r="F77" s="2">
        <v>1140</v>
      </c>
      <c r="G77" s="2">
        <v>0</v>
      </c>
      <c r="I77" s="2" t="s">
        <v>372</v>
      </c>
      <c r="J77" s="2" t="s">
        <v>258</v>
      </c>
      <c r="K77" s="2">
        <v>46</v>
      </c>
      <c r="L77" s="2">
        <v>3505026639</v>
      </c>
      <c r="M77" s="2">
        <v>50</v>
      </c>
      <c r="N77" s="2" t="s">
        <v>373</v>
      </c>
      <c r="O77" s="2">
        <v>50</v>
      </c>
      <c r="P77" s="2" t="s">
        <v>374</v>
      </c>
      <c r="Q77" s="2">
        <v>50</v>
      </c>
      <c r="R77" s="2" t="s">
        <v>375</v>
      </c>
      <c r="S77" s="2">
        <v>50</v>
      </c>
      <c r="T77" s="2" t="s">
        <v>376</v>
      </c>
      <c r="U77" s="2">
        <v>50</v>
      </c>
      <c r="V77" s="2" t="s">
        <v>263</v>
      </c>
      <c r="W77" s="2">
        <v>50</v>
      </c>
      <c r="X77" s="2">
        <v>460</v>
      </c>
      <c r="Y77" s="2">
        <v>50</v>
      </c>
      <c r="Z77" s="2" t="s">
        <v>515</v>
      </c>
      <c r="AA77" s="2">
        <v>50</v>
      </c>
      <c r="AB77" s="2" t="s">
        <v>516</v>
      </c>
      <c r="AC77" s="2">
        <v>50</v>
      </c>
      <c r="AD77" s="2">
        <v>10</v>
      </c>
      <c r="AE77" s="2">
        <v>50</v>
      </c>
      <c r="AF77" s="2" t="s">
        <v>379</v>
      </c>
      <c r="AG77" s="2">
        <v>50</v>
      </c>
      <c r="AH77" s="2" t="s">
        <v>517</v>
      </c>
      <c r="AI77" s="2">
        <v>50</v>
      </c>
      <c r="AJ77" s="2" t="s">
        <v>381</v>
      </c>
      <c r="AK77" s="2">
        <v>50</v>
      </c>
    </row>
    <row r="78" spans="1:37" x14ac:dyDescent="0.25">
      <c r="A78" s="2" t="s">
        <v>166</v>
      </c>
      <c r="B78" s="2" t="s">
        <v>256</v>
      </c>
      <c r="C78" s="2" t="s">
        <v>9</v>
      </c>
      <c r="D78" s="3">
        <v>46080.559351851851</v>
      </c>
      <c r="E78" s="2">
        <v>64.8</v>
      </c>
      <c r="F78" s="2">
        <v>1140</v>
      </c>
      <c r="G78" s="2">
        <v>0</v>
      </c>
      <c r="I78" s="2" t="s">
        <v>372</v>
      </c>
      <c r="J78" s="2" t="s">
        <v>258</v>
      </c>
      <c r="K78" s="2">
        <v>47</v>
      </c>
      <c r="L78" s="2">
        <v>3505026639</v>
      </c>
      <c r="M78" s="2">
        <v>50</v>
      </c>
      <c r="N78" s="2" t="s">
        <v>373</v>
      </c>
      <c r="O78" s="2">
        <v>50</v>
      </c>
      <c r="P78" s="2" t="s">
        <v>374</v>
      </c>
      <c r="Q78" s="2">
        <v>50</v>
      </c>
      <c r="R78" s="2" t="s">
        <v>375</v>
      </c>
      <c r="S78" s="2">
        <v>50</v>
      </c>
      <c r="T78" s="2" t="s">
        <v>376</v>
      </c>
      <c r="U78" s="2">
        <v>50</v>
      </c>
      <c r="V78" s="2" t="s">
        <v>263</v>
      </c>
      <c r="W78" s="2">
        <v>50</v>
      </c>
      <c r="X78" s="2">
        <v>470</v>
      </c>
      <c r="Y78" s="2">
        <v>50</v>
      </c>
      <c r="Z78" s="2" t="s">
        <v>518</v>
      </c>
      <c r="AA78" s="2">
        <v>50</v>
      </c>
      <c r="AB78" s="2" t="s">
        <v>519</v>
      </c>
      <c r="AC78" s="2">
        <v>50</v>
      </c>
      <c r="AD78" s="2">
        <v>2</v>
      </c>
      <c r="AE78" s="2">
        <v>50</v>
      </c>
      <c r="AF78" s="2" t="s">
        <v>379</v>
      </c>
      <c r="AG78" s="2">
        <v>50</v>
      </c>
      <c r="AH78" s="2" t="s">
        <v>520</v>
      </c>
      <c r="AI78" s="2">
        <v>50</v>
      </c>
      <c r="AJ78" s="2" t="s">
        <v>381</v>
      </c>
      <c r="AK78" s="2">
        <v>50</v>
      </c>
    </row>
    <row r="79" spans="1:37" x14ac:dyDescent="0.25">
      <c r="A79" s="2" t="s">
        <v>166</v>
      </c>
      <c r="B79" s="2" t="s">
        <v>256</v>
      </c>
      <c r="C79" s="2" t="s">
        <v>9</v>
      </c>
      <c r="D79" s="3">
        <v>46080.559351851851</v>
      </c>
      <c r="E79" s="2">
        <v>64.8</v>
      </c>
      <c r="F79" s="2">
        <v>1140</v>
      </c>
      <c r="G79" s="2">
        <v>0</v>
      </c>
      <c r="I79" s="2" t="s">
        <v>372</v>
      </c>
      <c r="J79" s="2" t="s">
        <v>258</v>
      </c>
      <c r="K79" s="2">
        <v>48</v>
      </c>
      <c r="L79" s="2">
        <v>3505026639</v>
      </c>
      <c r="M79" s="2">
        <v>50</v>
      </c>
      <c r="N79" s="2" t="s">
        <v>373</v>
      </c>
      <c r="O79" s="2">
        <v>50</v>
      </c>
      <c r="P79" s="2" t="s">
        <v>374</v>
      </c>
      <c r="Q79" s="2">
        <v>50</v>
      </c>
      <c r="R79" s="2" t="s">
        <v>375</v>
      </c>
      <c r="S79" s="2">
        <v>50</v>
      </c>
      <c r="T79" s="2" t="s">
        <v>376</v>
      </c>
      <c r="U79" s="2">
        <v>50</v>
      </c>
      <c r="V79" s="2" t="s">
        <v>263</v>
      </c>
      <c r="W79" s="2">
        <v>50</v>
      </c>
      <c r="X79" s="2">
        <v>480</v>
      </c>
      <c r="Y79" s="2">
        <v>50</v>
      </c>
      <c r="Z79" s="2" t="s">
        <v>521</v>
      </c>
      <c r="AA79" s="2">
        <v>50</v>
      </c>
      <c r="AB79" s="2" t="s">
        <v>522</v>
      </c>
      <c r="AC79" s="2">
        <v>50</v>
      </c>
      <c r="AD79" s="2">
        <v>12</v>
      </c>
      <c r="AE79" s="2">
        <v>50</v>
      </c>
      <c r="AF79" s="2" t="s">
        <v>432</v>
      </c>
      <c r="AG79" s="2">
        <v>50</v>
      </c>
      <c r="AH79" s="2" t="s">
        <v>523</v>
      </c>
      <c r="AI79" s="2">
        <v>50</v>
      </c>
      <c r="AJ79" s="2" t="s">
        <v>381</v>
      </c>
      <c r="AK79" s="2">
        <v>50</v>
      </c>
    </row>
    <row r="80" spans="1:37" x14ac:dyDescent="0.25">
      <c r="A80" s="2" t="s">
        <v>166</v>
      </c>
      <c r="B80" s="2" t="s">
        <v>256</v>
      </c>
      <c r="C80" s="2" t="s">
        <v>9</v>
      </c>
      <c r="D80" s="3">
        <v>46080.559351851851</v>
      </c>
      <c r="E80" s="2">
        <v>64.8</v>
      </c>
      <c r="F80" s="2">
        <v>1140</v>
      </c>
      <c r="G80" s="2">
        <v>0</v>
      </c>
      <c r="I80" s="2" t="s">
        <v>372</v>
      </c>
      <c r="J80" s="2" t="s">
        <v>258</v>
      </c>
      <c r="K80" s="2">
        <v>49</v>
      </c>
      <c r="L80" s="2">
        <v>3505026639</v>
      </c>
      <c r="M80" s="2">
        <v>50</v>
      </c>
      <c r="N80" s="2" t="s">
        <v>373</v>
      </c>
      <c r="O80" s="2">
        <v>50</v>
      </c>
      <c r="P80" s="2" t="s">
        <v>374</v>
      </c>
      <c r="Q80" s="2">
        <v>50</v>
      </c>
      <c r="R80" s="2" t="s">
        <v>375</v>
      </c>
      <c r="S80" s="2">
        <v>50</v>
      </c>
      <c r="T80" s="2" t="s">
        <v>376</v>
      </c>
      <c r="U80" s="2">
        <v>50</v>
      </c>
      <c r="V80" s="2" t="s">
        <v>263</v>
      </c>
      <c r="W80" s="2">
        <v>50</v>
      </c>
      <c r="X80" s="2">
        <v>490</v>
      </c>
      <c r="Y80" s="2">
        <v>50</v>
      </c>
      <c r="Z80" s="2" t="s">
        <v>524</v>
      </c>
      <c r="AA80" s="2">
        <v>50</v>
      </c>
      <c r="AB80" s="2" t="s">
        <v>525</v>
      </c>
      <c r="AC80" s="2">
        <v>50</v>
      </c>
      <c r="AD80" s="2">
        <v>8</v>
      </c>
      <c r="AE80" s="2">
        <v>50</v>
      </c>
      <c r="AF80" s="2" t="s">
        <v>432</v>
      </c>
      <c r="AG80" s="2">
        <v>50</v>
      </c>
      <c r="AH80" s="2" t="s">
        <v>526</v>
      </c>
      <c r="AI80" s="2">
        <v>50</v>
      </c>
      <c r="AJ80" s="2" t="s">
        <v>381</v>
      </c>
      <c r="AK80" s="2">
        <v>50</v>
      </c>
    </row>
    <row r="81" spans="1:37" x14ac:dyDescent="0.25">
      <c r="A81" s="2" t="s">
        <v>166</v>
      </c>
      <c r="B81" s="2" t="s">
        <v>256</v>
      </c>
      <c r="C81" s="2" t="s">
        <v>9</v>
      </c>
      <c r="D81" s="3">
        <v>46080.559351851851</v>
      </c>
      <c r="E81" s="2">
        <v>64.8</v>
      </c>
      <c r="F81" s="2">
        <v>1140</v>
      </c>
      <c r="G81" s="2">
        <v>0</v>
      </c>
      <c r="I81" s="2" t="s">
        <v>372</v>
      </c>
      <c r="J81" s="2" t="s">
        <v>258</v>
      </c>
      <c r="K81" s="2">
        <v>50</v>
      </c>
      <c r="L81" s="2">
        <v>3505026639</v>
      </c>
      <c r="M81" s="2">
        <v>50</v>
      </c>
      <c r="N81" s="2" t="s">
        <v>373</v>
      </c>
      <c r="O81" s="2">
        <v>50</v>
      </c>
      <c r="P81" s="2" t="s">
        <v>374</v>
      </c>
      <c r="Q81" s="2">
        <v>50</v>
      </c>
      <c r="R81" s="2" t="s">
        <v>375</v>
      </c>
      <c r="S81" s="2">
        <v>50</v>
      </c>
      <c r="T81" s="2" t="s">
        <v>376</v>
      </c>
      <c r="U81" s="2">
        <v>50</v>
      </c>
      <c r="V81" s="2" t="s">
        <v>263</v>
      </c>
      <c r="W81" s="2">
        <v>50</v>
      </c>
      <c r="X81" s="2">
        <v>500</v>
      </c>
      <c r="Y81" s="2">
        <v>50</v>
      </c>
      <c r="Z81" s="2" t="s">
        <v>527</v>
      </c>
      <c r="AA81" s="2">
        <v>50</v>
      </c>
      <c r="AB81" s="2" t="s">
        <v>528</v>
      </c>
      <c r="AC81" s="2">
        <v>50</v>
      </c>
      <c r="AD81" s="2">
        <v>24</v>
      </c>
      <c r="AE81" s="2">
        <v>50</v>
      </c>
      <c r="AF81" s="2" t="s">
        <v>379</v>
      </c>
      <c r="AG81" s="2">
        <v>50</v>
      </c>
      <c r="AH81" s="2" t="s">
        <v>529</v>
      </c>
      <c r="AI81" s="2">
        <v>50</v>
      </c>
      <c r="AJ81" s="2" t="s">
        <v>381</v>
      </c>
      <c r="AK81" s="2">
        <v>50</v>
      </c>
    </row>
    <row r="82" spans="1:37" x14ac:dyDescent="0.25">
      <c r="A82" s="2" t="s">
        <v>166</v>
      </c>
      <c r="B82" s="2" t="s">
        <v>256</v>
      </c>
      <c r="C82" s="2" t="s">
        <v>9</v>
      </c>
      <c r="D82" s="3">
        <v>46080.559351851851</v>
      </c>
      <c r="E82" s="2">
        <v>64.8</v>
      </c>
      <c r="F82" s="2">
        <v>1140</v>
      </c>
      <c r="G82" s="2">
        <v>0</v>
      </c>
      <c r="I82" s="2" t="s">
        <v>372</v>
      </c>
      <c r="J82" s="2" t="s">
        <v>258</v>
      </c>
      <c r="K82" s="2">
        <v>51</v>
      </c>
      <c r="L82" s="2">
        <v>3505026639</v>
      </c>
      <c r="M82" s="2">
        <v>50</v>
      </c>
      <c r="N82" s="2" t="s">
        <v>373</v>
      </c>
      <c r="O82" s="2">
        <v>50</v>
      </c>
      <c r="P82" s="2" t="s">
        <v>374</v>
      </c>
      <c r="Q82" s="2">
        <v>50</v>
      </c>
      <c r="R82" s="2" t="s">
        <v>375</v>
      </c>
      <c r="S82" s="2">
        <v>50</v>
      </c>
      <c r="T82" s="2" t="s">
        <v>376</v>
      </c>
      <c r="U82" s="2">
        <v>50</v>
      </c>
      <c r="V82" s="2" t="s">
        <v>263</v>
      </c>
      <c r="W82" s="2">
        <v>50</v>
      </c>
      <c r="X82" s="2">
        <v>510</v>
      </c>
      <c r="Y82" s="2">
        <v>50</v>
      </c>
      <c r="Z82" s="2" t="s">
        <v>530</v>
      </c>
      <c r="AA82" s="2">
        <v>50</v>
      </c>
      <c r="AB82" s="2" t="s">
        <v>531</v>
      </c>
      <c r="AC82" s="2">
        <v>50</v>
      </c>
      <c r="AD82" s="2">
        <v>24</v>
      </c>
      <c r="AE82" s="2">
        <v>50</v>
      </c>
      <c r="AF82" s="2" t="s">
        <v>379</v>
      </c>
      <c r="AG82" s="2">
        <v>50</v>
      </c>
      <c r="AH82" s="2" t="s">
        <v>532</v>
      </c>
      <c r="AI82" s="2">
        <v>50</v>
      </c>
    </row>
    <row r="83" spans="1:37" x14ac:dyDescent="0.25">
      <c r="A83" s="2" t="s">
        <v>166</v>
      </c>
      <c r="B83" s="2" t="s">
        <v>256</v>
      </c>
      <c r="C83" s="2" t="s">
        <v>9</v>
      </c>
      <c r="D83" s="3">
        <v>46080.559351851851</v>
      </c>
      <c r="E83" s="2">
        <v>64.8</v>
      </c>
      <c r="F83" s="2">
        <v>1140</v>
      </c>
      <c r="G83" s="2">
        <v>0</v>
      </c>
      <c r="I83" s="2" t="s">
        <v>372</v>
      </c>
      <c r="J83" s="2" t="s">
        <v>258</v>
      </c>
      <c r="K83" s="2">
        <v>52</v>
      </c>
      <c r="L83" s="2">
        <v>3505026639</v>
      </c>
      <c r="M83" s="2">
        <v>50</v>
      </c>
      <c r="N83" s="2" t="s">
        <v>373</v>
      </c>
      <c r="O83" s="2">
        <v>50</v>
      </c>
      <c r="P83" s="2" t="s">
        <v>374</v>
      </c>
      <c r="Q83" s="2">
        <v>50</v>
      </c>
      <c r="R83" s="2" t="s">
        <v>375</v>
      </c>
      <c r="S83" s="2">
        <v>50</v>
      </c>
      <c r="T83" s="2" t="s">
        <v>376</v>
      </c>
      <c r="U83" s="2">
        <v>50</v>
      </c>
      <c r="V83" s="2" t="s">
        <v>263</v>
      </c>
      <c r="W83" s="2">
        <v>50</v>
      </c>
      <c r="X83" s="2">
        <v>520</v>
      </c>
      <c r="Y83" s="2">
        <v>50</v>
      </c>
      <c r="Z83" s="2" t="s">
        <v>533</v>
      </c>
      <c r="AA83" s="2">
        <v>50</v>
      </c>
      <c r="AB83" s="2" t="s">
        <v>534</v>
      </c>
      <c r="AC83" s="2">
        <v>50</v>
      </c>
      <c r="AD83" s="2">
        <v>160</v>
      </c>
      <c r="AE83" s="2">
        <v>50</v>
      </c>
      <c r="AF83" s="2" t="s">
        <v>379</v>
      </c>
      <c r="AG83" s="2">
        <v>50</v>
      </c>
      <c r="AH83" s="2" t="s">
        <v>535</v>
      </c>
      <c r="AI83" s="2">
        <v>50</v>
      </c>
      <c r="AJ83" s="2" t="s">
        <v>381</v>
      </c>
      <c r="AK83" s="2">
        <v>50</v>
      </c>
    </row>
    <row r="84" spans="1:37" x14ac:dyDescent="0.25">
      <c r="A84" s="2" t="s">
        <v>166</v>
      </c>
      <c r="B84" s="2" t="s">
        <v>256</v>
      </c>
      <c r="C84" s="2" t="s">
        <v>9</v>
      </c>
      <c r="D84" s="3">
        <v>46080.559351851851</v>
      </c>
      <c r="E84" s="2">
        <v>64.8</v>
      </c>
      <c r="F84" s="2">
        <v>1140</v>
      </c>
      <c r="G84" s="2">
        <v>0</v>
      </c>
      <c r="I84" s="2" t="s">
        <v>372</v>
      </c>
      <c r="J84" s="2" t="s">
        <v>258</v>
      </c>
      <c r="K84" s="2">
        <v>53</v>
      </c>
      <c r="L84" s="2">
        <v>3505026639</v>
      </c>
      <c r="M84" s="2">
        <v>50</v>
      </c>
      <c r="N84" s="2" t="s">
        <v>373</v>
      </c>
      <c r="O84" s="2">
        <v>50</v>
      </c>
      <c r="P84" s="2" t="s">
        <v>374</v>
      </c>
      <c r="Q84" s="2">
        <v>50</v>
      </c>
      <c r="R84" s="2" t="s">
        <v>375</v>
      </c>
      <c r="S84" s="2">
        <v>50</v>
      </c>
      <c r="T84" s="2" t="s">
        <v>376</v>
      </c>
      <c r="U84" s="2">
        <v>50</v>
      </c>
      <c r="V84" s="2" t="s">
        <v>263</v>
      </c>
      <c r="W84" s="2">
        <v>50</v>
      </c>
      <c r="X84" s="2">
        <v>530</v>
      </c>
      <c r="Y84" s="2">
        <v>50</v>
      </c>
      <c r="Z84" s="2" t="s">
        <v>536</v>
      </c>
      <c r="AA84" s="2">
        <v>50</v>
      </c>
      <c r="AB84" s="2" t="s">
        <v>537</v>
      </c>
      <c r="AC84" s="2">
        <v>50</v>
      </c>
      <c r="AD84" s="2">
        <v>30</v>
      </c>
      <c r="AE84" s="2">
        <v>50</v>
      </c>
      <c r="AF84" s="2" t="s">
        <v>379</v>
      </c>
      <c r="AG84" s="2">
        <v>50</v>
      </c>
      <c r="AH84" s="2" t="s">
        <v>538</v>
      </c>
      <c r="AI84" s="2">
        <v>50</v>
      </c>
      <c r="AJ84" s="2" t="s">
        <v>381</v>
      </c>
      <c r="AK84" s="2">
        <v>50</v>
      </c>
    </row>
    <row r="85" spans="1:37" x14ac:dyDescent="0.25">
      <c r="A85" s="2" t="s">
        <v>166</v>
      </c>
      <c r="B85" s="2" t="s">
        <v>256</v>
      </c>
      <c r="C85" s="2" t="s">
        <v>9</v>
      </c>
      <c r="D85" s="3">
        <v>46080.559351851851</v>
      </c>
      <c r="E85" s="2">
        <v>64.8</v>
      </c>
      <c r="F85" s="2">
        <v>1140</v>
      </c>
      <c r="G85" s="2">
        <v>0</v>
      </c>
      <c r="I85" s="2" t="s">
        <v>372</v>
      </c>
      <c r="J85" s="2" t="s">
        <v>258</v>
      </c>
      <c r="K85" s="2">
        <v>54</v>
      </c>
      <c r="L85" s="2">
        <v>3505026639</v>
      </c>
      <c r="M85" s="2">
        <v>50</v>
      </c>
      <c r="N85" s="2" t="s">
        <v>373</v>
      </c>
      <c r="O85" s="2">
        <v>50</v>
      </c>
      <c r="P85" s="2" t="s">
        <v>374</v>
      </c>
      <c r="Q85" s="2">
        <v>50</v>
      </c>
      <c r="R85" s="2" t="s">
        <v>375</v>
      </c>
      <c r="S85" s="2">
        <v>50</v>
      </c>
      <c r="T85" s="2" t="s">
        <v>376</v>
      </c>
      <c r="U85" s="2">
        <v>50</v>
      </c>
      <c r="V85" s="2" t="s">
        <v>263</v>
      </c>
      <c r="W85" s="2">
        <v>50</v>
      </c>
      <c r="X85" s="2">
        <v>540</v>
      </c>
      <c r="Y85" s="2">
        <v>50</v>
      </c>
      <c r="Z85" s="2" t="s">
        <v>539</v>
      </c>
      <c r="AA85" s="2">
        <v>50</v>
      </c>
      <c r="AB85" s="2" t="s">
        <v>540</v>
      </c>
      <c r="AC85" s="2">
        <v>50</v>
      </c>
      <c r="AD85" s="2">
        <v>5</v>
      </c>
      <c r="AE85" s="2">
        <v>50</v>
      </c>
      <c r="AF85" s="2" t="s">
        <v>379</v>
      </c>
      <c r="AG85" s="2">
        <v>50</v>
      </c>
      <c r="AH85" s="2" t="s">
        <v>541</v>
      </c>
      <c r="AI85" s="2">
        <v>50</v>
      </c>
      <c r="AJ85" s="2" t="s">
        <v>381</v>
      </c>
      <c r="AK85" s="2">
        <v>50</v>
      </c>
    </row>
    <row r="86" spans="1:37" x14ac:dyDescent="0.25">
      <c r="A86" s="2" t="s">
        <v>166</v>
      </c>
      <c r="B86" s="2" t="s">
        <v>256</v>
      </c>
      <c r="C86" s="2" t="s">
        <v>9</v>
      </c>
      <c r="D86" s="3">
        <v>46080.559351851851</v>
      </c>
      <c r="E86" s="2">
        <v>64.8</v>
      </c>
      <c r="F86" s="2">
        <v>1140</v>
      </c>
      <c r="G86" s="2">
        <v>0</v>
      </c>
      <c r="I86" s="2" t="s">
        <v>372</v>
      </c>
      <c r="J86" s="2" t="s">
        <v>258</v>
      </c>
      <c r="K86" s="2">
        <v>55</v>
      </c>
      <c r="L86" s="2">
        <v>3505026639</v>
      </c>
      <c r="M86" s="2">
        <v>50</v>
      </c>
      <c r="N86" s="2" t="s">
        <v>373</v>
      </c>
      <c r="O86" s="2">
        <v>50</v>
      </c>
      <c r="P86" s="2" t="s">
        <v>374</v>
      </c>
      <c r="Q86" s="2">
        <v>50</v>
      </c>
      <c r="R86" s="2" t="s">
        <v>375</v>
      </c>
      <c r="S86" s="2">
        <v>50</v>
      </c>
      <c r="T86" s="2" t="s">
        <v>376</v>
      </c>
      <c r="U86" s="2">
        <v>50</v>
      </c>
      <c r="V86" s="2" t="s">
        <v>263</v>
      </c>
      <c r="W86" s="2">
        <v>50</v>
      </c>
      <c r="X86" s="2">
        <v>550</v>
      </c>
      <c r="Y86" s="2">
        <v>50</v>
      </c>
      <c r="Z86" s="2" t="s">
        <v>542</v>
      </c>
      <c r="AA86" s="2">
        <v>50</v>
      </c>
      <c r="AB86" s="2" t="s">
        <v>543</v>
      </c>
      <c r="AC86" s="2">
        <v>50</v>
      </c>
      <c r="AD86" s="2">
        <v>1</v>
      </c>
      <c r="AE86" s="2">
        <v>50</v>
      </c>
      <c r="AF86" s="2" t="s">
        <v>379</v>
      </c>
      <c r="AG86" s="2">
        <v>50</v>
      </c>
      <c r="AH86" s="2" t="s">
        <v>544</v>
      </c>
      <c r="AI86" s="2">
        <v>50</v>
      </c>
      <c r="AJ86" s="2" t="s">
        <v>381</v>
      </c>
      <c r="AK86" s="2">
        <v>50</v>
      </c>
    </row>
    <row r="87" spans="1:37" x14ac:dyDescent="0.25">
      <c r="A87" s="2" t="s">
        <v>166</v>
      </c>
      <c r="B87" s="2" t="s">
        <v>256</v>
      </c>
      <c r="C87" s="2" t="s">
        <v>9</v>
      </c>
      <c r="D87" s="3">
        <v>46080.559351851851</v>
      </c>
      <c r="E87" s="2">
        <v>64.8</v>
      </c>
      <c r="F87" s="2">
        <v>1140</v>
      </c>
      <c r="G87" s="2">
        <v>0</v>
      </c>
      <c r="I87" s="2" t="s">
        <v>372</v>
      </c>
      <c r="J87" s="2" t="s">
        <v>258</v>
      </c>
      <c r="K87" s="2">
        <v>56</v>
      </c>
      <c r="L87" s="2">
        <v>3505026639</v>
      </c>
      <c r="M87" s="2">
        <v>50</v>
      </c>
      <c r="N87" s="2" t="s">
        <v>373</v>
      </c>
      <c r="O87" s="2">
        <v>50</v>
      </c>
      <c r="P87" s="2" t="s">
        <v>374</v>
      </c>
      <c r="Q87" s="2">
        <v>50</v>
      </c>
      <c r="R87" s="2" t="s">
        <v>375</v>
      </c>
      <c r="S87" s="2">
        <v>50</v>
      </c>
      <c r="T87" s="2" t="s">
        <v>376</v>
      </c>
      <c r="U87" s="2">
        <v>50</v>
      </c>
      <c r="V87" s="2" t="s">
        <v>263</v>
      </c>
      <c r="W87" s="2">
        <v>50</v>
      </c>
      <c r="X87" s="2">
        <v>560</v>
      </c>
      <c r="Y87" s="2">
        <v>50</v>
      </c>
      <c r="Z87" s="2" t="s">
        <v>545</v>
      </c>
      <c r="AA87" s="2">
        <v>50</v>
      </c>
      <c r="AB87" s="2" t="s">
        <v>546</v>
      </c>
      <c r="AC87" s="2">
        <v>50</v>
      </c>
      <c r="AD87" s="2">
        <v>6</v>
      </c>
      <c r="AE87" s="2">
        <v>50</v>
      </c>
      <c r="AF87" s="2" t="s">
        <v>379</v>
      </c>
      <c r="AG87" s="2">
        <v>50</v>
      </c>
      <c r="AH87" s="2" t="s">
        <v>547</v>
      </c>
      <c r="AI87" s="2">
        <v>50</v>
      </c>
      <c r="AJ87" s="2" t="s">
        <v>381</v>
      </c>
      <c r="AK87" s="2">
        <v>50</v>
      </c>
    </row>
    <row r="88" spans="1:37" x14ac:dyDescent="0.25">
      <c r="A88" s="2" t="s">
        <v>166</v>
      </c>
      <c r="B88" s="2" t="s">
        <v>256</v>
      </c>
      <c r="C88" s="2" t="s">
        <v>9</v>
      </c>
      <c r="D88" s="3">
        <v>46080.559351851851</v>
      </c>
      <c r="E88" s="2">
        <v>64.8</v>
      </c>
      <c r="F88" s="2">
        <v>1140</v>
      </c>
      <c r="G88" s="2">
        <v>0</v>
      </c>
      <c r="I88" s="2" t="s">
        <v>372</v>
      </c>
      <c r="J88" s="2" t="s">
        <v>258</v>
      </c>
      <c r="K88" s="2">
        <v>57</v>
      </c>
      <c r="L88" s="2">
        <v>3505026639</v>
      </c>
      <c r="M88" s="2">
        <v>50</v>
      </c>
      <c r="N88" s="2" t="s">
        <v>373</v>
      </c>
      <c r="O88" s="2">
        <v>50</v>
      </c>
      <c r="P88" s="2" t="s">
        <v>374</v>
      </c>
      <c r="Q88" s="2">
        <v>50</v>
      </c>
      <c r="R88" s="2" t="s">
        <v>375</v>
      </c>
      <c r="S88" s="2">
        <v>50</v>
      </c>
      <c r="T88" s="2" t="s">
        <v>376</v>
      </c>
      <c r="U88" s="2">
        <v>50</v>
      </c>
      <c r="V88" s="2" t="s">
        <v>263</v>
      </c>
      <c r="W88" s="2">
        <v>50</v>
      </c>
      <c r="X88" s="2">
        <v>570</v>
      </c>
      <c r="Y88" s="2">
        <v>50</v>
      </c>
      <c r="Z88" s="2" t="s">
        <v>548</v>
      </c>
      <c r="AA88" s="2">
        <v>50</v>
      </c>
      <c r="AB88" s="2" t="s">
        <v>549</v>
      </c>
      <c r="AC88" s="2">
        <v>50</v>
      </c>
      <c r="AD88" s="2">
        <v>12</v>
      </c>
      <c r="AE88" s="2">
        <v>50</v>
      </c>
      <c r="AF88" s="2" t="s">
        <v>379</v>
      </c>
      <c r="AG88" s="2">
        <v>50</v>
      </c>
      <c r="AH88" s="2" t="s">
        <v>550</v>
      </c>
      <c r="AI88" s="2">
        <v>50</v>
      </c>
      <c r="AJ88" s="2" t="s">
        <v>381</v>
      </c>
      <c r="AK88" s="2">
        <v>50</v>
      </c>
    </row>
    <row r="89" spans="1:37" x14ac:dyDescent="0.25">
      <c r="A89" s="2" t="s">
        <v>166</v>
      </c>
      <c r="B89" s="2" t="s">
        <v>256</v>
      </c>
      <c r="C89" s="2" t="s">
        <v>9</v>
      </c>
      <c r="D89" s="3">
        <v>46080.559351851851</v>
      </c>
      <c r="E89" s="2">
        <v>64.8</v>
      </c>
      <c r="F89" s="2">
        <v>1140</v>
      </c>
      <c r="G89" s="2">
        <v>0</v>
      </c>
      <c r="I89" s="2" t="s">
        <v>372</v>
      </c>
      <c r="J89" s="2" t="s">
        <v>258</v>
      </c>
      <c r="K89" s="2">
        <v>58</v>
      </c>
      <c r="L89" s="2">
        <v>3505026639</v>
      </c>
      <c r="M89" s="2">
        <v>50</v>
      </c>
      <c r="N89" s="2" t="s">
        <v>373</v>
      </c>
      <c r="O89" s="2">
        <v>50</v>
      </c>
      <c r="P89" s="2" t="s">
        <v>374</v>
      </c>
      <c r="Q89" s="2">
        <v>50</v>
      </c>
      <c r="R89" s="2" t="s">
        <v>375</v>
      </c>
      <c r="S89" s="2">
        <v>50</v>
      </c>
      <c r="T89" s="2" t="s">
        <v>376</v>
      </c>
      <c r="U89" s="2">
        <v>50</v>
      </c>
      <c r="V89" s="2" t="s">
        <v>263</v>
      </c>
      <c r="W89" s="2">
        <v>50</v>
      </c>
      <c r="X89" s="2">
        <v>580</v>
      </c>
      <c r="Y89" s="2">
        <v>50</v>
      </c>
      <c r="Z89" s="2" t="s">
        <v>551</v>
      </c>
      <c r="AA89" s="2">
        <v>50</v>
      </c>
      <c r="AB89" s="2" t="s">
        <v>552</v>
      </c>
      <c r="AC89" s="2">
        <v>50</v>
      </c>
      <c r="AD89" s="2">
        <v>160</v>
      </c>
      <c r="AE89" s="2">
        <v>50</v>
      </c>
      <c r="AF89" s="2" t="s">
        <v>379</v>
      </c>
      <c r="AG89" s="2">
        <v>50</v>
      </c>
      <c r="AH89" s="2" t="s">
        <v>553</v>
      </c>
      <c r="AI89" s="2">
        <v>50</v>
      </c>
      <c r="AJ89" s="2" t="s">
        <v>381</v>
      </c>
      <c r="AK89" s="2">
        <v>50</v>
      </c>
    </row>
    <row r="90" spans="1:37" x14ac:dyDescent="0.25">
      <c r="A90" s="2" t="s">
        <v>166</v>
      </c>
      <c r="B90" s="2" t="s">
        <v>256</v>
      </c>
      <c r="C90" s="2" t="s">
        <v>9</v>
      </c>
      <c r="D90" s="3">
        <v>46080.559351851851</v>
      </c>
      <c r="E90" s="2">
        <v>64.8</v>
      </c>
      <c r="F90" s="2">
        <v>1140</v>
      </c>
      <c r="G90" s="2">
        <v>0</v>
      </c>
      <c r="I90" s="2" t="s">
        <v>372</v>
      </c>
      <c r="J90" s="2" t="s">
        <v>258</v>
      </c>
      <c r="K90" s="2">
        <v>59</v>
      </c>
      <c r="L90" s="2">
        <v>3505026639</v>
      </c>
      <c r="M90" s="2">
        <v>50</v>
      </c>
      <c r="N90" s="2" t="s">
        <v>373</v>
      </c>
      <c r="O90" s="2">
        <v>50</v>
      </c>
      <c r="P90" s="2" t="s">
        <v>374</v>
      </c>
      <c r="Q90" s="2">
        <v>50</v>
      </c>
      <c r="R90" s="2" t="s">
        <v>375</v>
      </c>
      <c r="S90" s="2">
        <v>50</v>
      </c>
      <c r="T90" s="2" t="s">
        <v>376</v>
      </c>
      <c r="U90" s="2">
        <v>50</v>
      </c>
      <c r="V90" s="2" t="s">
        <v>263</v>
      </c>
      <c r="W90" s="2">
        <v>50</v>
      </c>
      <c r="X90" s="2">
        <v>590</v>
      </c>
      <c r="Y90" s="2">
        <v>50</v>
      </c>
      <c r="Z90" s="2" t="s">
        <v>554</v>
      </c>
      <c r="AA90" s="2">
        <v>50</v>
      </c>
      <c r="AB90" s="2" t="s">
        <v>555</v>
      </c>
      <c r="AC90" s="2">
        <v>50</v>
      </c>
      <c r="AD90" s="2">
        <v>40</v>
      </c>
      <c r="AE90" s="2">
        <v>50</v>
      </c>
      <c r="AF90" s="2" t="s">
        <v>379</v>
      </c>
      <c r="AG90" s="2">
        <v>50</v>
      </c>
      <c r="AH90" s="2" t="s">
        <v>556</v>
      </c>
      <c r="AI90" s="2">
        <v>50</v>
      </c>
      <c r="AJ90" s="2" t="s">
        <v>381</v>
      </c>
      <c r="AK90" s="2">
        <v>50</v>
      </c>
    </row>
    <row r="91" spans="1:37" x14ac:dyDescent="0.25">
      <c r="A91" s="2" t="s">
        <v>166</v>
      </c>
      <c r="B91" s="2" t="s">
        <v>256</v>
      </c>
      <c r="C91" s="2" t="s">
        <v>9</v>
      </c>
      <c r="D91" s="3">
        <v>46080.559351851851</v>
      </c>
      <c r="E91" s="2">
        <v>64.8</v>
      </c>
      <c r="F91" s="2">
        <v>1140</v>
      </c>
      <c r="G91" s="2">
        <v>0</v>
      </c>
      <c r="I91" s="2" t="s">
        <v>372</v>
      </c>
      <c r="J91" s="2" t="s">
        <v>258</v>
      </c>
      <c r="K91" s="2">
        <v>60</v>
      </c>
      <c r="L91" s="2">
        <v>3505026639</v>
      </c>
      <c r="M91" s="2">
        <v>50</v>
      </c>
      <c r="N91" s="2" t="s">
        <v>373</v>
      </c>
      <c r="O91" s="2">
        <v>50</v>
      </c>
      <c r="P91" s="2" t="s">
        <v>374</v>
      </c>
      <c r="Q91" s="2">
        <v>50</v>
      </c>
      <c r="R91" s="2" t="s">
        <v>375</v>
      </c>
      <c r="S91" s="2">
        <v>50</v>
      </c>
      <c r="T91" s="2" t="s">
        <v>376</v>
      </c>
      <c r="U91" s="2">
        <v>50</v>
      </c>
      <c r="V91" s="2" t="s">
        <v>263</v>
      </c>
      <c r="W91" s="2">
        <v>50</v>
      </c>
      <c r="X91" s="2">
        <v>600</v>
      </c>
      <c r="Y91" s="2">
        <v>50</v>
      </c>
      <c r="Z91" s="2" t="s">
        <v>557</v>
      </c>
      <c r="AA91" s="2">
        <v>50</v>
      </c>
      <c r="AB91" s="2" t="s">
        <v>558</v>
      </c>
      <c r="AC91" s="2">
        <v>50</v>
      </c>
      <c r="AD91" s="2">
        <v>72</v>
      </c>
      <c r="AE91" s="2">
        <v>50</v>
      </c>
      <c r="AF91" s="2" t="s">
        <v>379</v>
      </c>
      <c r="AG91" s="2">
        <v>50</v>
      </c>
      <c r="AH91" s="2" t="s">
        <v>559</v>
      </c>
      <c r="AI91" s="2">
        <v>50</v>
      </c>
      <c r="AJ91" s="2" t="s">
        <v>381</v>
      </c>
      <c r="AK91" s="2">
        <v>50</v>
      </c>
    </row>
    <row r="92" spans="1:37" x14ac:dyDescent="0.25">
      <c r="A92" s="2" t="s">
        <v>166</v>
      </c>
      <c r="B92" s="2" t="s">
        <v>256</v>
      </c>
      <c r="C92" s="2" t="s">
        <v>9</v>
      </c>
      <c r="D92" s="3">
        <v>46080.559351851851</v>
      </c>
      <c r="E92" s="2">
        <v>64.8</v>
      </c>
      <c r="F92" s="2">
        <v>1140</v>
      </c>
      <c r="G92" s="2">
        <v>0</v>
      </c>
      <c r="I92" s="2" t="s">
        <v>372</v>
      </c>
      <c r="J92" s="2" t="s">
        <v>258</v>
      </c>
      <c r="K92" s="2">
        <v>61</v>
      </c>
      <c r="L92" s="2">
        <v>3505026639</v>
      </c>
      <c r="M92" s="2">
        <v>50</v>
      </c>
      <c r="N92" s="2" t="s">
        <v>373</v>
      </c>
      <c r="O92" s="2">
        <v>50</v>
      </c>
      <c r="P92" s="2" t="s">
        <v>374</v>
      </c>
      <c r="Q92" s="2">
        <v>50</v>
      </c>
      <c r="R92" s="2" t="s">
        <v>375</v>
      </c>
      <c r="S92" s="2">
        <v>50</v>
      </c>
      <c r="T92" s="2" t="s">
        <v>376</v>
      </c>
      <c r="U92" s="2">
        <v>50</v>
      </c>
      <c r="V92" s="2" t="s">
        <v>263</v>
      </c>
      <c r="W92" s="2">
        <v>50</v>
      </c>
      <c r="X92" s="2">
        <v>610</v>
      </c>
      <c r="Y92" s="2">
        <v>50</v>
      </c>
      <c r="Z92" s="2" t="s">
        <v>560</v>
      </c>
      <c r="AA92" s="2">
        <v>50</v>
      </c>
      <c r="AB92" s="2" t="s">
        <v>561</v>
      </c>
      <c r="AC92" s="2">
        <v>50</v>
      </c>
      <c r="AD92" s="2">
        <v>80</v>
      </c>
      <c r="AE92" s="2">
        <v>50</v>
      </c>
      <c r="AF92" s="2" t="s">
        <v>379</v>
      </c>
      <c r="AG92" s="2">
        <v>50</v>
      </c>
      <c r="AH92" s="2" t="s">
        <v>562</v>
      </c>
      <c r="AI92" s="2">
        <v>50</v>
      </c>
      <c r="AJ92" s="2" t="s">
        <v>381</v>
      </c>
      <c r="AK92" s="2">
        <v>50</v>
      </c>
    </row>
    <row r="93" spans="1:37" x14ac:dyDescent="0.25">
      <c r="A93" s="2" t="s">
        <v>166</v>
      </c>
      <c r="B93" s="2" t="s">
        <v>256</v>
      </c>
      <c r="C93" s="2" t="s">
        <v>9</v>
      </c>
      <c r="D93" s="3">
        <v>46080.559351851851</v>
      </c>
      <c r="E93" s="2">
        <v>64.8</v>
      </c>
      <c r="F93" s="2">
        <v>1140</v>
      </c>
      <c r="G93" s="2">
        <v>0</v>
      </c>
      <c r="I93" s="2" t="s">
        <v>372</v>
      </c>
      <c r="J93" s="2" t="s">
        <v>258</v>
      </c>
      <c r="K93" s="2">
        <v>62</v>
      </c>
      <c r="L93" s="2">
        <v>3505026639</v>
      </c>
      <c r="M93" s="2">
        <v>50</v>
      </c>
      <c r="N93" s="2" t="s">
        <v>373</v>
      </c>
      <c r="O93" s="2">
        <v>50</v>
      </c>
      <c r="P93" s="2" t="s">
        <v>374</v>
      </c>
      <c r="Q93" s="2">
        <v>50</v>
      </c>
      <c r="R93" s="2" t="s">
        <v>375</v>
      </c>
      <c r="S93" s="2">
        <v>50</v>
      </c>
      <c r="T93" s="2" t="s">
        <v>376</v>
      </c>
      <c r="U93" s="2">
        <v>50</v>
      </c>
      <c r="V93" s="2" t="s">
        <v>263</v>
      </c>
      <c r="W93" s="2">
        <v>50</v>
      </c>
      <c r="X93" s="2">
        <v>620</v>
      </c>
      <c r="Y93" s="2">
        <v>50</v>
      </c>
      <c r="Z93" s="2" t="s">
        <v>563</v>
      </c>
      <c r="AA93" s="2">
        <v>50</v>
      </c>
      <c r="AB93" s="2" t="s">
        <v>564</v>
      </c>
      <c r="AC93" s="2">
        <v>50</v>
      </c>
      <c r="AD93" s="2">
        <v>8</v>
      </c>
      <c r="AE93" s="2">
        <v>50</v>
      </c>
      <c r="AF93" s="2" t="s">
        <v>379</v>
      </c>
      <c r="AG93" s="2">
        <v>50</v>
      </c>
      <c r="AH93" s="2" t="s">
        <v>565</v>
      </c>
      <c r="AI93" s="2">
        <v>50</v>
      </c>
      <c r="AJ93" s="2" t="s">
        <v>381</v>
      </c>
      <c r="AK93" s="2">
        <v>50</v>
      </c>
    </row>
    <row r="94" spans="1:37" x14ac:dyDescent="0.25">
      <c r="A94" s="2" t="s">
        <v>166</v>
      </c>
      <c r="B94" s="2" t="s">
        <v>256</v>
      </c>
      <c r="C94" s="2" t="s">
        <v>9</v>
      </c>
      <c r="D94" s="3">
        <v>46080.559351851851</v>
      </c>
      <c r="E94" s="2">
        <v>64.8</v>
      </c>
      <c r="F94" s="2">
        <v>1140</v>
      </c>
      <c r="G94" s="2">
        <v>0</v>
      </c>
      <c r="I94" s="2" t="s">
        <v>372</v>
      </c>
      <c r="J94" s="2" t="s">
        <v>258</v>
      </c>
      <c r="K94" s="2">
        <v>63</v>
      </c>
      <c r="L94" s="2">
        <v>3505026639</v>
      </c>
      <c r="M94" s="2">
        <v>50</v>
      </c>
      <c r="N94" s="2" t="s">
        <v>373</v>
      </c>
      <c r="O94" s="2">
        <v>50</v>
      </c>
      <c r="P94" s="2" t="s">
        <v>374</v>
      </c>
      <c r="Q94" s="2">
        <v>50</v>
      </c>
      <c r="R94" s="2" t="s">
        <v>375</v>
      </c>
      <c r="S94" s="2">
        <v>50</v>
      </c>
      <c r="T94" s="2" t="s">
        <v>376</v>
      </c>
      <c r="U94" s="2">
        <v>50</v>
      </c>
      <c r="V94" s="2" t="s">
        <v>263</v>
      </c>
      <c r="W94" s="2">
        <v>50</v>
      </c>
      <c r="X94" s="2">
        <v>630</v>
      </c>
      <c r="Y94" s="2">
        <v>50</v>
      </c>
      <c r="Z94" s="2" t="s">
        <v>566</v>
      </c>
      <c r="AA94" s="2">
        <v>50</v>
      </c>
      <c r="AB94" s="2" t="s">
        <v>567</v>
      </c>
      <c r="AC94" s="2">
        <v>50</v>
      </c>
      <c r="AD94" s="2">
        <v>144</v>
      </c>
      <c r="AE94" s="2">
        <v>50</v>
      </c>
      <c r="AF94" s="2" t="s">
        <v>379</v>
      </c>
      <c r="AG94" s="2">
        <v>50</v>
      </c>
      <c r="AH94" s="2" t="s">
        <v>568</v>
      </c>
      <c r="AI94" s="2">
        <v>50</v>
      </c>
      <c r="AJ94" s="2" t="s">
        <v>381</v>
      </c>
      <c r="AK94" s="2">
        <v>50</v>
      </c>
    </row>
    <row r="95" spans="1:37" x14ac:dyDescent="0.25">
      <c r="A95" s="2" t="s">
        <v>166</v>
      </c>
      <c r="B95" s="2" t="s">
        <v>256</v>
      </c>
      <c r="C95" s="2" t="s">
        <v>9</v>
      </c>
      <c r="D95" s="3">
        <v>46080.559351851851</v>
      </c>
      <c r="E95" s="2">
        <v>64.8</v>
      </c>
      <c r="F95" s="2">
        <v>1140</v>
      </c>
      <c r="G95" s="2">
        <v>0</v>
      </c>
      <c r="I95" s="2" t="s">
        <v>372</v>
      </c>
      <c r="J95" s="2" t="s">
        <v>258</v>
      </c>
      <c r="K95" s="2">
        <v>64</v>
      </c>
      <c r="L95" s="2">
        <v>3505026639</v>
      </c>
      <c r="M95" s="2">
        <v>50</v>
      </c>
      <c r="N95" s="2" t="s">
        <v>373</v>
      </c>
      <c r="O95" s="2">
        <v>50</v>
      </c>
      <c r="P95" s="2" t="s">
        <v>374</v>
      </c>
      <c r="Q95" s="2">
        <v>50</v>
      </c>
      <c r="R95" s="2" t="s">
        <v>375</v>
      </c>
      <c r="S95" s="2">
        <v>50</v>
      </c>
      <c r="T95" s="2" t="s">
        <v>376</v>
      </c>
      <c r="U95" s="2">
        <v>50</v>
      </c>
      <c r="V95" s="2" t="s">
        <v>263</v>
      </c>
      <c r="W95" s="2">
        <v>50</v>
      </c>
      <c r="X95" s="2">
        <v>640</v>
      </c>
      <c r="Y95" s="2">
        <v>50</v>
      </c>
      <c r="Z95" s="2" t="s">
        <v>569</v>
      </c>
      <c r="AA95" s="2">
        <v>50</v>
      </c>
      <c r="AB95" s="2" t="s">
        <v>570</v>
      </c>
      <c r="AC95" s="2">
        <v>50</v>
      </c>
      <c r="AD95" s="2">
        <v>9</v>
      </c>
      <c r="AE95" s="2">
        <v>50</v>
      </c>
      <c r="AF95" s="2" t="s">
        <v>432</v>
      </c>
      <c r="AG95" s="2">
        <v>50</v>
      </c>
      <c r="AH95" s="2" t="s">
        <v>571</v>
      </c>
      <c r="AI95" s="2">
        <v>50</v>
      </c>
      <c r="AJ95" s="2" t="s">
        <v>381</v>
      </c>
      <c r="AK95" s="2">
        <v>50</v>
      </c>
    </row>
    <row r="96" spans="1:37" x14ac:dyDescent="0.25">
      <c r="A96" s="2" t="s">
        <v>166</v>
      </c>
      <c r="B96" s="2" t="s">
        <v>256</v>
      </c>
      <c r="C96" s="2" t="s">
        <v>9</v>
      </c>
      <c r="D96" s="3">
        <v>46080.559351851851</v>
      </c>
      <c r="E96" s="2">
        <v>64.8</v>
      </c>
      <c r="F96" s="2">
        <v>1140</v>
      </c>
      <c r="G96" s="2">
        <v>0</v>
      </c>
      <c r="I96" s="2" t="s">
        <v>372</v>
      </c>
      <c r="J96" s="2" t="s">
        <v>258</v>
      </c>
      <c r="K96" s="2">
        <v>65</v>
      </c>
      <c r="L96" s="2">
        <v>3505026639</v>
      </c>
      <c r="M96" s="2">
        <v>50</v>
      </c>
      <c r="N96" s="2" t="s">
        <v>373</v>
      </c>
      <c r="O96" s="2">
        <v>50</v>
      </c>
      <c r="P96" s="2" t="s">
        <v>374</v>
      </c>
      <c r="Q96" s="2">
        <v>50</v>
      </c>
      <c r="R96" s="2" t="s">
        <v>375</v>
      </c>
      <c r="S96" s="2">
        <v>50</v>
      </c>
      <c r="T96" s="2" t="s">
        <v>376</v>
      </c>
      <c r="U96" s="2">
        <v>50</v>
      </c>
      <c r="V96" s="2" t="s">
        <v>263</v>
      </c>
      <c r="W96" s="2">
        <v>50</v>
      </c>
      <c r="X96" s="2">
        <v>650</v>
      </c>
      <c r="Y96" s="2">
        <v>50</v>
      </c>
      <c r="Z96" s="2" t="s">
        <v>572</v>
      </c>
      <c r="AA96" s="2">
        <v>50</v>
      </c>
      <c r="AB96" s="2" t="s">
        <v>573</v>
      </c>
      <c r="AC96" s="2">
        <v>50</v>
      </c>
      <c r="AD96" s="2">
        <v>30</v>
      </c>
      <c r="AE96" s="2">
        <v>50</v>
      </c>
      <c r="AF96" s="2" t="s">
        <v>379</v>
      </c>
      <c r="AG96" s="2">
        <v>50</v>
      </c>
      <c r="AH96" s="2" t="s">
        <v>574</v>
      </c>
      <c r="AI96" s="2">
        <v>50</v>
      </c>
      <c r="AJ96" s="2" t="s">
        <v>381</v>
      </c>
      <c r="AK96" s="2">
        <v>50</v>
      </c>
    </row>
    <row r="97" spans="1:37" x14ac:dyDescent="0.25">
      <c r="A97" s="2" t="s">
        <v>166</v>
      </c>
      <c r="B97" s="2" t="s">
        <v>256</v>
      </c>
      <c r="C97" s="2" t="s">
        <v>9</v>
      </c>
      <c r="D97" s="3">
        <v>46080.559351851851</v>
      </c>
      <c r="E97" s="2">
        <v>64.8</v>
      </c>
      <c r="F97" s="2">
        <v>1140</v>
      </c>
      <c r="G97" s="2">
        <v>0</v>
      </c>
      <c r="I97" s="2" t="s">
        <v>372</v>
      </c>
      <c r="J97" s="2" t="s">
        <v>258</v>
      </c>
      <c r="K97" s="2">
        <v>66</v>
      </c>
      <c r="L97" s="2">
        <v>3505026639</v>
      </c>
      <c r="M97" s="2">
        <v>50</v>
      </c>
      <c r="N97" s="2" t="s">
        <v>373</v>
      </c>
      <c r="O97" s="2">
        <v>50</v>
      </c>
      <c r="P97" s="2" t="s">
        <v>374</v>
      </c>
      <c r="Q97" s="2">
        <v>50</v>
      </c>
      <c r="R97" s="2" t="s">
        <v>375</v>
      </c>
      <c r="S97" s="2">
        <v>50</v>
      </c>
      <c r="T97" s="2" t="s">
        <v>376</v>
      </c>
      <c r="U97" s="2">
        <v>50</v>
      </c>
      <c r="V97" s="2" t="s">
        <v>263</v>
      </c>
      <c r="W97" s="2">
        <v>50</v>
      </c>
      <c r="X97" s="2">
        <v>660</v>
      </c>
      <c r="Y97" s="2">
        <v>50</v>
      </c>
      <c r="Z97" s="2" t="s">
        <v>575</v>
      </c>
      <c r="AA97" s="2">
        <v>50</v>
      </c>
      <c r="AB97" s="2" t="s">
        <v>576</v>
      </c>
      <c r="AC97" s="2">
        <v>50</v>
      </c>
      <c r="AD97" s="2">
        <v>2</v>
      </c>
      <c r="AE97" s="2">
        <v>50</v>
      </c>
      <c r="AF97" s="2" t="s">
        <v>432</v>
      </c>
      <c r="AG97" s="2">
        <v>50</v>
      </c>
      <c r="AH97" s="2" t="s">
        <v>577</v>
      </c>
      <c r="AI97" s="2">
        <v>50</v>
      </c>
      <c r="AJ97" s="2" t="s">
        <v>381</v>
      </c>
      <c r="AK97" s="2">
        <v>50</v>
      </c>
    </row>
    <row r="98" spans="1:37" x14ac:dyDescent="0.25">
      <c r="A98" s="2" t="s">
        <v>166</v>
      </c>
      <c r="B98" s="2" t="s">
        <v>256</v>
      </c>
      <c r="C98" s="2" t="s">
        <v>9</v>
      </c>
      <c r="D98" s="3">
        <v>46080.559351851851</v>
      </c>
      <c r="E98" s="2">
        <v>64.8</v>
      </c>
      <c r="F98" s="2">
        <v>1140</v>
      </c>
      <c r="G98" s="2">
        <v>0</v>
      </c>
      <c r="I98" s="2" t="s">
        <v>372</v>
      </c>
      <c r="J98" s="2" t="s">
        <v>258</v>
      </c>
      <c r="K98" s="2">
        <v>67</v>
      </c>
      <c r="L98" s="2">
        <v>3505026639</v>
      </c>
      <c r="M98" s="2">
        <v>50</v>
      </c>
      <c r="N98" s="2" t="s">
        <v>373</v>
      </c>
      <c r="O98" s="2">
        <v>50</v>
      </c>
      <c r="P98" s="2" t="s">
        <v>374</v>
      </c>
      <c r="Q98" s="2">
        <v>50</v>
      </c>
      <c r="R98" s="2" t="s">
        <v>375</v>
      </c>
      <c r="S98" s="2">
        <v>50</v>
      </c>
      <c r="T98" s="2" t="s">
        <v>376</v>
      </c>
      <c r="U98" s="2">
        <v>50</v>
      </c>
      <c r="V98" s="2" t="s">
        <v>263</v>
      </c>
      <c r="W98" s="2">
        <v>50</v>
      </c>
      <c r="X98" s="2">
        <v>670</v>
      </c>
      <c r="Y98" s="2">
        <v>50</v>
      </c>
      <c r="Z98" s="2" t="s">
        <v>578</v>
      </c>
      <c r="AA98" s="2">
        <v>50</v>
      </c>
      <c r="AB98" s="2" t="s">
        <v>579</v>
      </c>
      <c r="AC98" s="2">
        <v>50</v>
      </c>
      <c r="AD98" s="2">
        <v>16</v>
      </c>
      <c r="AE98" s="2">
        <v>50</v>
      </c>
      <c r="AF98" s="2" t="s">
        <v>379</v>
      </c>
      <c r="AG98" s="2">
        <v>50</v>
      </c>
      <c r="AH98" s="2" t="s">
        <v>580</v>
      </c>
      <c r="AI98" s="2">
        <v>50</v>
      </c>
      <c r="AJ98" s="2" t="s">
        <v>381</v>
      </c>
      <c r="AK98" s="2">
        <v>50</v>
      </c>
    </row>
    <row r="99" spans="1:37" x14ac:dyDescent="0.25">
      <c r="A99" s="2" t="s">
        <v>166</v>
      </c>
      <c r="B99" s="2" t="s">
        <v>256</v>
      </c>
      <c r="C99" s="2" t="s">
        <v>9</v>
      </c>
      <c r="D99" s="3">
        <v>46080.559351851851</v>
      </c>
      <c r="E99" s="2">
        <v>64.8</v>
      </c>
      <c r="F99" s="2">
        <v>1140</v>
      </c>
      <c r="G99" s="2">
        <v>0</v>
      </c>
      <c r="I99" s="2" t="s">
        <v>372</v>
      </c>
      <c r="J99" s="2" t="s">
        <v>258</v>
      </c>
      <c r="K99" s="2">
        <v>68</v>
      </c>
      <c r="L99" s="2">
        <v>3505026639</v>
      </c>
      <c r="M99" s="2">
        <v>50</v>
      </c>
      <c r="N99" s="2" t="s">
        <v>373</v>
      </c>
      <c r="O99" s="2">
        <v>50</v>
      </c>
      <c r="P99" s="2" t="s">
        <v>374</v>
      </c>
      <c r="Q99" s="2">
        <v>50</v>
      </c>
      <c r="R99" s="2" t="s">
        <v>375</v>
      </c>
      <c r="S99" s="2">
        <v>50</v>
      </c>
      <c r="T99" s="2" t="s">
        <v>376</v>
      </c>
      <c r="U99" s="2">
        <v>50</v>
      </c>
      <c r="V99" s="2" t="s">
        <v>263</v>
      </c>
      <c r="W99" s="2">
        <v>50</v>
      </c>
      <c r="X99" s="2">
        <v>680</v>
      </c>
      <c r="Y99" s="2">
        <v>50</v>
      </c>
      <c r="Z99" s="2" t="s">
        <v>581</v>
      </c>
      <c r="AA99" s="2">
        <v>50</v>
      </c>
      <c r="AB99" s="2" t="s">
        <v>582</v>
      </c>
      <c r="AC99" s="2">
        <v>50</v>
      </c>
      <c r="AD99" s="2">
        <v>3</v>
      </c>
      <c r="AE99" s="2">
        <v>50</v>
      </c>
      <c r="AF99" s="2" t="s">
        <v>432</v>
      </c>
      <c r="AG99" s="2">
        <v>50</v>
      </c>
      <c r="AH99" s="2" t="s">
        <v>583</v>
      </c>
      <c r="AI99" s="2">
        <v>50</v>
      </c>
      <c r="AJ99" s="2" t="s">
        <v>381</v>
      </c>
      <c r="AK99" s="2">
        <v>50</v>
      </c>
    </row>
    <row r="100" spans="1:37" x14ac:dyDescent="0.25">
      <c r="A100" s="2" t="s">
        <v>166</v>
      </c>
      <c r="B100" s="2" t="s">
        <v>256</v>
      </c>
      <c r="C100" s="2" t="s">
        <v>9</v>
      </c>
      <c r="D100" s="3">
        <v>46080.559351851851</v>
      </c>
      <c r="E100" s="2">
        <v>64.8</v>
      </c>
      <c r="F100" s="2">
        <v>1140</v>
      </c>
      <c r="G100" s="2">
        <v>0</v>
      </c>
      <c r="I100" s="2" t="s">
        <v>372</v>
      </c>
      <c r="J100" s="2" t="s">
        <v>258</v>
      </c>
      <c r="K100" s="2">
        <v>69</v>
      </c>
      <c r="L100" s="2">
        <v>3505026639</v>
      </c>
      <c r="M100" s="2">
        <v>50</v>
      </c>
      <c r="N100" s="2" t="s">
        <v>373</v>
      </c>
      <c r="O100" s="2">
        <v>50</v>
      </c>
      <c r="P100" s="2" t="s">
        <v>374</v>
      </c>
      <c r="Q100" s="2">
        <v>50</v>
      </c>
      <c r="R100" s="2" t="s">
        <v>375</v>
      </c>
      <c r="S100" s="2">
        <v>50</v>
      </c>
      <c r="T100" s="2" t="s">
        <v>376</v>
      </c>
      <c r="U100" s="2">
        <v>50</v>
      </c>
      <c r="V100" s="2" t="s">
        <v>263</v>
      </c>
      <c r="W100" s="2">
        <v>50</v>
      </c>
      <c r="X100" s="2">
        <v>690</v>
      </c>
      <c r="Y100" s="2">
        <v>50</v>
      </c>
      <c r="Z100" s="2" t="s">
        <v>584</v>
      </c>
      <c r="AA100" s="2">
        <v>50</v>
      </c>
      <c r="AB100" s="2" t="s">
        <v>585</v>
      </c>
      <c r="AC100" s="2">
        <v>50</v>
      </c>
      <c r="AD100" s="2">
        <v>2</v>
      </c>
      <c r="AE100" s="2">
        <v>50</v>
      </c>
      <c r="AF100" s="2" t="s">
        <v>432</v>
      </c>
      <c r="AG100" s="2">
        <v>50</v>
      </c>
      <c r="AH100" s="2" t="s">
        <v>586</v>
      </c>
      <c r="AI100" s="2">
        <v>50</v>
      </c>
      <c r="AJ100" s="2" t="s">
        <v>381</v>
      </c>
      <c r="AK100" s="2">
        <v>50</v>
      </c>
    </row>
    <row r="101" spans="1:37" x14ac:dyDescent="0.25">
      <c r="A101" s="2" t="s">
        <v>166</v>
      </c>
      <c r="B101" s="2" t="s">
        <v>256</v>
      </c>
      <c r="C101" s="2" t="s">
        <v>9</v>
      </c>
      <c r="D101" s="3">
        <v>46080.559351851851</v>
      </c>
      <c r="E101" s="2">
        <v>64.8</v>
      </c>
      <c r="F101" s="2">
        <v>1140</v>
      </c>
      <c r="G101" s="2">
        <v>0</v>
      </c>
      <c r="I101" s="2" t="s">
        <v>372</v>
      </c>
      <c r="J101" s="2" t="s">
        <v>258</v>
      </c>
      <c r="K101" s="2">
        <v>70</v>
      </c>
      <c r="L101" s="2">
        <v>3505026639</v>
      </c>
      <c r="M101" s="2">
        <v>50</v>
      </c>
      <c r="N101" s="2" t="s">
        <v>373</v>
      </c>
      <c r="O101" s="2">
        <v>50</v>
      </c>
      <c r="P101" s="2" t="s">
        <v>374</v>
      </c>
      <c r="Q101" s="2">
        <v>50</v>
      </c>
      <c r="R101" s="2" t="s">
        <v>375</v>
      </c>
      <c r="S101" s="2">
        <v>50</v>
      </c>
      <c r="T101" s="2" t="s">
        <v>376</v>
      </c>
      <c r="U101" s="2">
        <v>50</v>
      </c>
      <c r="V101" s="2" t="s">
        <v>263</v>
      </c>
      <c r="W101" s="2">
        <v>50</v>
      </c>
      <c r="X101" s="2">
        <v>700</v>
      </c>
      <c r="Y101" s="2">
        <v>50</v>
      </c>
      <c r="Z101" s="2" t="s">
        <v>587</v>
      </c>
      <c r="AA101" s="2">
        <v>50</v>
      </c>
      <c r="AB101" s="2" t="s">
        <v>588</v>
      </c>
      <c r="AC101" s="2">
        <v>50</v>
      </c>
      <c r="AD101" s="2">
        <v>5</v>
      </c>
      <c r="AE101" s="2">
        <v>50</v>
      </c>
      <c r="AF101" s="2" t="s">
        <v>432</v>
      </c>
      <c r="AG101" s="2">
        <v>50</v>
      </c>
      <c r="AH101" s="2" t="s">
        <v>589</v>
      </c>
      <c r="AI101" s="2">
        <v>50</v>
      </c>
      <c r="AJ101" s="2" t="s">
        <v>381</v>
      </c>
      <c r="AK101" s="2">
        <v>50</v>
      </c>
    </row>
    <row r="102" spans="1:37" x14ac:dyDescent="0.25">
      <c r="A102" s="2" t="s">
        <v>166</v>
      </c>
      <c r="B102" s="2" t="s">
        <v>256</v>
      </c>
      <c r="C102" s="2" t="s">
        <v>9</v>
      </c>
      <c r="D102" s="3">
        <v>46080.559351851851</v>
      </c>
      <c r="E102" s="2">
        <v>64.8</v>
      </c>
      <c r="F102" s="2">
        <v>1140</v>
      </c>
      <c r="G102" s="2">
        <v>0</v>
      </c>
      <c r="I102" s="2" t="s">
        <v>372</v>
      </c>
      <c r="J102" s="2" t="s">
        <v>258</v>
      </c>
      <c r="K102" s="2">
        <v>71</v>
      </c>
      <c r="L102" s="2">
        <v>3505026639</v>
      </c>
      <c r="M102" s="2">
        <v>50</v>
      </c>
      <c r="N102" s="2" t="s">
        <v>373</v>
      </c>
      <c r="O102" s="2">
        <v>50</v>
      </c>
      <c r="P102" s="2" t="s">
        <v>374</v>
      </c>
      <c r="Q102" s="2">
        <v>50</v>
      </c>
      <c r="R102" s="2" t="s">
        <v>375</v>
      </c>
      <c r="S102" s="2">
        <v>50</v>
      </c>
      <c r="T102" s="2" t="s">
        <v>376</v>
      </c>
      <c r="U102" s="2">
        <v>50</v>
      </c>
      <c r="V102" s="2" t="s">
        <v>263</v>
      </c>
      <c r="W102" s="2">
        <v>50</v>
      </c>
      <c r="X102" s="2">
        <v>710</v>
      </c>
      <c r="Y102" s="2">
        <v>50</v>
      </c>
      <c r="Z102" s="2" t="s">
        <v>590</v>
      </c>
      <c r="AA102" s="2">
        <v>50</v>
      </c>
      <c r="AB102" s="2" t="s">
        <v>591</v>
      </c>
      <c r="AC102" s="2">
        <v>50</v>
      </c>
      <c r="AD102" s="2">
        <v>10</v>
      </c>
      <c r="AE102" s="2">
        <v>50</v>
      </c>
      <c r="AF102" s="2" t="s">
        <v>432</v>
      </c>
      <c r="AG102" s="2">
        <v>50</v>
      </c>
      <c r="AH102" s="2" t="s">
        <v>592</v>
      </c>
      <c r="AI102" s="2">
        <v>50</v>
      </c>
      <c r="AJ102" s="2" t="s">
        <v>381</v>
      </c>
      <c r="AK102" s="2">
        <v>50</v>
      </c>
    </row>
    <row r="103" spans="1:37" x14ac:dyDescent="0.25">
      <c r="A103" s="2" t="s">
        <v>166</v>
      </c>
      <c r="B103" s="2" t="s">
        <v>256</v>
      </c>
      <c r="C103" s="2" t="s">
        <v>9</v>
      </c>
      <c r="D103" s="3">
        <v>46080.559351851851</v>
      </c>
      <c r="E103" s="2">
        <v>64.8</v>
      </c>
      <c r="F103" s="2">
        <v>1140</v>
      </c>
      <c r="G103" s="2">
        <v>0</v>
      </c>
      <c r="I103" s="2" t="s">
        <v>372</v>
      </c>
      <c r="J103" s="2" t="s">
        <v>258</v>
      </c>
      <c r="K103" s="2">
        <v>72</v>
      </c>
      <c r="L103" s="2">
        <v>3505026639</v>
      </c>
      <c r="M103" s="2">
        <v>50</v>
      </c>
      <c r="N103" s="2" t="s">
        <v>373</v>
      </c>
      <c r="O103" s="2">
        <v>50</v>
      </c>
      <c r="P103" s="2" t="s">
        <v>374</v>
      </c>
      <c r="Q103" s="2">
        <v>50</v>
      </c>
      <c r="R103" s="2" t="s">
        <v>375</v>
      </c>
      <c r="S103" s="2">
        <v>50</v>
      </c>
      <c r="T103" s="2" t="s">
        <v>376</v>
      </c>
      <c r="U103" s="2">
        <v>50</v>
      </c>
      <c r="V103" s="2" t="s">
        <v>263</v>
      </c>
      <c r="W103" s="2">
        <v>50</v>
      </c>
      <c r="X103" s="2">
        <v>720</v>
      </c>
      <c r="Y103" s="2">
        <v>50</v>
      </c>
      <c r="Z103" s="2" t="s">
        <v>593</v>
      </c>
      <c r="AA103" s="2">
        <v>50</v>
      </c>
      <c r="AB103" s="2" t="s">
        <v>594</v>
      </c>
      <c r="AC103" s="2">
        <v>50</v>
      </c>
      <c r="AD103" s="2">
        <v>4</v>
      </c>
      <c r="AE103" s="2">
        <v>50</v>
      </c>
      <c r="AF103" s="2" t="s">
        <v>432</v>
      </c>
      <c r="AG103" s="2">
        <v>50</v>
      </c>
      <c r="AH103" s="2" t="s">
        <v>595</v>
      </c>
      <c r="AI103" s="2">
        <v>50</v>
      </c>
      <c r="AJ103" s="2" t="s">
        <v>381</v>
      </c>
      <c r="AK103" s="2">
        <v>50</v>
      </c>
    </row>
    <row r="104" spans="1:37" x14ac:dyDescent="0.25">
      <c r="A104" s="2" t="s">
        <v>166</v>
      </c>
      <c r="B104" s="2" t="s">
        <v>256</v>
      </c>
      <c r="C104" s="2" t="s">
        <v>9</v>
      </c>
      <c r="D104" s="3">
        <v>46080.559351851851</v>
      </c>
      <c r="E104" s="2">
        <v>64.8</v>
      </c>
      <c r="F104" s="2">
        <v>1140</v>
      </c>
      <c r="G104" s="2">
        <v>0</v>
      </c>
      <c r="I104" s="2" t="s">
        <v>372</v>
      </c>
      <c r="J104" s="2" t="s">
        <v>258</v>
      </c>
      <c r="K104" s="2">
        <v>73</v>
      </c>
      <c r="L104" s="2">
        <v>3505026639</v>
      </c>
      <c r="M104" s="2">
        <v>50</v>
      </c>
      <c r="N104" s="2" t="s">
        <v>373</v>
      </c>
      <c r="O104" s="2">
        <v>50</v>
      </c>
      <c r="P104" s="2" t="s">
        <v>374</v>
      </c>
      <c r="Q104" s="2">
        <v>50</v>
      </c>
      <c r="R104" s="2" t="s">
        <v>375</v>
      </c>
      <c r="S104" s="2">
        <v>50</v>
      </c>
      <c r="T104" s="2" t="s">
        <v>376</v>
      </c>
      <c r="U104" s="2">
        <v>50</v>
      </c>
      <c r="V104" s="2" t="s">
        <v>263</v>
      </c>
      <c r="W104" s="2">
        <v>50</v>
      </c>
      <c r="X104" s="2">
        <v>730</v>
      </c>
      <c r="Y104" s="2">
        <v>50</v>
      </c>
      <c r="Z104" s="2" t="s">
        <v>596</v>
      </c>
      <c r="AA104" s="2">
        <v>50</v>
      </c>
      <c r="AB104" s="2" t="s">
        <v>597</v>
      </c>
      <c r="AC104" s="2">
        <v>50</v>
      </c>
      <c r="AD104" s="2">
        <v>60</v>
      </c>
      <c r="AE104" s="2">
        <v>50</v>
      </c>
      <c r="AF104" s="2" t="s">
        <v>379</v>
      </c>
      <c r="AG104" s="2">
        <v>50</v>
      </c>
      <c r="AH104" s="2" t="s">
        <v>598</v>
      </c>
      <c r="AI104" s="2">
        <v>50</v>
      </c>
      <c r="AJ104" s="2" t="s">
        <v>381</v>
      </c>
      <c r="AK104" s="2">
        <v>50</v>
      </c>
    </row>
    <row r="105" spans="1:37" x14ac:dyDescent="0.25">
      <c r="A105" s="2" t="s">
        <v>166</v>
      </c>
      <c r="B105" s="2" t="s">
        <v>256</v>
      </c>
      <c r="C105" s="2" t="s">
        <v>9</v>
      </c>
      <c r="D105" s="3">
        <v>46080.559351851851</v>
      </c>
      <c r="E105" s="2">
        <v>64.8</v>
      </c>
      <c r="F105" s="2">
        <v>1140</v>
      </c>
      <c r="G105" s="2">
        <v>0</v>
      </c>
      <c r="I105" s="2" t="s">
        <v>372</v>
      </c>
      <c r="J105" s="2" t="s">
        <v>258</v>
      </c>
      <c r="K105" s="2">
        <v>74</v>
      </c>
      <c r="L105" s="2">
        <v>3505026639</v>
      </c>
      <c r="M105" s="2">
        <v>50</v>
      </c>
      <c r="N105" s="2" t="s">
        <v>373</v>
      </c>
      <c r="O105" s="2">
        <v>50</v>
      </c>
      <c r="P105" s="2" t="s">
        <v>374</v>
      </c>
      <c r="Q105" s="2">
        <v>50</v>
      </c>
      <c r="R105" s="2" t="s">
        <v>375</v>
      </c>
      <c r="S105" s="2">
        <v>50</v>
      </c>
      <c r="T105" s="2" t="s">
        <v>376</v>
      </c>
      <c r="U105" s="2">
        <v>50</v>
      </c>
      <c r="V105" s="2" t="s">
        <v>263</v>
      </c>
      <c r="W105" s="2">
        <v>50</v>
      </c>
      <c r="X105" s="2">
        <v>740</v>
      </c>
      <c r="Y105" s="2">
        <v>50</v>
      </c>
      <c r="Z105" s="2" t="s">
        <v>599</v>
      </c>
      <c r="AA105" s="2">
        <v>50</v>
      </c>
      <c r="AB105" s="2" t="s">
        <v>600</v>
      </c>
      <c r="AC105" s="2">
        <v>50</v>
      </c>
      <c r="AD105" s="2">
        <v>2</v>
      </c>
      <c r="AE105" s="2">
        <v>50</v>
      </c>
      <c r="AF105" s="2" t="s">
        <v>379</v>
      </c>
      <c r="AG105" s="2">
        <v>50</v>
      </c>
      <c r="AH105" s="2" t="s">
        <v>601</v>
      </c>
      <c r="AI105" s="2">
        <v>50</v>
      </c>
      <c r="AJ105" s="2" t="s">
        <v>381</v>
      </c>
      <c r="AK105" s="2">
        <v>50</v>
      </c>
    </row>
    <row r="106" spans="1:37" x14ac:dyDescent="0.25">
      <c r="A106" s="2" t="s">
        <v>166</v>
      </c>
      <c r="B106" s="2" t="s">
        <v>256</v>
      </c>
      <c r="C106" s="2" t="s">
        <v>9</v>
      </c>
      <c r="D106" s="3">
        <v>46080.559351851851</v>
      </c>
      <c r="E106" s="2">
        <v>64.8</v>
      </c>
      <c r="F106" s="2">
        <v>1140</v>
      </c>
      <c r="G106" s="2">
        <v>0</v>
      </c>
      <c r="I106" s="2" t="s">
        <v>372</v>
      </c>
      <c r="J106" s="2" t="s">
        <v>258</v>
      </c>
      <c r="K106" s="2">
        <v>75</v>
      </c>
      <c r="L106" s="2">
        <v>3505026639</v>
      </c>
      <c r="M106" s="2">
        <v>50</v>
      </c>
      <c r="N106" s="2" t="s">
        <v>373</v>
      </c>
      <c r="O106" s="2">
        <v>50</v>
      </c>
      <c r="P106" s="2" t="s">
        <v>374</v>
      </c>
      <c r="Q106" s="2">
        <v>50</v>
      </c>
      <c r="R106" s="2" t="s">
        <v>375</v>
      </c>
      <c r="S106" s="2">
        <v>50</v>
      </c>
      <c r="T106" s="2" t="s">
        <v>376</v>
      </c>
      <c r="U106" s="2">
        <v>50</v>
      </c>
      <c r="V106" s="2" t="s">
        <v>263</v>
      </c>
      <c r="W106" s="2">
        <v>50</v>
      </c>
      <c r="X106" s="2">
        <v>750</v>
      </c>
      <c r="Y106" s="2">
        <v>50</v>
      </c>
      <c r="Z106" s="2" t="s">
        <v>421</v>
      </c>
      <c r="AA106" s="2">
        <v>50</v>
      </c>
      <c r="AB106" s="2" t="s">
        <v>422</v>
      </c>
      <c r="AC106" s="2">
        <v>50</v>
      </c>
      <c r="AD106" s="2">
        <v>2</v>
      </c>
      <c r="AE106" s="2">
        <v>50</v>
      </c>
      <c r="AF106" s="2" t="s">
        <v>379</v>
      </c>
      <c r="AG106" s="2">
        <v>50</v>
      </c>
      <c r="AH106" s="2" t="s">
        <v>423</v>
      </c>
      <c r="AI106" s="2">
        <v>50</v>
      </c>
      <c r="AJ106" s="2" t="s">
        <v>381</v>
      </c>
      <c r="AK106" s="2">
        <v>50</v>
      </c>
    </row>
    <row r="107" spans="1:37" x14ac:dyDescent="0.25">
      <c r="A107" s="2" t="s">
        <v>166</v>
      </c>
      <c r="B107" s="2" t="s">
        <v>256</v>
      </c>
      <c r="C107" s="2" t="s">
        <v>9</v>
      </c>
      <c r="D107" s="3">
        <v>46080.559351851851</v>
      </c>
      <c r="E107" s="2">
        <v>64.8</v>
      </c>
      <c r="F107" s="2">
        <v>1140</v>
      </c>
      <c r="G107" s="2">
        <v>0</v>
      </c>
      <c r="I107" s="2" t="s">
        <v>372</v>
      </c>
      <c r="J107" s="2" t="s">
        <v>258</v>
      </c>
      <c r="K107" s="2">
        <v>76</v>
      </c>
      <c r="L107" s="2">
        <v>3505026639</v>
      </c>
      <c r="M107" s="2">
        <v>50</v>
      </c>
      <c r="N107" s="2" t="s">
        <v>373</v>
      </c>
      <c r="O107" s="2">
        <v>50</v>
      </c>
      <c r="P107" s="2" t="s">
        <v>374</v>
      </c>
      <c r="Q107" s="2">
        <v>50</v>
      </c>
      <c r="R107" s="2" t="s">
        <v>375</v>
      </c>
      <c r="S107" s="2">
        <v>50</v>
      </c>
      <c r="T107" s="2" t="s">
        <v>376</v>
      </c>
      <c r="U107" s="2">
        <v>50</v>
      </c>
      <c r="V107" s="2" t="s">
        <v>263</v>
      </c>
      <c r="W107" s="2">
        <v>50</v>
      </c>
      <c r="X107" s="2">
        <v>760</v>
      </c>
      <c r="Y107" s="2">
        <v>50</v>
      </c>
      <c r="Z107" s="2" t="s">
        <v>440</v>
      </c>
      <c r="AA107" s="2">
        <v>50</v>
      </c>
      <c r="AB107" s="2" t="s">
        <v>441</v>
      </c>
      <c r="AC107" s="2">
        <v>50</v>
      </c>
      <c r="AD107" s="2">
        <v>3</v>
      </c>
      <c r="AE107" s="2">
        <v>50</v>
      </c>
      <c r="AF107" s="2" t="s">
        <v>432</v>
      </c>
      <c r="AG107" s="2">
        <v>50</v>
      </c>
      <c r="AH107" s="2" t="s">
        <v>442</v>
      </c>
      <c r="AI107" s="2">
        <v>50</v>
      </c>
      <c r="AJ107" s="2" t="s">
        <v>381</v>
      </c>
      <c r="AK107" s="2">
        <v>50</v>
      </c>
    </row>
    <row r="108" spans="1:37" x14ac:dyDescent="0.25">
      <c r="A108" s="2" t="s">
        <v>166</v>
      </c>
      <c r="B108" s="2" t="s">
        <v>256</v>
      </c>
      <c r="C108" s="2" t="s">
        <v>9</v>
      </c>
      <c r="D108" s="3">
        <v>46080.559351851851</v>
      </c>
      <c r="E108" s="2">
        <v>64.8</v>
      </c>
      <c r="F108" s="2">
        <v>1140</v>
      </c>
      <c r="G108" s="2">
        <v>0</v>
      </c>
      <c r="I108" s="2" t="s">
        <v>372</v>
      </c>
      <c r="J108" s="2" t="s">
        <v>258</v>
      </c>
      <c r="K108" s="2">
        <v>77</v>
      </c>
      <c r="L108" s="2">
        <v>3505026639</v>
      </c>
      <c r="M108" s="2">
        <v>50</v>
      </c>
      <c r="N108" s="2" t="s">
        <v>373</v>
      </c>
      <c r="O108" s="2">
        <v>50</v>
      </c>
      <c r="P108" s="2" t="s">
        <v>374</v>
      </c>
      <c r="Q108" s="2">
        <v>50</v>
      </c>
      <c r="R108" s="2" t="s">
        <v>375</v>
      </c>
      <c r="S108" s="2">
        <v>50</v>
      </c>
      <c r="T108" s="2" t="s">
        <v>376</v>
      </c>
      <c r="U108" s="2">
        <v>50</v>
      </c>
      <c r="V108" s="2" t="s">
        <v>263</v>
      </c>
      <c r="W108" s="2">
        <v>50</v>
      </c>
      <c r="X108" s="2">
        <v>770</v>
      </c>
      <c r="Y108" s="2">
        <v>50</v>
      </c>
      <c r="Z108" s="2" t="s">
        <v>602</v>
      </c>
      <c r="AA108" s="2">
        <v>50</v>
      </c>
      <c r="AB108" s="2" t="s">
        <v>603</v>
      </c>
      <c r="AC108" s="2">
        <v>50</v>
      </c>
      <c r="AD108" s="2">
        <v>5</v>
      </c>
      <c r="AE108" s="2">
        <v>50</v>
      </c>
      <c r="AF108" s="2" t="s">
        <v>432</v>
      </c>
      <c r="AG108" s="2">
        <v>50</v>
      </c>
      <c r="AH108" s="2" t="s">
        <v>604</v>
      </c>
      <c r="AI108" s="2">
        <v>50</v>
      </c>
      <c r="AJ108" s="2" t="s">
        <v>381</v>
      </c>
      <c r="AK108" s="2">
        <v>50</v>
      </c>
    </row>
    <row r="109" spans="1:37" x14ac:dyDescent="0.25">
      <c r="A109" s="2" t="s">
        <v>166</v>
      </c>
      <c r="B109" s="2" t="s">
        <v>256</v>
      </c>
      <c r="C109" s="2" t="s">
        <v>9</v>
      </c>
      <c r="D109" s="3">
        <v>46080.559351851851</v>
      </c>
      <c r="E109" s="2">
        <v>64.8</v>
      </c>
      <c r="F109" s="2">
        <v>1140</v>
      </c>
      <c r="G109" s="2">
        <v>0</v>
      </c>
      <c r="I109" s="2" t="s">
        <v>372</v>
      </c>
      <c r="J109" s="2" t="s">
        <v>258</v>
      </c>
      <c r="K109" s="2">
        <v>78</v>
      </c>
      <c r="L109" s="2">
        <v>3505026639</v>
      </c>
      <c r="M109" s="2">
        <v>50</v>
      </c>
      <c r="N109" s="2" t="s">
        <v>373</v>
      </c>
      <c r="O109" s="2">
        <v>50</v>
      </c>
      <c r="P109" s="2" t="s">
        <v>374</v>
      </c>
      <c r="Q109" s="2">
        <v>50</v>
      </c>
      <c r="R109" s="2" t="s">
        <v>375</v>
      </c>
      <c r="S109" s="2">
        <v>50</v>
      </c>
      <c r="T109" s="2" t="s">
        <v>376</v>
      </c>
      <c r="U109" s="2">
        <v>50</v>
      </c>
      <c r="V109" s="2" t="s">
        <v>263</v>
      </c>
      <c r="W109" s="2">
        <v>50</v>
      </c>
      <c r="X109" s="2">
        <v>780</v>
      </c>
      <c r="Y109" s="2">
        <v>50</v>
      </c>
      <c r="Z109" s="2" t="s">
        <v>467</v>
      </c>
      <c r="AA109" s="2">
        <v>50</v>
      </c>
      <c r="AB109" s="2" t="s">
        <v>468</v>
      </c>
      <c r="AC109" s="2">
        <v>50</v>
      </c>
      <c r="AD109" s="2">
        <v>1</v>
      </c>
      <c r="AE109" s="2">
        <v>50</v>
      </c>
      <c r="AF109" s="2" t="s">
        <v>432</v>
      </c>
      <c r="AG109" s="2">
        <v>50</v>
      </c>
      <c r="AH109" s="2" t="s">
        <v>469</v>
      </c>
      <c r="AI109" s="2">
        <v>50</v>
      </c>
      <c r="AJ109" s="2" t="s">
        <v>381</v>
      </c>
      <c r="AK109" s="2">
        <v>50</v>
      </c>
    </row>
    <row r="110" spans="1:37" x14ac:dyDescent="0.25">
      <c r="A110" s="2" t="s">
        <v>166</v>
      </c>
      <c r="B110" s="2" t="s">
        <v>256</v>
      </c>
      <c r="C110" s="2" t="s">
        <v>9</v>
      </c>
      <c r="D110" s="3">
        <v>46080.559351851851</v>
      </c>
      <c r="E110" s="2">
        <v>64.8</v>
      </c>
      <c r="F110" s="2">
        <v>1140</v>
      </c>
      <c r="G110" s="2">
        <v>0</v>
      </c>
      <c r="I110" s="2" t="s">
        <v>372</v>
      </c>
      <c r="J110" s="2" t="s">
        <v>258</v>
      </c>
      <c r="K110" s="2">
        <v>79</v>
      </c>
      <c r="L110" s="2">
        <v>3505026639</v>
      </c>
      <c r="M110" s="2">
        <v>50</v>
      </c>
      <c r="N110" s="2" t="s">
        <v>373</v>
      </c>
      <c r="O110" s="2">
        <v>50</v>
      </c>
      <c r="P110" s="2" t="s">
        <v>374</v>
      </c>
      <c r="Q110" s="2">
        <v>50</v>
      </c>
      <c r="R110" s="2" t="s">
        <v>375</v>
      </c>
      <c r="S110" s="2">
        <v>50</v>
      </c>
      <c r="T110" s="2" t="s">
        <v>376</v>
      </c>
      <c r="U110" s="2">
        <v>50</v>
      </c>
      <c r="V110" s="2" t="s">
        <v>263</v>
      </c>
      <c r="W110" s="2">
        <v>50</v>
      </c>
      <c r="X110" s="2">
        <v>790</v>
      </c>
      <c r="Y110" s="2">
        <v>50</v>
      </c>
      <c r="Z110" s="2" t="s">
        <v>605</v>
      </c>
      <c r="AA110" s="2">
        <v>50</v>
      </c>
      <c r="AB110" s="2" t="s">
        <v>606</v>
      </c>
      <c r="AC110" s="2">
        <v>50</v>
      </c>
      <c r="AD110" s="2">
        <v>15</v>
      </c>
      <c r="AE110" s="2">
        <v>50</v>
      </c>
      <c r="AF110" s="2" t="s">
        <v>432</v>
      </c>
      <c r="AG110" s="2">
        <v>50</v>
      </c>
      <c r="AH110" s="2" t="s">
        <v>607</v>
      </c>
      <c r="AI110" s="2">
        <v>50</v>
      </c>
      <c r="AJ110" s="2" t="s">
        <v>381</v>
      </c>
      <c r="AK110" s="2">
        <v>50</v>
      </c>
    </row>
    <row r="111" spans="1:37" x14ac:dyDescent="0.25">
      <c r="A111" s="2" t="s">
        <v>166</v>
      </c>
      <c r="B111" s="2" t="s">
        <v>256</v>
      </c>
      <c r="C111" s="2" t="s">
        <v>9</v>
      </c>
      <c r="D111" s="3">
        <v>46080.559351851851</v>
      </c>
      <c r="E111" s="2">
        <v>64.8</v>
      </c>
      <c r="F111" s="2">
        <v>1140</v>
      </c>
      <c r="G111" s="2">
        <v>0</v>
      </c>
      <c r="I111" s="2" t="s">
        <v>372</v>
      </c>
      <c r="J111" s="2" t="s">
        <v>258</v>
      </c>
      <c r="K111" s="2">
        <v>80</v>
      </c>
      <c r="L111" s="2">
        <v>3505026639</v>
      </c>
      <c r="M111" s="2">
        <v>50</v>
      </c>
      <c r="N111" s="2" t="s">
        <v>373</v>
      </c>
      <c r="O111" s="2">
        <v>50</v>
      </c>
      <c r="P111" s="2" t="s">
        <v>374</v>
      </c>
      <c r="Q111" s="2">
        <v>50</v>
      </c>
      <c r="R111" s="2" t="s">
        <v>375</v>
      </c>
      <c r="S111" s="2">
        <v>50</v>
      </c>
      <c r="T111" s="2" t="s">
        <v>376</v>
      </c>
      <c r="U111" s="2">
        <v>50</v>
      </c>
      <c r="V111" s="2" t="s">
        <v>263</v>
      </c>
      <c r="W111" s="2">
        <v>50</v>
      </c>
      <c r="X111" s="2">
        <v>800</v>
      </c>
      <c r="Y111" s="2">
        <v>50</v>
      </c>
      <c r="Z111" s="2" t="s">
        <v>473</v>
      </c>
      <c r="AA111" s="2">
        <v>50</v>
      </c>
      <c r="AB111" s="2" t="s">
        <v>474</v>
      </c>
      <c r="AC111" s="2">
        <v>50</v>
      </c>
      <c r="AD111" s="2">
        <v>4</v>
      </c>
      <c r="AE111" s="2">
        <v>50</v>
      </c>
      <c r="AF111" s="2" t="s">
        <v>432</v>
      </c>
      <c r="AG111" s="2">
        <v>50</v>
      </c>
      <c r="AH111" s="2" t="s">
        <v>475</v>
      </c>
      <c r="AI111" s="2">
        <v>50</v>
      </c>
      <c r="AJ111" s="2" t="s">
        <v>381</v>
      </c>
      <c r="AK111" s="2">
        <v>50</v>
      </c>
    </row>
    <row r="112" spans="1:37" x14ac:dyDescent="0.25">
      <c r="A112" s="2" t="s">
        <v>166</v>
      </c>
      <c r="B112" s="2" t="s">
        <v>256</v>
      </c>
      <c r="C112" s="2" t="s">
        <v>9</v>
      </c>
      <c r="D112" s="3">
        <v>46080.559351851851</v>
      </c>
      <c r="E112" s="2">
        <v>64.8</v>
      </c>
      <c r="F112" s="2">
        <v>1140</v>
      </c>
      <c r="G112" s="2">
        <v>0</v>
      </c>
      <c r="I112" s="2" t="s">
        <v>372</v>
      </c>
      <c r="J112" s="2" t="s">
        <v>258</v>
      </c>
      <c r="K112" s="2">
        <v>81</v>
      </c>
      <c r="L112" s="2">
        <v>3505026639</v>
      </c>
      <c r="M112" s="2">
        <v>50</v>
      </c>
      <c r="N112" s="2" t="s">
        <v>373</v>
      </c>
      <c r="O112" s="2">
        <v>50</v>
      </c>
      <c r="P112" s="2" t="s">
        <v>374</v>
      </c>
      <c r="Q112" s="2">
        <v>50</v>
      </c>
      <c r="R112" s="2" t="s">
        <v>375</v>
      </c>
      <c r="S112" s="2">
        <v>50</v>
      </c>
      <c r="T112" s="2" t="s">
        <v>376</v>
      </c>
      <c r="U112" s="2">
        <v>50</v>
      </c>
      <c r="V112" s="2" t="s">
        <v>263</v>
      </c>
      <c r="W112" s="2">
        <v>50</v>
      </c>
      <c r="X112" s="2">
        <v>810</v>
      </c>
      <c r="Y112" s="2">
        <v>50</v>
      </c>
      <c r="Z112" s="2" t="s">
        <v>608</v>
      </c>
      <c r="AA112" s="2">
        <v>50</v>
      </c>
      <c r="AB112" s="2" t="s">
        <v>609</v>
      </c>
      <c r="AC112" s="2">
        <v>50</v>
      </c>
      <c r="AD112" s="2">
        <v>1</v>
      </c>
      <c r="AE112" s="2">
        <v>50</v>
      </c>
      <c r="AF112" s="2" t="s">
        <v>432</v>
      </c>
      <c r="AG112" s="2">
        <v>50</v>
      </c>
      <c r="AH112" s="2" t="s">
        <v>610</v>
      </c>
      <c r="AI112" s="2">
        <v>50</v>
      </c>
      <c r="AJ112" s="2" t="s">
        <v>381</v>
      </c>
      <c r="AK112" s="2">
        <v>50</v>
      </c>
    </row>
    <row r="113" spans="1:37" x14ac:dyDescent="0.25">
      <c r="A113" s="2" t="s">
        <v>166</v>
      </c>
      <c r="B113" s="2" t="s">
        <v>256</v>
      </c>
      <c r="C113" s="2" t="s">
        <v>9</v>
      </c>
      <c r="D113" s="3">
        <v>46080.559351851851</v>
      </c>
      <c r="E113" s="2">
        <v>64.8</v>
      </c>
      <c r="F113" s="2">
        <v>1140</v>
      </c>
      <c r="G113" s="2">
        <v>0</v>
      </c>
      <c r="I113" s="2" t="s">
        <v>372</v>
      </c>
      <c r="J113" s="2" t="s">
        <v>258</v>
      </c>
      <c r="K113" s="2">
        <v>82</v>
      </c>
      <c r="L113" s="2">
        <v>3505026639</v>
      </c>
      <c r="M113" s="2">
        <v>50</v>
      </c>
      <c r="N113" s="2" t="s">
        <v>373</v>
      </c>
      <c r="O113" s="2">
        <v>50</v>
      </c>
      <c r="P113" s="2" t="s">
        <v>374</v>
      </c>
      <c r="Q113" s="2">
        <v>50</v>
      </c>
      <c r="R113" s="2" t="s">
        <v>375</v>
      </c>
      <c r="S113" s="2">
        <v>50</v>
      </c>
      <c r="T113" s="2" t="s">
        <v>376</v>
      </c>
      <c r="U113" s="2">
        <v>50</v>
      </c>
      <c r="V113" s="2" t="s">
        <v>263</v>
      </c>
      <c r="W113" s="2">
        <v>50</v>
      </c>
      <c r="X113" s="2">
        <v>820</v>
      </c>
      <c r="Y113" s="2">
        <v>50</v>
      </c>
      <c r="Z113" s="2" t="s">
        <v>611</v>
      </c>
      <c r="AA113" s="2">
        <v>50</v>
      </c>
      <c r="AB113" s="2" t="s">
        <v>612</v>
      </c>
      <c r="AC113" s="2">
        <v>50</v>
      </c>
      <c r="AD113" s="2">
        <v>2</v>
      </c>
      <c r="AE113" s="2">
        <v>50</v>
      </c>
      <c r="AF113" s="2" t="s">
        <v>379</v>
      </c>
      <c r="AG113" s="2">
        <v>50</v>
      </c>
      <c r="AH113" s="2" t="s">
        <v>613</v>
      </c>
      <c r="AI113" s="2">
        <v>50</v>
      </c>
      <c r="AJ113" s="2" t="s">
        <v>381</v>
      </c>
      <c r="AK113" s="2">
        <v>50</v>
      </c>
    </row>
    <row r="114" spans="1:37" x14ac:dyDescent="0.25">
      <c r="A114" s="2" t="s">
        <v>166</v>
      </c>
      <c r="B114" s="2" t="s">
        <v>256</v>
      </c>
      <c r="C114" s="2" t="s">
        <v>9</v>
      </c>
      <c r="D114" s="3">
        <v>46080.559351851851</v>
      </c>
      <c r="E114" s="2">
        <v>64.8</v>
      </c>
      <c r="F114" s="2">
        <v>1140</v>
      </c>
      <c r="G114" s="2">
        <v>0</v>
      </c>
      <c r="I114" s="2" t="s">
        <v>372</v>
      </c>
      <c r="J114" s="2" t="s">
        <v>258</v>
      </c>
      <c r="K114" s="2">
        <v>83</v>
      </c>
      <c r="L114" s="2">
        <v>3505026639</v>
      </c>
      <c r="M114" s="2">
        <v>50</v>
      </c>
      <c r="N114" s="2" t="s">
        <v>373</v>
      </c>
      <c r="O114" s="2">
        <v>50</v>
      </c>
      <c r="P114" s="2" t="s">
        <v>374</v>
      </c>
      <c r="Q114" s="2">
        <v>50</v>
      </c>
      <c r="R114" s="2" t="s">
        <v>375</v>
      </c>
      <c r="S114" s="2">
        <v>50</v>
      </c>
      <c r="T114" s="2" t="s">
        <v>376</v>
      </c>
      <c r="U114" s="2">
        <v>50</v>
      </c>
      <c r="V114" s="2" t="s">
        <v>263</v>
      </c>
      <c r="W114" s="2">
        <v>50</v>
      </c>
      <c r="X114" s="2">
        <v>830</v>
      </c>
      <c r="Y114" s="2">
        <v>50</v>
      </c>
      <c r="Z114" s="2" t="s">
        <v>563</v>
      </c>
      <c r="AA114" s="2">
        <v>50</v>
      </c>
      <c r="AB114" s="2" t="s">
        <v>564</v>
      </c>
      <c r="AC114" s="2">
        <v>50</v>
      </c>
      <c r="AD114" s="2">
        <v>31</v>
      </c>
      <c r="AE114" s="2">
        <v>50</v>
      </c>
      <c r="AF114" s="2" t="s">
        <v>379</v>
      </c>
      <c r="AG114" s="2">
        <v>50</v>
      </c>
      <c r="AH114" s="2" t="s">
        <v>565</v>
      </c>
      <c r="AI114" s="2">
        <v>50</v>
      </c>
      <c r="AJ114" s="2" t="s">
        <v>381</v>
      </c>
      <c r="AK114" s="2">
        <v>50</v>
      </c>
    </row>
    <row r="115" spans="1:37" x14ac:dyDescent="0.25">
      <c r="A115" s="2" t="s">
        <v>166</v>
      </c>
      <c r="B115" s="2" t="s">
        <v>256</v>
      </c>
      <c r="C115" s="2" t="s">
        <v>9</v>
      </c>
      <c r="D115" s="3">
        <v>46080.559351851851</v>
      </c>
      <c r="E115" s="2">
        <v>64.8</v>
      </c>
      <c r="F115" s="2">
        <v>1140</v>
      </c>
      <c r="G115" s="2">
        <v>0</v>
      </c>
      <c r="I115" s="2" t="s">
        <v>372</v>
      </c>
      <c r="J115" s="2" t="s">
        <v>258</v>
      </c>
      <c r="K115" s="2">
        <v>84</v>
      </c>
      <c r="L115" s="2">
        <v>3505026639</v>
      </c>
      <c r="M115" s="2">
        <v>50</v>
      </c>
      <c r="N115" s="2" t="s">
        <v>373</v>
      </c>
      <c r="O115" s="2">
        <v>50</v>
      </c>
      <c r="P115" s="2" t="s">
        <v>374</v>
      </c>
      <c r="Q115" s="2">
        <v>50</v>
      </c>
      <c r="R115" s="2" t="s">
        <v>375</v>
      </c>
      <c r="S115" s="2">
        <v>50</v>
      </c>
      <c r="T115" s="2" t="s">
        <v>376</v>
      </c>
      <c r="U115" s="2">
        <v>50</v>
      </c>
      <c r="V115" s="2" t="s">
        <v>263</v>
      </c>
      <c r="W115" s="2">
        <v>50</v>
      </c>
      <c r="X115" s="2">
        <v>840</v>
      </c>
      <c r="Y115" s="2">
        <v>50</v>
      </c>
      <c r="Z115" s="2" t="s">
        <v>614</v>
      </c>
      <c r="AA115" s="2">
        <v>50</v>
      </c>
      <c r="AB115" s="2" t="s">
        <v>615</v>
      </c>
      <c r="AC115" s="2">
        <v>50</v>
      </c>
      <c r="AD115" s="2">
        <v>4</v>
      </c>
      <c r="AE115" s="2">
        <v>50</v>
      </c>
      <c r="AF115" s="2" t="s">
        <v>379</v>
      </c>
      <c r="AG115" s="2">
        <v>50</v>
      </c>
      <c r="AH115" s="2" t="s">
        <v>616</v>
      </c>
      <c r="AI115" s="2">
        <v>50</v>
      </c>
      <c r="AJ115" s="2" t="s">
        <v>381</v>
      </c>
      <c r="AK115" s="2">
        <v>50</v>
      </c>
    </row>
    <row r="116" spans="1:37" x14ac:dyDescent="0.25">
      <c r="A116" s="2" t="s">
        <v>166</v>
      </c>
      <c r="B116" s="2" t="s">
        <v>256</v>
      </c>
      <c r="C116" s="2" t="s">
        <v>9</v>
      </c>
      <c r="D116" s="3">
        <v>46080.559351851851</v>
      </c>
      <c r="E116" s="2">
        <v>64.8</v>
      </c>
      <c r="F116" s="2">
        <v>1140</v>
      </c>
      <c r="G116" s="2">
        <v>0</v>
      </c>
      <c r="I116" s="2" t="s">
        <v>372</v>
      </c>
      <c r="J116" s="2" t="s">
        <v>258</v>
      </c>
      <c r="K116" s="2">
        <v>85</v>
      </c>
      <c r="L116" s="2">
        <v>3505026639</v>
      </c>
      <c r="M116" s="2">
        <v>50</v>
      </c>
      <c r="N116" s="2" t="s">
        <v>373</v>
      </c>
      <c r="O116" s="2">
        <v>50</v>
      </c>
      <c r="P116" s="2" t="s">
        <v>374</v>
      </c>
      <c r="Q116" s="2">
        <v>50</v>
      </c>
      <c r="R116" s="2" t="s">
        <v>375</v>
      </c>
      <c r="S116" s="2">
        <v>50</v>
      </c>
      <c r="T116" s="2" t="s">
        <v>376</v>
      </c>
      <c r="U116" s="2">
        <v>50</v>
      </c>
      <c r="V116" s="2" t="s">
        <v>263</v>
      </c>
      <c r="W116" s="2">
        <v>50</v>
      </c>
      <c r="X116" s="2">
        <v>850</v>
      </c>
      <c r="Y116" s="2">
        <v>50</v>
      </c>
      <c r="Z116" s="2" t="s">
        <v>617</v>
      </c>
      <c r="AA116" s="2">
        <v>50</v>
      </c>
      <c r="AB116" s="2" t="s">
        <v>618</v>
      </c>
      <c r="AC116" s="2">
        <v>50</v>
      </c>
      <c r="AD116" s="2">
        <v>6</v>
      </c>
      <c r="AE116" s="2">
        <v>50</v>
      </c>
      <c r="AF116" s="2" t="s">
        <v>379</v>
      </c>
      <c r="AG116" s="2">
        <v>50</v>
      </c>
      <c r="AH116" s="2" t="s">
        <v>619</v>
      </c>
      <c r="AI116" s="2">
        <v>50</v>
      </c>
      <c r="AJ116" s="2" t="s">
        <v>381</v>
      </c>
      <c r="AK116" s="2">
        <v>50</v>
      </c>
    </row>
    <row r="117" spans="1:37" x14ac:dyDescent="0.25">
      <c r="A117" s="2" t="s">
        <v>166</v>
      </c>
      <c r="B117" s="2" t="s">
        <v>256</v>
      </c>
      <c r="C117" s="2" t="s">
        <v>9</v>
      </c>
      <c r="D117" s="3">
        <v>46080.559351851851</v>
      </c>
      <c r="E117" s="2">
        <v>64.8</v>
      </c>
      <c r="F117" s="2">
        <v>1140</v>
      </c>
      <c r="G117" s="2">
        <v>0</v>
      </c>
      <c r="I117" s="2" t="s">
        <v>372</v>
      </c>
      <c r="J117" s="2" t="s">
        <v>258</v>
      </c>
      <c r="K117" s="2">
        <v>86</v>
      </c>
      <c r="L117" s="2">
        <v>3505026639</v>
      </c>
      <c r="M117" s="2">
        <v>50</v>
      </c>
      <c r="N117" s="2" t="s">
        <v>373</v>
      </c>
      <c r="O117" s="2">
        <v>50</v>
      </c>
      <c r="P117" s="2" t="s">
        <v>374</v>
      </c>
      <c r="Q117" s="2">
        <v>50</v>
      </c>
      <c r="R117" s="2" t="s">
        <v>375</v>
      </c>
      <c r="S117" s="2">
        <v>50</v>
      </c>
      <c r="T117" s="2" t="s">
        <v>376</v>
      </c>
      <c r="U117" s="2">
        <v>50</v>
      </c>
      <c r="V117" s="2" t="s">
        <v>263</v>
      </c>
      <c r="W117" s="2">
        <v>50</v>
      </c>
      <c r="X117" s="2">
        <v>860</v>
      </c>
      <c r="Y117" s="2">
        <v>50</v>
      </c>
      <c r="Z117" s="2" t="s">
        <v>620</v>
      </c>
      <c r="AA117" s="2">
        <v>50</v>
      </c>
      <c r="AB117" s="2" t="s">
        <v>621</v>
      </c>
      <c r="AC117" s="2">
        <v>50</v>
      </c>
      <c r="AD117" s="2">
        <v>1</v>
      </c>
      <c r="AE117" s="2">
        <v>50</v>
      </c>
      <c r="AF117" s="2" t="s">
        <v>432</v>
      </c>
      <c r="AG117" s="2">
        <v>50</v>
      </c>
      <c r="AH117" s="2" t="s">
        <v>622</v>
      </c>
      <c r="AI117" s="2">
        <v>50</v>
      </c>
      <c r="AJ117" s="2" t="s">
        <v>623</v>
      </c>
      <c r="AK117" s="2">
        <v>50</v>
      </c>
    </row>
    <row r="118" spans="1:37" x14ac:dyDescent="0.25">
      <c r="A118" s="2" t="s">
        <v>166</v>
      </c>
      <c r="B118" s="2" t="s">
        <v>256</v>
      </c>
      <c r="C118" s="2" t="s">
        <v>9</v>
      </c>
      <c r="D118" s="3">
        <v>46080.559351851851</v>
      </c>
      <c r="E118" s="2">
        <v>64.8</v>
      </c>
      <c r="F118" s="2">
        <v>1140</v>
      </c>
      <c r="G118" s="2">
        <v>0</v>
      </c>
      <c r="I118" s="2" t="s">
        <v>372</v>
      </c>
      <c r="J118" s="2" t="s">
        <v>258</v>
      </c>
      <c r="K118" s="2">
        <v>87</v>
      </c>
      <c r="L118" s="2">
        <v>3505026639</v>
      </c>
      <c r="M118" s="2">
        <v>50</v>
      </c>
      <c r="N118" s="2" t="s">
        <v>373</v>
      </c>
      <c r="O118" s="2">
        <v>50</v>
      </c>
      <c r="P118" s="2" t="s">
        <v>374</v>
      </c>
      <c r="Q118" s="2">
        <v>50</v>
      </c>
      <c r="R118" s="2" t="s">
        <v>375</v>
      </c>
      <c r="S118" s="2">
        <v>50</v>
      </c>
      <c r="T118" s="2" t="s">
        <v>376</v>
      </c>
      <c r="U118" s="2">
        <v>50</v>
      </c>
      <c r="V118" s="2" t="s">
        <v>263</v>
      </c>
      <c r="W118" s="2">
        <v>50</v>
      </c>
      <c r="X118" s="2">
        <v>870</v>
      </c>
      <c r="Y118" s="2">
        <v>50</v>
      </c>
      <c r="Z118" s="2" t="s">
        <v>624</v>
      </c>
      <c r="AA118" s="2">
        <v>50</v>
      </c>
      <c r="AB118" s="2" t="s">
        <v>625</v>
      </c>
      <c r="AC118" s="2">
        <v>50</v>
      </c>
      <c r="AD118" s="2">
        <v>8</v>
      </c>
      <c r="AE118" s="2">
        <v>50</v>
      </c>
      <c r="AF118" s="2" t="s">
        <v>379</v>
      </c>
      <c r="AG118" s="2">
        <v>50</v>
      </c>
      <c r="AH118" s="2" t="s">
        <v>626</v>
      </c>
      <c r="AI118" s="2">
        <v>50</v>
      </c>
      <c r="AJ118" s="2" t="s">
        <v>381</v>
      </c>
      <c r="AK118" s="2">
        <v>50</v>
      </c>
    </row>
    <row r="119" spans="1:37" x14ac:dyDescent="0.25">
      <c r="A119" s="2" t="s">
        <v>166</v>
      </c>
      <c r="B119" s="2" t="s">
        <v>256</v>
      </c>
      <c r="C119" s="2" t="s">
        <v>9</v>
      </c>
      <c r="D119" s="3">
        <v>46080.559351851851</v>
      </c>
      <c r="E119" s="2">
        <v>64.8</v>
      </c>
      <c r="F119" s="2">
        <v>1140</v>
      </c>
      <c r="G119" s="2">
        <v>0</v>
      </c>
      <c r="I119" s="2" t="s">
        <v>372</v>
      </c>
      <c r="J119" s="2" t="s">
        <v>258</v>
      </c>
      <c r="K119" s="2">
        <v>88</v>
      </c>
      <c r="L119" s="2">
        <v>3505026639</v>
      </c>
      <c r="M119" s="2">
        <v>50</v>
      </c>
      <c r="N119" s="2" t="s">
        <v>373</v>
      </c>
      <c r="O119" s="2">
        <v>50</v>
      </c>
      <c r="P119" s="2" t="s">
        <v>374</v>
      </c>
      <c r="Q119" s="2">
        <v>50</v>
      </c>
      <c r="R119" s="2" t="s">
        <v>375</v>
      </c>
      <c r="S119" s="2">
        <v>50</v>
      </c>
      <c r="T119" s="2" t="s">
        <v>376</v>
      </c>
      <c r="U119" s="2">
        <v>50</v>
      </c>
      <c r="V119" s="2" t="s">
        <v>263</v>
      </c>
      <c r="W119" s="2">
        <v>50</v>
      </c>
      <c r="X119" s="2">
        <v>880</v>
      </c>
      <c r="Y119" s="2">
        <v>50</v>
      </c>
      <c r="Z119" s="2" t="s">
        <v>627</v>
      </c>
      <c r="AA119" s="2">
        <v>50</v>
      </c>
      <c r="AB119" s="2" t="s">
        <v>628</v>
      </c>
      <c r="AC119" s="2">
        <v>50</v>
      </c>
      <c r="AD119" s="2">
        <v>2</v>
      </c>
      <c r="AE119" s="2">
        <v>50</v>
      </c>
      <c r="AF119" s="2" t="s">
        <v>379</v>
      </c>
      <c r="AG119" s="2">
        <v>50</v>
      </c>
      <c r="AH119" s="2" t="s">
        <v>626</v>
      </c>
      <c r="AI119" s="2">
        <v>50</v>
      </c>
    </row>
    <row r="120" spans="1:37" x14ac:dyDescent="0.25">
      <c r="A120" s="2" t="s">
        <v>110</v>
      </c>
      <c r="B120" s="2" t="s">
        <v>256</v>
      </c>
      <c r="C120" s="2" t="s">
        <v>9</v>
      </c>
      <c r="D120" s="3">
        <v>46080.559351851851</v>
      </c>
      <c r="E120" s="2">
        <v>88.03</v>
      </c>
      <c r="F120" s="2">
        <v>26</v>
      </c>
      <c r="G120" s="2">
        <v>2</v>
      </c>
      <c r="I120" s="2" t="s">
        <v>629</v>
      </c>
      <c r="J120" s="2" t="s">
        <v>258</v>
      </c>
      <c r="K120" s="2">
        <v>1</v>
      </c>
      <c r="M120" s="2">
        <v>10</v>
      </c>
      <c r="N120" s="2" t="s">
        <v>630</v>
      </c>
      <c r="O120" s="2">
        <v>75</v>
      </c>
      <c r="P120" s="2" t="s">
        <v>260</v>
      </c>
      <c r="Q120" s="2">
        <v>90</v>
      </c>
      <c r="R120" s="2" t="s">
        <v>631</v>
      </c>
      <c r="S120" s="2">
        <v>95</v>
      </c>
      <c r="T120" s="2" t="s">
        <v>632</v>
      </c>
      <c r="U120" s="2">
        <v>95</v>
      </c>
      <c r="V120" s="2" t="s">
        <v>263</v>
      </c>
      <c r="W120" s="2">
        <v>90</v>
      </c>
      <c r="X120" s="2">
        <v>1</v>
      </c>
      <c r="Y120" s="2">
        <v>95</v>
      </c>
      <c r="Z120" s="2" t="s">
        <v>633</v>
      </c>
      <c r="AA120" s="2">
        <v>80</v>
      </c>
      <c r="AB120" s="2" t="s">
        <v>634</v>
      </c>
      <c r="AC120" s="2">
        <v>90</v>
      </c>
      <c r="AD120" s="2">
        <v>3</v>
      </c>
      <c r="AE120" s="2">
        <v>95</v>
      </c>
      <c r="AF120" s="2" t="s">
        <v>635</v>
      </c>
      <c r="AG120" s="2">
        <v>90</v>
      </c>
      <c r="AH120" s="2" t="s">
        <v>636</v>
      </c>
      <c r="AI120" s="2">
        <v>90</v>
      </c>
      <c r="AJ120" s="2" t="s">
        <v>277</v>
      </c>
      <c r="AK120" s="2">
        <v>95</v>
      </c>
    </row>
    <row r="121" spans="1:37" x14ac:dyDescent="0.25">
      <c r="A121" s="2" t="s">
        <v>110</v>
      </c>
      <c r="B121" s="2" t="s">
        <v>256</v>
      </c>
      <c r="C121" s="2" t="s">
        <v>9</v>
      </c>
      <c r="D121" s="3">
        <v>46080.559351851851</v>
      </c>
      <c r="E121" s="2">
        <v>88.03</v>
      </c>
      <c r="F121" s="2">
        <v>26</v>
      </c>
      <c r="G121" s="2">
        <v>2</v>
      </c>
      <c r="I121" s="2" t="s">
        <v>629</v>
      </c>
      <c r="J121" s="2" t="s">
        <v>258</v>
      </c>
      <c r="K121" s="2">
        <v>2</v>
      </c>
      <c r="M121" s="2">
        <v>10</v>
      </c>
      <c r="N121" s="2" t="s">
        <v>630</v>
      </c>
      <c r="O121" s="2">
        <v>75</v>
      </c>
      <c r="P121" s="2" t="s">
        <v>260</v>
      </c>
      <c r="Q121" s="2">
        <v>90</v>
      </c>
      <c r="R121" s="2" t="s">
        <v>631</v>
      </c>
      <c r="S121" s="2">
        <v>95</v>
      </c>
      <c r="T121" s="2" t="s">
        <v>632</v>
      </c>
      <c r="U121" s="2">
        <v>95</v>
      </c>
      <c r="V121" s="2" t="s">
        <v>263</v>
      </c>
      <c r="W121" s="2">
        <v>90</v>
      </c>
      <c r="X121" s="2">
        <v>2</v>
      </c>
      <c r="Y121" s="2">
        <v>95</v>
      </c>
      <c r="Z121" s="2" t="s">
        <v>637</v>
      </c>
      <c r="AA121" s="2">
        <v>80</v>
      </c>
      <c r="AB121" s="2" t="s">
        <v>638</v>
      </c>
      <c r="AC121" s="2">
        <v>90</v>
      </c>
      <c r="AD121" s="2">
        <v>1</v>
      </c>
      <c r="AE121" s="2">
        <v>95</v>
      </c>
      <c r="AF121" s="2" t="s">
        <v>635</v>
      </c>
      <c r="AG121" s="2">
        <v>90</v>
      </c>
      <c r="AH121" s="2" t="s">
        <v>636</v>
      </c>
      <c r="AI121" s="2">
        <v>90</v>
      </c>
      <c r="AJ121" s="2" t="s">
        <v>277</v>
      </c>
      <c r="AK121" s="2">
        <v>95</v>
      </c>
    </row>
    <row r="122" spans="1:37" x14ac:dyDescent="0.25">
      <c r="A122" s="2" t="s">
        <v>128</v>
      </c>
      <c r="B122" s="2" t="s">
        <v>256</v>
      </c>
      <c r="C122" s="2" t="s">
        <v>9</v>
      </c>
      <c r="D122" s="3">
        <v>46080.559351851851</v>
      </c>
      <c r="E122" s="2">
        <v>93.11</v>
      </c>
      <c r="F122" s="2">
        <v>13</v>
      </c>
      <c r="G122" s="2">
        <v>0</v>
      </c>
      <c r="I122" s="2" t="s">
        <v>639</v>
      </c>
      <c r="J122" s="2" t="s">
        <v>258</v>
      </c>
      <c r="K122" s="2">
        <v>1</v>
      </c>
      <c r="L122" s="2">
        <v>3505026670</v>
      </c>
      <c r="M122" s="2">
        <v>96</v>
      </c>
      <c r="N122" s="2" t="s">
        <v>640</v>
      </c>
      <c r="O122" s="2">
        <v>98</v>
      </c>
      <c r="P122" s="2" t="s">
        <v>641</v>
      </c>
      <c r="Q122" s="2">
        <v>98</v>
      </c>
      <c r="R122" s="2" t="s">
        <v>642</v>
      </c>
      <c r="S122" s="2">
        <v>95</v>
      </c>
      <c r="T122" s="2" t="s">
        <v>376</v>
      </c>
      <c r="U122" s="2">
        <v>95</v>
      </c>
      <c r="V122" s="2" t="s">
        <v>263</v>
      </c>
      <c r="W122" s="2">
        <v>98</v>
      </c>
      <c r="X122" s="2">
        <v>20</v>
      </c>
      <c r="Y122" s="2">
        <v>98</v>
      </c>
      <c r="Z122" s="2" t="s">
        <v>602</v>
      </c>
      <c r="AA122" s="2">
        <v>98</v>
      </c>
      <c r="AB122" s="2" t="s">
        <v>643</v>
      </c>
      <c r="AC122" s="2">
        <v>90</v>
      </c>
      <c r="AD122" s="2">
        <v>56</v>
      </c>
      <c r="AE122" s="2">
        <v>95</v>
      </c>
      <c r="AF122" s="2" t="s">
        <v>432</v>
      </c>
      <c r="AG122" s="2">
        <v>85</v>
      </c>
      <c r="AH122" s="2" t="s">
        <v>644</v>
      </c>
      <c r="AI122" s="2">
        <v>90</v>
      </c>
      <c r="AJ122" s="2" t="s">
        <v>381</v>
      </c>
      <c r="AK122" s="2">
        <v>98</v>
      </c>
    </row>
    <row r="123" spans="1:37" x14ac:dyDescent="0.25">
      <c r="A123" s="2" t="s">
        <v>121</v>
      </c>
      <c r="B123" s="2" t="s">
        <v>256</v>
      </c>
      <c r="C123" s="2" t="s">
        <v>9</v>
      </c>
      <c r="D123" s="3">
        <v>46080.559351851851</v>
      </c>
      <c r="E123" s="2">
        <v>72.97</v>
      </c>
      <c r="F123" s="2">
        <v>13</v>
      </c>
      <c r="G123" s="2">
        <v>3</v>
      </c>
      <c r="I123" s="2" t="s">
        <v>645</v>
      </c>
      <c r="J123" s="2" t="s">
        <v>258</v>
      </c>
      <c r="K123" s="2">
        <v>1</v>
      </c>
      <c r="L123" s="2">
        <v>1507018668</v>
      </c>
      <c r="M123" s="2">
        <v>90</v>
      </c>
      <c r="N123" s="2" t="s">
        <v>646</v>
      </c>
      <c r="O123" s="2">
        <v>80</v>
      </c>
      <c r="P123" s="2" t="s">
        <v>260</v>
      </c>
      <c r="Q123" s="2">
        <v>95</v>
      </c>
      <c r="R123" s="2" t="s">
        <v>647</v>
      </c>
      <c r="S123" s="2">
        <v>95</v>
      </c>
      <c r="T123" s="2" t="s">
        <v>648</v>
      </c>
      <c r="U123" s="2">
        <v>90</v>
      </c>
      <c r="W123" s="2">
        <v>10</v>
      </c>
      <c r="X123" s="2">
        <v>1</v>
      </c>
      <c r="Y123" s="2">
        <v>80</v>
      </c>
      <c r="Z123" s="2" t="s">
        <v>649</v>
      </c>
      <c r="AA123" s="2">
        <v>95</v>
      </c>
      <c r="AB123" s="2" t="s">
        <v>650</v>
      </c>
      <c r="AC123" s="2">
        <v>75</v>
      </c>
      <c r="AD123" s="2">
        <v>50</v>
      </c>
      <c r="AE123" s="2">
        <v>95</v>
      </c>
      <c r="AG123" s="2">
        <v>10</v>
      </c>
      <c r="AI123" s="2">
        <v>5</v>
      </c>
      <c r="AJ123" s="2" t="s">
        <v>651</v>
      </c>
      <c r="AK123" s="2">
        <v>95</v>
      </c>
    </row>
    <row r="124" spans="1:37" x14ac:dyDescent="0.25">
      <c r="A124" s="2" t="s">
        <v>144</v>
      </c>
      <c r="B124" s="2" t="s">
        <v>256</v>
      </c>
      <c r="C124" s="2" t="s">
        <v>9</v>
      </c>
      <c r="D124" s="3">
        <v>46080.559351851851</v>
      </c>
      <c r="E124" s="2">
        <v>85.74</v>
      </c>
      <c r="F124" s="2">
        <v>13</v>
      </c>
      <c r="G124" s="2">
        <v>1</v>
      </c>
      <c r="I124" s="2" t="s">
        <v>652</v>
      </c>
      <c r="J124" s="2" t="s">
        <v>258</v>
      </c>
      <c r="K124" s="2">
        <v>1</v>
      </c>
      <c r="L124" s="2">
        <v>6507004827</v>
      </c>
      <c r="M124" s="2">
        <v>98</v>
      </c>
      <c r="N124" s="2" t="s">
        <v>653</v>
      </c>
      <c r="O124" s="2">
        <v>98</v>
      </c>
      <c r="P124" s="2" t="s">
        <v>260</v>
      </c>
      <c r="Q124" s="2">
        <v>98</v>
      </c>
      <c r="R124" s="2" t="s">
        <v>642</v>
      </c>
      <c r="S124" s="2">
        <v>95</v>
      </c>
      <c r="T124" s="2" t="s">
        <v>376</v>
      </c>
      <c r="U124" s="2">
        <v>95</v>
      </c>
      <c r="V124" s="2" t="s">
        <v>263</v>
      </c>
      <c r="W124" s="2">
        <v>95</v>
      </c>
      <c r="X124" s="2">
        <v>10</v>
      </c>
      <c r="Y124" s="2">
        <v>98</v>
      </c>
      <c r="Z124" s="2" t="s">
        <v>654</v>
      </c>
      <c r="AA124" s="2">
        <v>98</v>
      </c>
      <c r="AB124" s="2" t="s">
        <v>655</v>
      </c>
      <c r="AC124" s="2">
        <v>90</v>
      </c>
      <c r="AD124" s="2">
        <v>2</v>
      </c>
      <c r="AE124" s="2">
        <v>85</v>
      </c>
      <c r="AF124" s="2" t="s">
        <v>432</v>
      </c>
      <c r="AG124" s="2">
        <v>70</v>
      </c>
      <c r="AH124" s="2" t="s">
        <v>656</v>
      </c>
      <c r="AI124" s="2">
        <v>85</v>
      </c>
      <c r="AK124" s="2">
        <v>60</v>
      </c>
    </row>
    <row r="125" spans="1:37" x14ac:dyDescent="0.25">
      <c r="A125" s="2" t="s">
        <v>110</v>
      </c>
      <c r="B125" s="2" t="s">
        <v>256</v>
      </c>
      <c r="C125" s="2" t="s">
        <v>9</v>
      </c>
      <c r="D125" s="3">
        <v>46080.559212962966</v>
      </c>
      <c r="E125" s="2">
        <v>83.34</v>
      </c>
      <c r="F125" s="2">
        <v>26</v>
      </c>
      <c r="G125" s="2">
        <v>2</v>
      </c>
      <c r="I125" s="2" t="s">
        <v>629</v>
      </c>
      <c r="J125" s="2" t="s">
        <v>258</v>
      </c>
      <c r="K125" s="2">
        <v>1</v>
      </c>
      <c r="M125" s="2">
        <v>20</v>
      </c>
      <c r="N125" s="2" t="s">
        <v>657</v>
      </c>
      <c r="O125" s="2">
        <v>95</v>
      </c>
      <c r="P125" s="2" t="s">
        <v>260</v>
      </c>
      <c r="Q125" s="2">
        <v>92</v>
      </c>
      <c r="R125" s="2" t="s">
        <v>631</v>
      </c>
      <c r="S125" s="2">
        <v>94</v>
      </c>
      <c r="T125" s="2" t="s">
        <v>632</v>
      </c>
      <c r="U125" s="2">
        <v>93</v>
      </c>
      <c r="V125" s="2" t="s">
        <v>263</v>
      </c>
      <c r="W125" s="2">
        <v>90</v>
      </c>
      <c r="X125" s="2">
        <v>1</v>
      </c>
      <c r="Y125" s="2">
        <v>80</v>
      </c>
      <c r="Z125" s="2" t="s">
        <v>658</v>
      </c>
      <c r="AA125" s="2">
        <v>88</v>
      </c>
      <c r="AB125" s="2" t="s">
        <v>659</v>
      </c>
      <c r="AC125" s="2">
        <v>80</v>
      </c>
      <c r="AD125" s="2">
        <v>1</v>
      </c>
      <c r="AE125" s="2">
        <v>95</v>
      </c>
      <c r="AF125" s="2" t="s">
        <v>635</v>
      </c>
      <c r="AG125" s="2">
        <v>92</v>
      </c>
      <c r="AH125" s="2" t="s">
        <v>660</v>
      </c>
      <c r="AI125" s="2">
        <v>92</v>
      </c>
      <c r="AJ125" s="2" t="s">
        <v>277</v>
      </c>
      <c r="AK125" s="2">
        <v>93</v>
      </c>
    </row>
    <row r="126" spans="1:37" x14ac:dyDescent="0.25">
      <c r="A126" s="2" t="s">
        <v>110</v>
      </c>
      <c r="B126" s="2" t="s">
        <v>256</v>
      </c>
      <c r="C126" s="2" t="s">
        <v>9</v>
      </c>
      <c r="D126" s="3">
        <v>46080.559212962966</v>
      </c>
      <c r="E126" s="2">
        <v>83.34</v>
      </c>
      <c r="F126" s="2">
        <v>26</v>
      </c>
      <c r="G126" s="2">
        <v>2</v>
      </c>
      <c r="I126" s="2" t="s">
        <v>629</v>
      </c>
      <c r="J126" s="2" t="s">
        <v>258</v>
      </c>
      <c r="K126" s="2">
        <v>2</v>
      </c>
      <c r="M126" s="2">
        <v>20</v>
      </c>
      <c r="N126" s="2" t="s">
        <v>657</v>
      </c>
      <c r="O126" s="2">
        <v>95</v>
      </c>
      <c r="P126" s="2" t="s">
        <v>260</v>
      </c>
      <c r="Q126" s="2">
        <v>92</v>
      </c>
      <c r="R126" s="2" t="s">
        <v>631</v>
      </c>
      <c r="S126" s="2">
        <v>94</v>
      </c>
      <c r="T126" s="2" t="s">
        <v>632</v>
      </c>
      <c r="U126" s="2">
        <v>93</v>
      </c>
      <c r="V126" s="2" t="s">
        <v>263</v>
      </c>
      <c r="W126" s="2">
        <v>90</v>
      </c>
      <c r="X126" s="2">
        <v>2</v>
      </c>
      <c r="Y126" s="2">
        <v>80</v>
      </c>
      <c r="Z126" s="2" t="s">
        <v>661</v>
      </c>
      <c r="AA126" s="2">
        <v>88</v>
      </c>
      <c r="AB126" s="2" t="s">
        <v>662</v>
      </c>
      <c r="AC126" s="2">
        <v>85</v>
      </c>
      <c r="AD126" s="2">
        <v>1</v>
      </c>
      <c r="AE126" s="2">
        <v>95</v>
      </c>
      <c r="AF126" s="2" t="s">
        <v>635</v>
      </c>
      <c r="AG126" s="2">
        <v>92</v>
      </c>
      <c r="AH126" s="2" t="s">
        <v>663</v>
      </c>
      <c r="AI126" s="2">
        <v>90</v>
      </c>
      <c r="AJ126" s="2" t="s">
        <v>277</v>
      </c>
      <c r="AK126" s="2">
        <v>93</v>
      </c>
    </row>
    <row r="127" spans="1:37" s="101" customFormat="1" x14ac:dyDescent="0.25">
      <c r="A127" s="101" t="s">
        <v>184</v>
      </c>
      <c r="B127" s="101" t="s">
        <v>256</v>
      </c>
      <c r="C127" s="101" t="s">
        <v>9</v>
      </c>
      <c r="D127" s="102">
        <v>46080.559212962966</v>
      </c>
      <c r="E127" s="101">
        <v>75</v>
      </c>
      <c r="F127" s="101">
        <v>0</v>
      </c>
      <c r="G127" s="101">
        <v>0</v>
      </c>
      <c r="I127" s="101" t="s">
        <v>664</v>
      </c>
      <c r="J127" s="101" t="s">
        <v>258</v>
      </c>
    </row>
    <row r="128" spans="1:37" x14ac:dyDescent="0.25">
      <c r="A128" s="2" t="s">
        <v>145</v>
      </c>
      <c r="B128" s="2" t="s">
        <v>256</v>
      </c>
      <c r="C128" s="2" t="s">
        <v>9</v>
      </c>
      <c r="D128" s="3">
        <v>46080.558842592596</v>
      </c>
      <c r="E128" s="2">
        <v>89.62</v>
      </c>
      <c r="F128" s="2">
        <v>13</v>
      </c>
      <c r="G128" s="2">
        <v>0</v>
      </c>
      <c r="I128" s="2" t="s">
        <v>665</v>
      </c>
      <c r="J128" s="2" t="s">
        <v>258</v>
      </c>
      <c r="K128" s="2">
        <v>1</v>
      </c>
      <c r="L128" s="2">
        <v>6501017954</v>
      </c>
      <c r="M128" s="2">
        <v>98</v>
      </c>
      <c r="N128" s="2" t="s">
        <v>666</v>
      </c>
      <c r="O128" s="2">
        <v>95</v>
      </c>
      <c r="P128" s="2" t="s">
        <v>667</v>
      </c>
      <c r="Q128" s="2">
        <v>95</v>
      </c>
      <c r="R128" s="2" t="s">
        <v>668</v>
      </c>
      <c r="S128" s="2">
        <v>90</v>
      </c>
      <c r="T128" s="2" t="s">
        <v>669</v>
      </c>
      <c r="U128" s="2">
        <v>92</v>
      </c>
      <c r="V128" s="2" t="s">
        <v>263</v>
      </c>
      <c r="W128" s="2">
        <v>95</v>
      </c>
      <c r="X128" s="2">
        <v>1</v>
      </c>
      <c r="Y128" s="2">
        <v>80</v>
      </c>
      <c r="Z128" s="2" t="s">
        <v>670</v>
      </c>
      <c r="AA128" s="2">
        <v>92</v>
      </c>
      <c r="AB128" s="2" t="s">
        <v>671</v>
      </c>
      <c r="AC128" s="2">
        <v>90</v>
      </c>
      <c r="AD128" s="2">
        <v>1</v>
      </c>
      <c r="AE128" s="2">
        <v>95</v>
      </c>
      <c r="AF128" s="2" t="s">
        <v>672</v>
      </c>
      <c r="AG128" s="2">
        <v>85</v>
      </c>
      <c r="AH128" s="2" t="s">
        <v>673</v>
      </c>
      <c r="AI128" s="2">
        <v>90</v>
      </c>
      <c r="AJ128" s="2" t="s">
        <v>350</v>
      </c>
      <c r="AK128" s="2">
        <v>95</v>
      </c>
    </row>
    <row r="129" spans="1:37" x14ac:dyDescent="0.25">
      <c r="A129" s="2" t="s">
        <v>119</v>
      </c>
      <c r="B129" s="2" t="s">
        <v>256</v>
      </c>
      <c r="C129" s="2" t="s">
        <v>9</v>
      </c>
      <c r="D129" s="3">
        <v>46080.558842592596</v>
      </c>
      <c r="E129" s="2">
        <v>78</v>
      </c>
      <c r="F129" s="2">
        <v>0</v>
      </c>
      <c r="G129" s="2">
        <v>0</v>
      </c>
      <c r="I129" s="2" t="s">
        <v>674</v>
      </c>
      <c r="J129" s="2" t="s">
        <v>258</v>
      </c>
    </row>
    <row r="130" spans="1:37" x14ac:dyDescent="0.25">
      <c r="A130" s="2" t="s">
        <v>149</v>
      </c>
      <c r="B130" s="2" t="s">
        <v>256</v>
      </c>
      <c r="C130" s="2" t="s">
        <v>11</v>
      </c>
      <c r="D130" s="3">
        <v>46080.556087962963</v>
      </c>
      <c r="E130" s="2">
        <v>65</v>
      </c>
      <c r="F130" s="2">
        <v>0</v>
      </c>
      <c r="G130" s="2">
        <v>0</v>
      </c>
      <c r="I130" s="2" t="s">
        <v>675</v>
      </c>
    </row>
    <row r="131" spans="1:37" x14ac:dyDescent="0.25">
      <c r="A131" s="2" t="s">
        <v>165</v>
      </c>
      <c r="B131" s="2" t="s">
        <v>256</v>
      </c>
      <c r="C131" s="2" t="s">
        <v>9</v>
      </c>
      <c r="D131" s="3">
        <v>46080.556087962963</v>
      </c>
      <c r="E131" s="2">
        <v>81.400000000000006</v>
      </c>
      <c r="F131" s="2">
        <v>65</v>
      </c>
      <c r="G131" s="2">
        <v>0</v>
      </c>
      <c r="I131" s="2" t="s">
        <v>676</v>
      </c>
      <c r="J131" s="2" t="s">
        <v>258</v>
      </c>
      <c r="K131" s="2">
        <v>1</v>
      </c>
      <c r="L131" s="2">
        <v>3505026682</v>
      </c>
      <c r="M131" s="2">
        <v>98</v>
      </c>
      <c r="N131" s="2" t="s">
        <v>677</v>
      </c>
      <c r="O131" s="2">
        <v>95</v>
      </c>
      <c r="P131" s="2" t="s">
        <v>260</v>
      </c>
      <c r="Q131" s="2">
        <v>95</v>
      </c>
      <c r="R131" s="2" t="s">
        <v>271</v>
      </c>
      <c r="S131" s="2">
        <v>95</v>
      </c>
      <c r="T131" s="2" t="s">
        <v>678</v>
      </c>
      <c r="U131" s="2">
        <v>88</v>
      </c>
      <c r="V131" s="2" t="s">
        <v>263</v>
      </c>
      <c r="W131" s="2">
        <v>95</v>
      </c>
      <c r="X131" s="2">
        <v>1</v>
      </c>
      <c r="Y131" s="2">
        <v>90</v>
      </c>
      <c r="Z131" s="2" t="s">
        <v>679</v>
      </c>
      <c r="AA131" s="2">
        <v>96</v>
      </c>
      <c r="AB131" s="2" t="s">
        <v>680</v>
      </c>
      <c r="AC131" s="2">
        <v>88</v>
      </c>
      <c r="AD131" s="2">
        <v>3</v>
      </c>
      <c r="AE131" s="2">
        <v>96</v>
      </c>
      <c r="AF131" s="2" t="s">
        <v>275</v>
      </c>
      <c r="AG131" s="2">
        <v>90</v>
      </c>
      <c r="AH131" s="2" t="s">
        <v>681</v>
      </c>
      <c r="AI131" s="2">
        <v>96</v>
      </c>
      <c r="AJ131" s="2" t="s">
        <v>277</v>
      </c>
      <c r="AK131" s="2">
        <v>92</v>
      </c>
    </row>
    <row r="132" spans="1:37" x14ac:dyDescent="0.25">
      <c r="A132" s="2" t="s">
        <v>165</v>
      </c>
      <c r="B132" s="2" t="s">
        <v>256</v>
      </c>
      <c r="C132" s="2" t="s">
        <v>9</v>
      </c>
      <c r="D132" s="3">
        <v>46080.556087962963</v>
      </c>
      <c r="E132" s="2">
        <v>81.400000000000006</v>
      </c>
      <c r="F132" s="2">
        <v>65</v>
      </c>
      <c r="G132" s="2">
        <v>0</v>
      </c>
      <c r="I132" s="2" t="s">
        <v>676</v>
      </c>
      <c r="J132" s="2" t="s">
        <v>258</v>
      </c>
      <c r="K132" s="2">
        <v>2</v>
      </c>
      <c r="L132" s="2">
        <v>3505026682</v>
      </c>
      <c r="M132" s="2">
        <v>98</v>
      </c>
      <c r="N132" s="2" t="s">
        <v>677</v>
      </c>
      <c r="O132" s="2">
        <v>50</v>
      </c>
      <c r="P132" s="2" t="s">
        <v>260</v>
      </c>
      <c r="Q132" s="2">
        <v>50</v>
      </c>
      <c r="R132" s="2" t="s">
        <v>271</v>
      </c>
      <c r="S132" s="2">
        <v>50</v>
      </c>
      <c r="T132" s="2" t="s">
        <v>678</v>
      </c>
      <c r="U132" s="2">
        <v>50</v>
      </c>
      <c r="V132" s="2" t="s">
        <v>263</v>
      </c>
      <c r="W132" s="2">
        <v>50</v>
      </c>
      <c r="X132" s="2">
        <v>2</v>
      </c>
      <c r="Y132" s="2">
        <v>50</v>
      </c>
      <c r="Z132" s="2" t="s">
        <v>682</v>
      </c>
      <c r="AA132" s="2">
        <v>96</v>
      </c>
      <c r="AB132" s="2" t="s">
        <v>683</v>
      </c>
      <c r="AC132" s="2">
        <v>87</v>
      </c>
      <c r="AD132" s="2">
        <v>2</v>
      </c>
      <c r="AE132" s="2">
        <v>95</v>
      </c>
      <c r="AF132" s="2" t="s">
        <v>275</v>
      </c>
      <c r="AG132" s="2">
        <v>90</v>
      </c>
      <c r="AH132" s="2" t="s">
        <v>684</v>
      </c>
      <c r="AI132" s="2">
        <v>95</v>
      </c>
      <c r="AJ132" s="2" t="s">
        <v>277</v>
      </c>
      <c r="AK132" s="2">
        <v>92</v>
      </c>
    </row>
    <row r="133" spans="1:37" x14ac:dyDescent="0.25">
      <c r="A133" s="2" t="s">
        <v>165</v>
      </c>
      <c r="B133" s="2" t="s">
        <v>256</v>
      </c>
      <c r="C133" s="2" t="s">
        <v>9</v>
      </c>
      <c r="D133" s="3">
        <v>46080.556087962963</v>
      </c>
      <c r="E133" s="2">
        <v>81.400000000000006</v>
      </c>
      <c r="F133" s="2">
        <v>65</v>
      </c>
      <c r="G133" s="2">
        <v>0</v>
      </c>
      <c r="I133" s="2" t="s">
        <v>676</v>
      </c>
      <c r="J133" s="2" t="s">
        <v>258</v>
      </c>
      <c r="K133" s="2">
        <v>3</v>
      </c>
      <c r="L133" s="2">
        <v>3505026682</v>
      </c>
      <c r="M133" s="2">
        <v>98</v>
      </c>
      <c r="N133" s="2" t="s">
        <v>677</v>
      </c>
      <c r="O133" s="2">
        <v>50</v>
      </c>
      <c r="P133" s="2" t="s">
        <v>260</v>
      </c>
      <c r="Q133" s="2">
        <v>50</v>
      </c>
      <c r="R133" s="2" t="s">
        <v>271</v>
      </c>
      <c r="S133" s="2">
        <v>50</v>
      </c>
      <c r="T133" s="2" t="s">
        <v>678</v>
      </c>
      <c r="U133" s="2">
        <v>50</v>
      </c>
      <c r="V133" s="2" t="s">
        <v>263</v>
      </c>
      <c r="W133" s="2">
        <v>50</v>
      </c>
      <c r="X133" s="2">
        <v>3</v>
      </c>
      <c r="Y133" s="2">
        <v>50</v>
      </c>
      <c r="Z133" s="2" t="s">
        <v>685</v>
      </c>
      <c r="AA133" s="2">
        <v>96</v>
      </c>
      <c r="AB133" s="2" t="s">
        <v>686</v>
      </c>
      <c r="AC133" s="2">
        <v>87</v>
      </c>
      <c r="AD133" s="2">
        <v>11</v>
      </c>
      <c r="AE133" s="2">
        <v>95</v>
      </c>
      <c r="AF133" s="2" t="s">
        <v>275</v>
      </c>
      <c r="AG133" s="2">
        <v>90</v>
      </c>
      <c r="AH133" s="2" t="s">
        <v>687</v>
      </c>
      <c r="AI133" s="2">
        <v>95</v>
      </c>
      <c r="AJ133" s="2" t="s">
        <v>277</v>
      </c>
      <c r="AK133" s="2">
        <v>92</v>
      </c>
    </row>
    <row r="134" spans="1:37" x14ac:dyDescent="0.25">
      <c r="A134" s="2" t="s">
        <v>165</v>
      </c>
      <c r="B134" s="2" t="s">
        <v>256</v>
      </c>
      <c r="C134" s="2" t="s">
        <v>9</v>
      </c>
      <c r="D134" s="3">
        <v>46080.556087962963</v>
      </c>
      <c r="E134" s="2">
        <v>81.400000000000006</v>
      </c>
      <c r="F134" s="2">
        <v>65</v>
      </c>
      <c r="G134" s="2">
        <v>0</v>
      </c>
      <c r="I134" s="2" t="s">
        <v>676</v>
      </c>
      <c r="J134" s="2" t="s">
        <v>258</v>
      </c>
      <c r="K134" s="2">
        <v>4</v>
      </c>
      <c r="L134" s="2">
        <v>3505026682</v>
      </c>
      <c r="M134" s="2">
        <v>98</v>
      </c>
      <c r="N134" s="2" t="s">
        <v>677</v>
      </c>
      <c r="O134" s="2">
        <v>50</v>
      </c>
      <c r="P134" s="2" t="s">
        <v>260</v>
      </c>
      <c r="Q134" s="2">
        <v>50</v>
      </c>
      <c r="R134" s="2" t="s">
        <v>271</v>
      </c>
      <c r="S134" s="2">
        <v>50</v>
      </c>
      <c r="T134" s="2" t="s">
        <v>678</v>
      </c>
      <c r="U134" s="2">
        <v>50</v>
      </c>
      <c r="V134" s="2" t="s">
        <v>263</v>
      </c>
      <c r="W134" s="2">
        <v>50</v>
      </c>
      <c r="X134" s="2">
        <v>4</v>
      </c>
      <c r="Y134" s="2">
        <v>50</v>
      </c>
      <c r="Z134" s="2" t="s">
        <v>688</v>
      </c>
      <c r="AA134" s="2">
        <v>96</v>
      </c>
      <c r="AB134" s="2" t="s">
        <v>689</v>
      </c>
      <c r="AC134" s="2">
        <v>88</v>
      </c>
      <c r="AD134" s="2">
        <v>5</v>
      </c>
      <c r="AE134" s="2">
        <v>95</v>
      </c>
      <c r="AF134" s="2" t="s">
        <v>275</v>
      </c>
      <c r="AG134" s="2">
        <v>90</v>
      </c>
      <c r="AH134" s="2" t="s">
        <v>690</v>
      </c>
      <c r="AI134" s="2">
        <v>95</v>
      </c>
      <c r="AJ134" s="2" t="s">
        <v>277</v>
      </c>
      <c r="AK134" s="2">
        <v>92</v>
      </c>
    </row>
    <row r="135" spans="1:37" x14ac:dyDescent="0.25">
      <c r="A135" s="2" t="s">
        <v>165</v>
      </c>
      <c r="B135" s="2" t="s">
        <v>256</v>
      </c>
      <c r="C135" s="2" t="s">
        <v>9</v>
      </c>
      <c r="D135" s="3">
        <v>46080.556087962963</v>
      </c>
      <c r="E135" s="2">
        <v>81.400000000000006</v>
      </c>
      <c r="F135" s="2">
        <v>65</v>
      </c>
      <c r="G135" s="2">
        <v>0</v>
      </c>
      <c r="I135" s="2" t="s">
        <v>676</v>
      </c>
      <c r="J135" s="2" t="s">
        <v>258</v>
      </c>
      <c r="K135" s="2">
        <v>5</v>
      </c>
      <c r="L135" s="2">
        <v>3505026682</v>
      </c>
      <c r="M135" s="2">
        <v>98</v>
      </c>
      <c r="N135" s="2" t="s">
        <v>677</v>
      </c>
      <c r="O135" s="2">
        <v>50</v>
      </c>
      <c r="P135" s="2" t="s">
        <v>260</v>
      </c>
      <c r="Q135" s="2">
        <v>50</v>
      </c>
      <c r="R135" s="2" t="s">
        <v>271</v>
      </c>
      <c r="S135" s="2">
        <v>50</v>
      </c>
      <c r="T135" s="2" t="s">
        <v>678</v>
      </c>
      <c r="U135" s="2">
        <v>50</v>
      </c>
      <c r="V135" s="2" t="s">
        <v>263</v>
      </c>
      <c r="W135" s="2">
        <v>50</v>
      </c>
      <c r="X135" s="2">
        <v>5</v>
      </c>
      <c r="Y135" s="2">
        <v>50</v>
      </c>
      <c r="Z135" s="2" t="s">
        <v>691</v>
      </c>
      <c r="AA135" s="2">
        <v>96</v>
      </c>
      <c r="AB135" s="2" t="s">
        <v>692</v>
      </c>
      <c r="AC135" s="2">
        <v>86</v>
      </c>
      <c r="AD135" s="2">
        <v>2</v>
      </c>
      <c r="AE135" s="2">
        <v>95</v>
      </c>
      <c r="AF135" s="2" t="s">
        <v>275</v>
      </c>
      <c r="AG135" s="2">
        <v>90</v>
      </c>
      <c r="AH135" s="2" t="s">
        <v>693</v>
      </c>
      <c r="AI135" s="2">
        <v>95</v>
      </c>
      <c r="AJ135" s="2" t="s">
        <v>277</v>
      </c>
      <c r="AK135" s="2">
        <v>92</v>
      </c>
    </row>
    <row r="136" spans="1:37" x14ac:dyDescent="0.25">
      <c r="A136" s="2" t="s">
        <v>137</v>
      </c>
      <c r="B136" s="2" t="s">
        <v>256</v>
      </c>
      <c r="C136" s="2" t="s">
        <v>9</v>
      </c>
      <c r="D136" s="3">
        <v>46080.556087962963</v>
      </c>
      <c r="E136" s="2">
        <v>75.260000000000005</v>
      </c>
      <c r="F136" s="2">
        <v>65</v>
      </c>
      <c r="G136" s="2">
        <v>0</v>
      </c>
      <c r="I136" s="2" t="s">
        <v>694</v>
      </c>
      <c r="J136" s="2" t="s">
        <v>258</v>
      </c>
      <c r="K136" s="2">
        <v>1</v>
      </c>
      <c r="L136" s="2">
        <v>3505026682</v>
      </c>
      <c r="M136" s="2">
        <v>50</v>
      </c>
      <c r="N136" s="2" t="s">
        <v>695</v>
      </c>
      <c r="O136" s="2">
        <v>50</v>
      </c>
      <c r="P136" s="2" t="s">
        <v>260</v>
      </c>
      <c r="Q136" s="2">
        <v>50</v>
      </c>
      <c r="R136" s="2" t="s">
        <v>271</v>
      </c>
      <c r="S136" s="2">
        <v>50</v>
      </c>
      <c r="T136" s="2" t="s">
        <v>696</v>
      </c>
      <c r="U136" s="2">
        <v>50</v>
      </c>
      <c r="V136" s="2" t="s">
        <v>263</v>
      </c>
      <c r="W136" s="2">
        <v>50</v>
      </c>
      <c r="X136" s="2">
        <v>1</v>
      </c>
      <c r="Y136" s="2">
        <v>50</v>
      </c>
      <c r="Z136" s="2" t="s">
        <v>697</v>
      </c>
      <c r="AA136" s="2">
        <v>95</v>
      </c>
      <c r="AB136" s="2" t="s">
        <v>698</v>
      </c>
      <c r="AC136" s="2">
        <v>90</v>
      </c>
      <c r="AD136" s="2">
        <v>10</v>
      </c>
      <c r="AE136" s="2">
        <v>95</v>
      </c>
      <c r="AF136" s="2" t="s">
        <v>295</v>
      </c>
      <c r="AG136" s="2">
        <v>90</v>
      </c>
      <c r="AH136" s="2" t="s">
        <v>699</v>
      </c>
      <c r="AI136" s="2">
        <v>90</v>
      </c>
      <c r="AJ136" s="2" t="s">
        <v>277</v>
      </c>
      <c r="AK136" s="2">
        <v>90</v>
      </c>
    </row>
    <row r="137" spans="1:37" x14ac:dyDescent="0.25">
      <c r="A137" s="2" t="s">
        <v>137</v>
      </c>
      <c r="B137" s="2" t="s">
        <v>256</v>
      </c>
      <c r="C137" s="2" t="s">
        <v>9</v>
      </c>
      <c r="D137" s="3">
        <v>46080.556087962963</v>
      </c>
      <c r="E137" s="2">
        <v>75.260000000000005</v>
      </c>
      <c r="F137" s="2">
        <v>65</v>
      </c>
      <c r="G137" s="2">
        <v>0</v>
      </c>
      <c r="I137" s="2" t="s">
        <v>694</v>
      </c>
      <c r="J137" s="2" t="s">
        <v>258</v>
      </c>
      <c r="K137" s="2">
        <v>2</v>
      </c>
      <c r="L137" s="2">
        <v>3505026682</v>
      </c>
      <c r="M137" s="2">
        <v>50</v>
      </c>
      <c r="N137" s="2" t="s">
        <v>695</v>
      </c>
      <c r="O137" s="2">
        <v>50</v>
      </c>
      <c r="P137" s="2" t="s">
        <v>260</v>
      </c>
      <c r="Q137" s="2">
        <v>50</v>
      </c>
      <c r="R137" s="2" t="s">
        <v>271</v>
      </c>
      <c r="S137" s="2">
        <v>50</v>
      </c>
      <c r="T137" s="2" t="s">
        <v>696</v>
      </c>
      <c r="U137" s="2">
        <v>50</v>
      </c>
      <c r="V137" s="2" t="s">
        <v>263</v>
      </c>
      <c r="W137" s="2">
        <v>50</v>
      </c>
      <c r="X137" s="2">
        <v>2</v>
      </c>
      <c r="Y137" s="2">
        <v>50</v>
      </c>
      <c r="Z137" s="2" t="s">
        <v>700</v>
      </c>
      <c r="AA137" s="2">
        <v>95</v>
      </c>
      <c r="AB137" s="2" t="s">
        <v>701</v>
      </c>
      <c r="AC137" s="2">
        <v>90</v>
      </c>
      <c r="AD137" s="2">
        <v>2</v>
      </c>
      <c r="AE137" s="2">
        <v>95</v>
      </c>
      <c r="AF137" s="2" t="s">
        <v>275</v>
      </c>
      <c r="AG137" s="2">
        <v>90</v>
      </c>
      <c r="AH137" s="2" t="s">
        <v>702</v>
      </c>
      <c r="AI137" s="2">
        <v>90</v>
      </c>
      <c r="AJ137" s="2" t="s">
        <v>277</v>
      </c>
      <c r="AK137" s="2">
        <v>90</v>
      </c>
    </row>
    <row r="138" spans="1:37" x14ac:dyDescent="0.25">
      <c r="A138" s="2" t="s">
        <v>137</v>
      </c>
      <c r="B138" s="2" t="s">
        <v>256</v>
      </c>
      <c r="C138" s="2" t="s">
        <v>9</v>
      </c>
      <c r="D138" s="3">
        <v>46080.556087962963</v>
      </c>
      <c r="E138" s="2">
        <v>75.260000000000005</v>
      </c>
      <c r="F138" s="2">
        <v>65</v>
      </c>
      <c r="G138" s="2">
        <v>0</v>
      </c>
      <c r="I138" s="2" t="s">
        <v>694</v>
      </c>
      <c r="J138" s="2" t="s">
        <v>258</v>
      </c>
      <c r="K138" s="2">
        <v>3</v>
      </c>
      <c r="L138" s="2">
        <v>3505026682</v>
      </c>
      <c r="M138" s="2">
        <v>50</v>
      </c>
      <c r="N138" s="2" t="s">
        <v>695</v>
      </c>
      <c r="O138" s="2">
        <v>50</v>
      </c>
      <c r="P138" s="2" t="s">
        <v>260</v>
      </c>
      <c r="Q138" s="2">
        <v>50</v>
      </c>
      <c r="R138" s="2" t="s">
        <v>271</v>
      </c>
      <c r="S138" s="2">
        <v>50</v>
      </c>
      <c r="T138" s="2" t="s">
        <v>696</v>
      </c>
      <c r="U138" s="2">
        <v>50</v>
      </c>
      <c r="V138" s="2" t="s">
        <v>263</v>
      </c>
      <c r="W138" s="2">
        <v>50</v>
      </c>
      <c r="X138" s="2">
        <v>3</v>
      </c>
      <c r="Y138" s="2">
        <v>50</v>
      </c>
      <c r="Z138" s="2" t="s">
        <v>703</v>
      </c>
      <c r="AA138" s="2">
        <v>95</v>
      </c>
      <c r="AB138" s="2" t="s">
        <v>704</v>
      </c>
      <c r="AC138" s="2">
        <v>90</v>
      </c>
      <c r="AD138" s="2">
        <v>1</v>
      </c>
      <c r="AE138" s="2">
        <v>95</v>
      </c>
      <c r="AF138" s="2" t="s">
        <v>275</v>
      </c>
      <c r="AG138" s="2">
        <v>90</v>
      </c>
      <c r="AH138" s="2" t="s">
        <v>705</v>
      </c>
      <c r="AI138" s="2">
        <v>90</v>
      </c>
      <c r="AJ138" s="2" t="s">
        <v>277</v>
      </c>
      <c r="AK138" s="2">
        <v>90</v>
      </c>
    </row>
    <row r="139" spans="1:37" x14ac:dyDescent="0.25">
      <c r="A139" s="2" t="s">
        <v>137</v>
      </c>
      <c r="B139" s="2" t="s">
        <v>256</v>
      </c>
      <c r="C139" s="2" t="s">
        <v>9</v>
      </c>
      <c r="D139" s="3">
        <v>46080.556087962963</v>
      </c>
      <c r="E139" s="2">
        <v>75.260000000000005</v>
      </c>
      <c r="F139" s="2">
        <v>65</v>
      </c>
      <c r="G139" s="2">
        <v>0</v>
      </c>
      <c r="I139" s="2" t="s">
        <v>694</v>
      </c>
      <c r="J139" s="2" t="s">
        <v>258</v>
      </c>
      <c r="K139" s="2">
        <v>4</v>
      </c>
      <c r="L139" s="2">
        <v>3505026682</v>
      </c>
      <c r="M139" s="2">
        <v>50</v>
      </c>
      <c r="N139" s="2" t="s">
        <v>695</v>
      </c>
      <c r="O139" s="2">
        <v>50</v>
      </c>
      <c r="P139" s="2" t="s">
        <v>260</v>
      </c>
      <c r="Q139" s="2">
        <v>50</v>
      </c>
      <c r="R139" s="2" t="s">
        <v>271</v>
      </c>
      <c r="S139" s="2">
        <v>50</v>
      </c>
      <c r="T139" s="2" t="s">
        <v>696</v>
      </c>
      <c r="U139" s="2">
        <v>50</v>
      </c>
      <c r="V139" s="2" t="s">
        <v>263</v>
      </c>
      <c r="W139" s="2">
        <v>50</v>
      </c>
      <c r="X139" s="2">
        <v>4</v>
      </c>
      <c r="Y139" s="2">
        <v>50</v>
      </c>
      <c r="Z139" s="2" t="s">
        <v>706</v>
      </c>
      <c r="AA139" s="2">
        <v>95</v>
      </c>
      <c r="AB139" s="2" t="s">
        <v>707</v>
      </c>
      <c r="AC139" s="2">
        <v>90</v>
      </c>
      <c r="AD139" s="2">
        <v>10</v>
      </c>
      <c r="AE139" s="2">
        <v>95</v>
      </c>
      <c r="AF139" s="2" t="s">
        <v>295</v>
      </c>
      <c r="AG139" s="2">
        <v>90</v>
      </c>
      <c r="AH139" s="2" t="s">
        <v>708</v>
      </c>
      <c r="AI139" s="2">
        <v>90</v>
      </c>
      <c r="AJ139" s="2" t="s">
        <v>277</v>
      </c>
      <c r="AK139" s="2">
        <v>90</v>
      </c>
    </row>
    <row r="140" spans="1:37" x14ac:dyDescent="0.25">
      <c r="A140" s="2" t="s">
        <v>137</v>
      </c>
      <c r="B140" s="2" t="s">
        <v>256</v>
      </c>
      <c r="C140" s="2" t="s">
        <v>9</v>
      </c>
      <c r="D140" s="3">
        <v>46080.556087962963</v>
      </c>
      <c r="E140" s="2">
        <v>75.260000000000005</v>
      </c>
      <c r="F140" s="2">
        <v>65</v>
      </c>
      <c r="G140" s="2">
        <v>0</v>
      </c>
      <c r="I140" s="2" t="s">
        <v>694</v>
      </c>
      <c r="J140" s="2" t="s">
        <v>258</v>
      </c>
      <c r="K140" s="2">
        <v>5</v>
      </c>
      <c r="L140" s="2">
        <v>3505026682</v>
      </c>
      <c r="M140" s="2">
        <v>50</v>
      </c>
      <c r="N140" s="2" t="s">
        <v>695</v>
      </c>
      <c r="O140" s="2">
        <v>50</v>
      </c>
      <c r="P140" s="2" t="s">
        <v>260</v>
      </c>
      <c r="Q140" s="2">
        <v>50</v>
      </c>
      <c r="R140" s="2" t="s">
        <v>271</v>
      </c>
      <c r="S140" s="2">
        <v>50</v>
      </c>
      <c r="T140" s="2" t="s">
        <v>696</v>
      </c>
      <c r="U140" s="2">
        <v>50</v>
      </c>
      <c r="V140" s="2" t="s">
        <v>263</v>
      </c>
      <c r="W140" s="2">
        <v>50</v>
      </c>
      <c r="X140" s="2">
        <v>5</v>
      </c>
      <c r="Y140" s="2">
        <v>50</v>
      </c>
      <c r="Z140" s="2" t="s">
        <v>709</v>
      </c>
      <c r="AA140" s="2">
        <v>95</v>
      </c>
      <c r="AB140" s="2" t="s">
        <v>710</v>
      </c>
      <c r="AC140" s="2">
        <v>90</v>
      </c>
      <c r="AD140" s="2">
        <v>1</v>
      </c>
      <c r="AE140" s="2">
        <v>95</v>
      </c>
      <c r="AF140" s="2" t="s">
        <v>295</v>
      </c>
      <c r="AG140" s="2">
        <v>90</v>
      </c>
      <c r="AH140" s="2" t="s">
        <v>711</v>
      </c>
      <c r="AI140" s="2">
        <v>90</v>
      </c>
      <c r="AJ140" s="2" t="s">
        <v>277</v>
      </c>
      <c r="AK140" s="2">
        <v>90</v>
      </c>
    </row>
    <row r="141" spans="1:37" x14ac:dyDescent="0.25">
      <c r="A141" s="2" t="s">
        <v>157</v>
      </c>
      <c r="B141" s="2" t="s">
        <v>256</v>
      </c>
      <c r="C141" s="2" t="s">
        <v>11</v>
      </c>
      <c r="D141" s="3">
        <v>46080.556087962963</v>
      </c>
      <c r="E141" s="2">
        <v>62</v>
      </c>
      <c r="F141" s="2">
        <v>0</v>
      </c>
      <c r="G141" s="2">
        <v>0</v>
      </c>
      <c r="I141" s="2" t="s">
        <v>712</v>
      </c>
    </row>
    <row r="142" spans="1:37" x14ac:dyDescent="0.25">
      <c r="A142" s="2" t="s">
        <v>154</v>
      </c>
      <c r="B142" s="2" t="s">
        <v>256</v>
      </c>
      <c r="C142" s="2" t="s">
        <v>11</v>
      </c>
      <c r="D142" s="3">
        <v>46080.556087962963</v>
      </c>
      <c r="E142" s="2">
        <v>68</v>
      </c>
      <c r="F142" s="2">
        <v>0</v>
      </c>
      <c r="G142" s="2">
        <v>0</v>
      </c>
      <c r="I142" s="2" t="s">
        <v>713</v>
      </c>
    </row>
    <row r="143" spans="1:37" x14ac:dyDescent="0.25">
      <c r="A143" s="2" t="s">
        <v>147</v>
      </c>
      <c r="B143" s="2" t="s">
        <v>256</v>
      </c>
      <c r="C143" s="2" t="s">
        <v>9</v>
      </c>
      <c r="D143" s="3">
        <v>46080.556064814809</v>
      </c>
      <c r="E143" s="2">
        <v>79.86</v>
      </c>
      <c r="F143" s="2">
        <v>13</v>
      </c>
      <c r="G143" s="2">
        <v>2</v>
      </c>
      <c r="I143" s="2" t="s">
        <v>714</v>
      </c>
      <c r="J143" s="2" t="s">
        <v>258</v>
      </c>
      <c r="K143" s="2">
        <v>1</v>
      </c>
      <c r="L143" s="2">
        <v>2501210303</v>
      </c>
      <c r="M143" s="2">
        <v>90</v>
      </c>
      <c r="N143" s="2" t="s">
        <v>715</v>
      </c>
      <c r="O143" s="2">
        <v>85</v>
      </c>
      <c r="P143" s="2" t="s">
        <v>260</v>
      </c>
      <c r="Q143" s="2">
        <v>95</v>
      </c>
      <c r="R143" s="2" t="s">
        <v>716</v>
      </c>
      <c r="S143" s="2">
        <v>95</v>
      </c>
      <c r="T143" s="2" t="s">
        <v>717</v>
      </c>
      <c r="U143" s="2">
        <v>90</v>
      </c>
      <c r="V143" s="2" t="s">
        <v>263</v>
      </c>
      <c r="W143" s="2">
        <v>95</v>
      </c>
      <c r="X143" s="2">
        <v>1</v>
      </c>
      <c r="Y143" s="2">
        <v>70</v>
      </c>
      <c r="Z143" s="2" t="s">
        <v>718</v>
      </c>
      <c r="AA143" s="2">
        <v>85</v>
      </c>
      <c r="AB143" s="2" t="s">
        <v>719</v>
      </c>
      <c r="AC143" s="2">
        <v>85</v>
      </c>
      <c r="AD143" s="2">
        <v>3</v>
      </c>
      <c r="AE143" s="2">
        <v>90</v>
      </c>
      <c r="AG143" s="2">
        <v>25</v>
      </c>
      <c r="AH143" s="2" t="s">
        <v>720</v>
      </c>
      <c r="AI143" s="2">
        <v>90</v>
      </c>
      <c r="AK143" s="2">
        <v>20</v>
      </c>
    </row>
    <row r="144" spans="1:37" x14ac:dyDescent="0.25">
      <c r="A144" s="2" t="s">
        <v>188</v>
      </c>
      <c r="B144" s="2" t="s">
        <v>256</v>
      </c>
      <c r="C144" s="2" t="s">
        <v>9</v>
      </c>
      <c r="D144" s="3">
        <v>46080.537812499999</v>
      </c>
      <c r="E144" s="2">
        <v>79.78</v>
      </c>
      <c r="F144" s="2">
        <v>156</v>
      </c>
      <c r="G144" s="2">
        <v>0</v>
      </c>
      <c r="I144" s="2" t="s">
        <v>721</v>
      </c>
      <c r="J144" s="2" t="s">
        <v>258</v>
      </c>
      <c r="K144" s="2">
        <v>1</v>
      </c>
      <c r="L144" s="2">
        <v>3501022495</v>
      </c>
      <c r="M144" s="2">
        <v>98</v>
      </c>
      <c r="N144" s="2" t="s">
        <v>722</v>
      </c>
      <c r="O144" s="2">
        <v>95</v>
      </c>
      <c r="P144" s="2" t="s">
        <v>260</v>
      </c>
      <c r="Q144" s="2">
        <v>96</v>
      </c>
      <c r="R144" s="2" t="s">
        <v>723</v>
      </c>
      <c r="S144" s="2">
        <v>90</v>
      </c>
      <c r="T144" s="2" t="s">
        <v>724</v>
      </c>
      <c r="U144" s="2">
        <v>92</v>
      </c>
      <c r="V144" s="2" t="s">
        <v>263</v>
      </c>
      <c r="W144" s="2">
        <v>95</v>
      </c>
      <c r="X144" s="2">
        <v>1</v>
      </c>
      <c r="Y144" s="2">
        <v>90</v>
      </c>
      <c r="Z144" s="2" t="s">
        <v>725</v>
      </c>
      <c r="AA144" s="2">
        <v>94</v>
      </c>
      <c r="AB144" s="2" t="s">
        <v>726</v>
      </c>
      <c r="AC144" s="2">
        <v>92</v>
      </c>
      <c r="AD144" s="2">
        <v>2</v>
      </c>
      <c r="AE144" s="2">
        <v>93</v>
      </c>
      <c r="AF144" s="2" t="s">
        <v>727</v>
      </c>
      <c r="AG144" s="2">
        <v>80</v>
      </c>
      <c r="AH144" s="2" t="s">
        <v>728</v>
      </c>
      <c r="AI144" s="2">
        <v>94</v>
      </c>
      <c r="AJ144" s="2" t="s">
        <v>350</v>
      </c>
      <c r="AK144" s="2">
        <v>96</v>
      </c>
    </row>
    <row r="145" spans="1:37" x14ac:dyDescent="0.25">
      <c r="A145" s="2" t="s">
        <v>188</v>
      </c>
      <c r="B145" s="2" t="s">
        <v>256</v>
      </c>
      <c r="C145" s="2" t="s">
        <v>9</v>
      </c>
      <c r="D145" s="3">
        <v>46080.537812499999</v>
      </c>
      <c r="E145" s="2">
        <v>79.78</v>
      </c>
      <c r="F145" s="2">
        <v>156</v>
      </c>
      <c r="G145" s="2">
        <v>0</v>
      </c>
      <c r="I145" s="2" t="s">
        <v>721</v>
      </c>
      <c r="J145" s="2" t="s">
        <v>258</v>
      </c>
      <c r="K145" s="2">
        <v>2</v>
      </c>
      <c r="L145" s="2">
        <v>3501022495</v>
      </c>
      <c r="M145" s="2">
        <v>50</v>
      </c>
      <c r="N145" s="2" t="s">
        <v>722</v>
      </c>
      <c r="O145" s="2">
        <v>50</v>
      </c>
      <c r="P145" s="2" t="s">
        <v>260</v>
      </c>
      <c r="Q145" s="2">
        <v>50</v>
      </c>
      <c r="R145" s="2" t="s">
        <v>723</v>
      </c>
      <c r="S145" s="2">
        <v>50</v>
      </c>
      <c r="T145" s="2" t="s">
        <v>724</v>
      </c>
      <c r="U145" s="2">
        <v>50</v>
      </c>
      <c r="V145" s="2" t="s">
        <v>263</v>
      </c>
      <c r="W145" s="2">
        <v>50</v>
      </c>
      <c r="X145" s="2">
        <v>2</v>
      </c>
      <c r="Y145" s="2">
        <v>50</v>
      </c>
      <c r="Z145" s="2" t="s">
        <v>729</v>
      </c>
      <c r="AA145" s="2">
        <v>94</v>
      </c>
      <c r="AB145" s="2" t="s">
        <v>730</v>
      </c>
      <c r="AC145" s="2">
        <v>92</v>
      </c>
      <c r="AD145" s="2">
        <v>4</v>
      </c>
      <c r="AE145" s="2">
        <v>92</v>
      </c>
      <c r="AF145" s="2" t="s">
        <v>731</v>
      </c>
      <c r="AG145" s="2">
        <v>80</v>
      </c>
      <c r="AH145" s="2" t="s">
        <v>732</v>
      </c>
      <c r="AI145" s="2">
        <v>93</v>
      </c>
      <c r="AJ145" s="2" t="s">
        <v>277</v>
      </c>
      <c r="AK145" s="2">
        <v>95</v>
      </c>
    </row>
    <row r="146" spans="1:37" x14ac:dyDescent="0.25">
      <c r="A146" s="2" t="s">
        <v>188</v>
      </c>
      <c r="B146" s="2" t="s">
        <v>256</v>
      </c>
      <c r="C146" s="2" t="s">
        <v>9</v>
      </c>
      <c r="D146" s="3">
        <v>46080.537812499999</v>
      </c>
      <c r="E146" s="2">
        <v>79.78</v>
      </c>
      <c r="F146" s="2">
        <v>156</v>
      </c>
      <c r="G146" s="2">
        <v>0</v>
      </c>
      <c r="I146" s="2" t="s">
        <v>721</v>
      </c>
      <c r="J146" s="2" t="s">
        <v>258</v>
      </c>
      <c r="K146" s="2">
        <v>3</v>
      </c>
      <c r="L146" s="2">
        <v>3501022495</v>
      </c>
      <c r="M146" s="2">
        <v>50</v>
      </c>
      <c r="N146" s="2" t="s">
        <v>722</v>
      </c>
      <c r="O146" s="2">
        <v>50</v>
      </c>
      <c r="P146" s="2" t="s">
        <v>260</v>
      </c>
      <c r="Q146" s="2">
        <v>50</v>
      </c>
      <c r="R146" s="2" t="s">
        <v>723</v>
      </c>
      <c r="S146" s="2">
        <v>50</v>
      </c>
      <c r="T146" s="2" t="s">
        <v>724</v>
      </c>
      <c r="U146" s="2">
        <v>50</v>
      </c>
      <c r="V146" s="2" t="s">
        <v>263</v>
      </c>
      <c r="W146" s="2">
        <v>50</v>
      </c>
      <c r="X146" s="2">
        <v>3</v>
      </c>
      <c r="Y146" s="2">
        <v>50</v>
      </c>
      <c r="Z146" s="2" t="s">
        <v>733</v>
      </c>
      <c r="AA146" s="2">
        <v>94</v>
      </c>
      <c r="AB146" s="2" t="s">
        <v>734</v>
      </c>
      <c r="AC146" s="2">
        <v>92</v>
      </c>
      <c r="AD146" s="2">
        <v>6</v>
      </c>
      <c r="AE146" s="2">
        <v>92</v>
      </c>
      <c r="AF146" s="2" t="s">
        <v>735</v>
      </c>
      <c r="AG146" s="2">
        <v>80</v>
      </c>
      <c r="AH146" s="2" t="s">
        <v>736</v>
      </c>
      <c r="AI146" s="2">
        <v>93</v>
      </c>
      <c r="AJ146" s="2" t="s">
        <v>277</v>
      </c>
      <c r="AK146" s="2">
        <v>95</v>
      </c>
    </row>
    <row r="147" spans="1:37" x14ac:dyDescent="0.25">
      <c r="A147" s="2" t="s">
        <v>188</v>
      </c>
      <c r="B147" s="2" t="s">
        <v>256</v>
      </c>
      <c r="C147" s="2" t="s">
        <v>9</v>
      </c>
      <c r="D147" s="3">
        <v>46080.537812499999</v>
      </c>
      <c r="E147" s="2">
        <v>79.78</v>
      </c>
      <c r="F147" s="2">
        <v>156</v>
      </c>
      <c r="G147" s="2">
        <v>0</v>
      </c>
      <c r="I147" s="2" t="s">
        <v>721</v>
      </c>
      <c r="J147" s="2" t="s">
        <v>258</v>
      </c>
      <c r="K147" s="2">
        <v>4</v>
      </c>
      <c r="L147" s="2">
        <v>3501022495</v>
      </c>
      <c r="M147" s="2">
        <v>50</v>
      </c>
      <c r="N147" s="2" t="s">
        <v>722</v>
      </c>
      <c r="O147" s="2">
        <v>50</v>
      </c>
      <c r="P147" s="2" t="s">
        <v>260</v>
      </c>
      <c r="Q147" s="2">
        <v>50</v>
      </c>
      <c r="R147" s="2" t="s">
        <v>723</v>
      </c>
      <c r="S147" s="2">
        <v>50</v>
      </c>
      <c r="T147" s="2" t="s">
        <v>724</v>
      </c>
      <c r="U147" s="2">
        <v>50</v>
      </c>
      <c r="V147" s="2" t="s">
        <v>263</v>
      </c>
      <c r="W147" s="2">
        <v>50</v>
      </c>
      <c r="X147" s="2">
        <v>4</v>
      </c>
      <c r="Y147" s="2">
        <v>50</v>
      </c>
      <c r="Z147" s="2" t="s">
        <v>737</v>
      </c>
      <c r="AA147" s="2">
        <v>94</v>
      </c>
      <c r="AB147" s="2" t="s">
        <v>738</v>
      </c>
      <c r="AC147" s="2">
        <v>92</v>
      </c>
      <c r="AD147" s="2">
        <v>2</v>
      </c>
      <c r="AE147" s="2">
        <v>92</v>
      </c>
      <c r="AF147" s="2" t="s">
        <v>739</v>
      </c>
      <c r="AG147" s="2">
        <v>80</v>
      </c>
      <c r="AH147" s="2" t="s">
        <v>740</v>
      </c>
      <c r="AI147" s="2">
        <v>93</v>
      </c>
      <c r="AJ147" s="2" t="s">
        <v>277</v>
      </c>
      <c r="AK147" s="2">
        <v>95</v>
      </c>
    </row>
    <row r="148" spans="1:37" x14ac:dyDescent="0.25">
      <c r="A148" s="2" t="s">
        <v>188</v>
      </c>
      <c r="B148" s="2" t="s">
        <v>256</v>
      </c>
      <c r="C148" s="2" t="s">
        <v>9</v>
      </c>
      <c r="D148" s="3">
        <v>46080.537812499999</v>
      </c>
      <c r="E148" s="2">
        <v>79.78</v>
      </c>
      <c r="F148" s="2">
        <v>156</v>
      </c>
      <c r="G148" s="2">
        <v>0</v>
      </c>
      <c r="I148" s="2" t="s">
        <v>721</v>
      </c>
      <c r="J148" s="2" t="s">
        <v>258</v>
      </c>
      <c r="K148" s="2">
        <v>5</v>
      </c>
      <c r="L148" s="2">
        <v>3501022495</v>
      </c>
      <c r="M148" s="2">
        <v>50</v>
      </c>
      <c r="N148" s="2" t="s">
        <v>722</v>
      </c>
      <c r="O148" s="2">
        <v>50</v>
      </c>
      <c r="P148" s="2" t="s">
        <v>260</v>
      </c>
      <c r="Q148" s="2">
        <v>50</v>
      </c>
      <c r="R148" s="2" t="s">
        <v>723</v>
      </c>
      <c r="S148" s="2">
        <v>50</v>
      </c>
      <c r="T148" s="2" t="s">
        <v>724</v>
      </c>
      <c r="U148" s="2">
        <v>50</v>
      </c>
      <c r="V148" s="2" t="s">
        <v>263</v>
      </c>
      <c r="W148" s="2">
        <v>50</v>
      </c>
      <c r="X148" s="2">
        <v>5</v>
      </c>
      <c r="Y148" s="2">
        <v>50</v>
      </c>
      <c r="Z148" s="2" t="s">
        <v>741</v>
      </c>
      <c r="AA148" s="2">
        <v>94</v>
      </c>
      <c r="AB148" s="2" t="s">
        <v>742</v>
      </c>
      <c r="AC148" s="2">
        <v>92</v>
      </c>
      <c r="AD148" s="2">
        <v>2</v>
      </c>
      <c r="AE148" s="2">
        <v>92</v>
      </c>
      <c r="AF148" s="2" t="s">
        <v>739</v>
      </c>
      <c r="AG148" s="2">
        <v>80</v>
      </c>
      <c r="AH148" s="2" t="s">
        <v>740</v>
      </c>
      <c r="AI148" s="2">
        <v>93</v>
      </c>
      <c r="AJ148" s="2" t="s">
        <v>277</v>
      </c>
      <c r="AK148" s="2">
        <v>95</v>
      </c>
    </row>
    <row r="149" spans="1:37" x14ac:dyDescent="0.25">
      <c r="A149" s="2" t="s">
        <v>188</v>
      </c>
      <c r="B149" s="2" t="s">
        <v>256</v>
      </c>
      <c r="C149" s="2" t="s">
        <v>9</v>
      </c>
      <c r="D149" s="3">
        <v>46080.537812499999</v>
      </c>
      <c r="E149" s="2">
        <v>79.78</v>
      </c>
      <c r="F149" s="2">
        <v>156</v>
      </c>
      <c r="G149" s="2">
        <v>0</v>
      </c>
      <c r="I149" s="2" t="s">
        <v>721</v>
      </c>
      <c r="J149" s="2" t="s">
        <v>258</v>
      </c>
      <c r="K149" s="2">
        <v>6</v>
      </c>
      <c r="L149" s="2">
        <v>3501022495</v>
      </c>
      <c r="M149" s="2">
        <v>50</v>
      </c>
      <c r="N149" s="2" t="s">
        <v>722</v>
      </c>
      <c r="O149" s="2">
        <v>50</v>
      </c>
      <c r="P149" s="2" t="s">
        <v>260</v>
      </c>
      <c r="Q149" s="2">
        <v>50</v>
      </c>
      <c r="R149" s="2" t="s">
        <v>723</v>
      </c>
      <c r="S149" s="2">
        <v>50</v>
      </c>
      <c r="T149" s="2" t="s">
        <v>724</v>
      </c>
      <c r="U149" s="2">
        <v>50</v>
      </c>
      <c r="V149" s="2" t="s">
        <v>263</v>
      </c>
      <c r="W149" s="2">
        <v>50</v>
      </c>
      <c r="X149" s="2">
        <v>6</v>
      </c>
      <c r="Y149" s="2">
        <v>50</v>
      </c>
      <c r="Z149" s="2" t="s">
        <v>743</v>
      </c>
      <c r="AA149" s="2">
        <v>94</v>
      </c>
      <c r="AB149" s="2" t="s">
        <v>744</v>
      </c>
      <c r="AC149" s="2">
        <v>92</v>
      </c>
      <c r="AD149" s="2">
        <v>1</v>
      </c>
      <c r="AE149" s="2">
        <v>92</v>
      </c>
      <c r="AF149" s="2" t="s">
        <v>739</v>
      </c>
      <c r="AG149" s="2">
        <v>80</v>
      </c>
      <c r="AH149" s="2" t="s">
        <v>740</v>
      </c>
      <c r="AI149" s="2">
        <v>93</v>
      </c>
      <c r="AJ149" s="2" t="s">
        <v>277</v>
      </c>
      <c r="AK149" s="2">
        <v>95</v>
      </c>
    </row>
    <row r="150" spans="1:37" x14ac:dyDescent="0.25">
      <c r="A150" s="2" t="s">
        <v>188</v>
      </c>
      <c r="B150" s="2" t="s">
        <v>256</v>
      </c>
      <c r="C150" s="2" t="s">
        <v>9</v>
      </c>
      <c r="D150" s="3">
        <v>46080.537812499999</v>
      </c>
      <c r="E150" s="2">
        <v>79.78</v>
      </c>
      <c r="F150" s="2">
        <v>156</v>
      </c>
      <c r="G150" s="2">
        <v>0</v>
      </c>
      <c r="I150" s="2" t="s">
        <v>721</v>
      </c>
      <c r="J150" s="2" t="s">
        <v>258</v>
      </c>
      <c r="K150" s="2">
        <v>7</v>
      </c>
      <c r="L150" s="2">
        <v>3501022495</v>
      </c>
      <c r="M150" s="2">
        <v>50</v>
      </c>
      <c r="N150" s="2" t="s">
        <v>722</v>
      </c>
      <c r="O150" s="2">
        <v>50</v>
      </c>
      <c r="P150" s="2" t="s">
        <v>260</v>
      </c>
      <c r="Q150" s="2">
        <v>50</v>
      </c>
      <c r="R150" s="2" t="s">
        <v>723</v>
      </c>
      <c r="S150" s="2">
        <v>50</v>
      </c>
      <c r="T150" s="2" t="s">
        <v>724</v>
      </c>
      <c r="U150" s="2">
        <v>50</v>
      </c>
      <c r="V150" s="2" t="s">
        <v>263</v>
      </c>
      <c r="W150" s="2">
        <v>50</v>
      </c>
      <c r="X150" s="2">
        <v>7</v>
      </c>
      <c r="Y150" s="2">
        <v>50</v>
      </c>
      <c r="Z150" s="2" t="s">
        <v>745</v>
      </c>
      <c r="AA150" s="2">
        <v>94</v>
      </c>
      <c r="AB150" s="2" t="s">
        <v>746</v>
      </c>
      <c r="AC150" s="2">
        <v>91</v>
      </c>
      <c r="AD150" s="2">
        <v>1</v>
      </c>
      <c r="AE150" s="2">
        <v>92</v>
      </c>
      <c r="AF150" s="2" t="s">
        <v>747</v>
      </c>
      <c r="AG150" s="2">
        <v>80</v>
      </c>
      <c r="AH150" s="2" t="s">
        <v>748</v>
      </c>
      <c r="AI150" s="2">
        <v>94</v>
      </c>
      <c r="AJ150" s="2" t="s">
        <v>277</v>
      </c>
      <c r="AK150" s="2">
        <v>95</v>
      </c>
    </row>
    <row r="151" spans="1:37" x14ac:dyDescent="0.25">
      <c r="A151" s="2" t="s">
        <v>188</v>
      </c>
      <c r="B151" s="2" t="s">
        <v>256</v>
      </c>
      <c r="C151" s="2" t="s">
        <v>9</v>
      </c>
      <c r="D151" s="3">
        <v>46080.537812499999</v>
      </c>
      <c r="E151" s="2">
        <v>79.78</v>
      </c>
      <c r="F151" s="2">
        <v>156</v>
      </c>
      <c r="G151" s="2">
        <v>0</v>
      </c>
      <c r="I151" s="2" t="s">
        <v>721</v>
      </c>
      <c r="J151" s="2" t="s">
        <v>258</v>
      </c>
      <c r="K151" s="2">
        <v>8</v>
      </c>
      <c r="L151" s="2">
        <v>3501022495</v>
      </c>
      <c r="M151" s="2">
        <v>50</v>
      </c>
      <c r="N151" s="2" t="s">
        <v>722</v>
      </c>
      <c r="O151" s="2">
        <v>50</v>
      </c>
      <c r="P151" s="2" t="s">
        <v>260</v>
      </c>
      <c r="Q151" s="2">
        <v>50</v>
      </c>
      <c r="R151" s="2" t="s">
        <v>723</v>
      </c>
      <c r="S151" s="2">
        <v>50</v>
      </c>
      <c r="T151" s="2" t="s">
        <v>724</v>
      </c>
      <c r="U151" s="2">
        <v>50</v>
      </c>
      <c r="V151" s="2" t="s">
        <v>263</v>
      </c>
      <c r="W151" s="2">
        <v>50</v>
      </c>
      <c r="X151" s="2">
        <v>8</v>
      </c>
      <c r="Y151" s="2">
        <v>50</v>
      </c>
      <c r="Z151" s="2" t="s">
        <v>749</v>
      </c>
      <c r="AA151" s="2">
        <v>94</v>
      </c>
      <c r="AB151" s="2" t="s">
        <v>750</v>
      </c>
      <c r="AC151" s="2">
        <v>92</v>
      </c>
      <c r="AD151" s="2">
        <v>3</v>
      </c>
      <c r="AE151" s="2">
        <v>92</v>
      </c>
      <c r="AF151" s="2" t="s">
        <v>731</v>
      </c>
      <c r="AG151" s="2">
        <v>80</v>
      </c>
      <c r="AH151" s="2" t="s">
        <v>751</v>
      </c>
      <c r="AI151" s="2">
        <v>93</v>
      </c>
      <c r="AJ151" s="2" t="s">
        <v>277</v>
      </c>
      <c r="AK151" s="2">
        <v>95</v>
      </c>
    </row>
    <row r="152" spans="1:37" x14ac:dyDescent="0.25">
      <c r="A152" s="2" t="s">
        <v>188</v>
      </c>
      <c r="B152" s="2" t="s">
        <v>256</v>
      </c>
      <c r="C152" s="2" t="s">
        <v>9</v>
      </c>
      <c r="D152" s="3">
        <v>46080.537812499999</v>
      </c>
      <c r="E152" s="2">
        <v>79.78</v>
      </c>
      <c r="F152" s="2">
        <v>156</v>
      </c>
      <c r="G152" s="2">
        <v>0</v>
      </c>
      <c r="I152" s="2" t="s">
        <v>721</v>
      </c>
      <c r="J152" s="2" t="s">
        <v>258</v>
      </c>
      <c r="K152" s="2">
        <v>9</v>
      </c>
      <c r="L152" s="2">
        <v>3501022495</v>
      </c>
      <c r="M152" s="2">
        <v>50</v>
      </c>
      <c r="N152" s="2" t="s">
        <v>722</v>
      </c>
      <c r="O152" s="2">
        <v>50</v>
      </c>
      <c r="P152" s="2" t="s">
        <v>260</v>
      </c>
      <c r="Q152" s="2">
        <v>50</v>
      </c>
      <c r="R152" s="2" t="s">
        <v>723</v>
      </c>
      <c r="S152" s="2">
        <v>50</v>
      </c>
      <c r="T152" s="2" t="s">
        <v>724</v>
      </c>
      <c r="U152" s="2">
        <v>50</v>
      </c>
      <c r="V152" s="2" t="s">
        <v>263</v>
      </c>
      <c r="W152" s="2">
        <v>50</v>
      </c>
      <c r="X152" s="2">
        <v>9</v>
      </c>
      <c r="Y152" s="2">
        <v>50</v>
      </c>
      <c r="Z152" s="2" t="s">
        <v>752</v>
      </c>
      <c r="AA152" s="2">
        <v>94</v>
      </c>
      <c r="AB152" s="2" t="s">
        <v>753</v>
      </c>
      <c r="AC152" s="2">
        <v>92</v>
      </c>
      <c r="AD152" s="2">
        <v>30</v>
      </c>
      <c r="AE152" s="2">
        <v>92</v>
      </c>
      <c r="AF152" s="2" t="s">
        <v>754</v>
      </c>
      <c r="AG152" s="2">
        <v>80</v>
      </c>
      <c r="AH152" s="2" t="s">
        <v>755</v>
      </c>
      <c r="AI152" s="2">
        <v>93</v>
      </c>
      <c r="AJ152" s="2" t="s">
        <v>277</v>
      </c>
      <c r="AK152" s="2">
        <v>95</v>
      </c>
    </row>
    <row r="153" spans="1:37" x14ac:dyDescent="0.25">
      <c r="A153" s="2" t="s">
        <v>188</v>
      </c>
      <c r="B153" s="2" t="s">
        <v>256</v>
      </c>
      <c r="C153" s="2" t="s">
        <v>9</v>
      </c>
      <c r="D153" s="3">
        <v>46080.537812499999</v>
      </c>
      <c r="E153" s="2">
        <v>79.78</v>
      </c>
      <c r="F153" s="2">
        <v>156</v>
      </c>
      <c r="G153" s="2">
        <v>0</v>
      </c>
      <c r="I153" s="2" t="s">
        <v>721</v>
      </c>
      <c r="J153" s="2" t="s">
        <v>258</v>
      </c>
      <c r="K153" s="2">
        <v>10</v>
      </c>
      <c r="L153" s="2">
        <v>3501022495</v>
      </c>
      <c r="M153" s="2">
        <v>50</v>
      </c>
      <c r="N153" s="2" t="s">
        <v>722</v>
      </c>
      <c r="O153" s="2">
        <v>50</v>
      </c>
      <c r="P153" s="2" t="s">
        <v>260</v>
      </c>
      <c r="Q153" s="2">
        <v>50</v>
      </c>
      <c r="R153" s="2" t="s">
        <v>723</v>
      </c>
      <c r="S153" s="2">
        <v>50</v>
      </c>
      <c r="T153" s="2" t="s">
        <v>724</v>
      </c>
      <c r="U153" s="2">
        <v>50</v>
      </c>
      <c r="V153" s="2" t="s">
        <v>263</v>
      </c>
      <c r="W153" s="2">
        <v>50</v>
      </c>
      <c r="X153" s="2">
        <v>10</v>
      </c>
      <c r="Y153" s="2">
        <v>50</v>
      </c>
      <c r="Z153" s="2" t="s">
        <v>756</v>
      </c>
      <c r="AA153" s="2">
        <v>94</v>
      </c>
      <c r="AB153" s="2" t="s">
        <v>757</v>
      </c>
      <c r="AC153" s="2">
        <v>92</v>
      </c>
      <c r="AD153" s="2">
        <v>2</v>
      </c>
      <c r="AE153" s="2">
        <v>92</v>
      </c>
      <c r="AF153" s="2" t="s">
        <v>758</v>
      </c>
      <c r="AG153" s="2">
        <v>80</v>
      </c>
      <c r="AH153" s="2" t="s">
        <v>759</v>
      </c>
      <c r="AI153" s="2">
        <v>93</v>
      </c>
      <c r="AJ153" s="2" t="s">
        <v>277</v>
      </c>
      <c r="AK153" s="2">
        <v>95</v>
      </c>
    </row>
    <row r="154" spans="1:37" x14ac:dyDescent="0.25">
      <c r="A154" s="2" t="s">
        <v>188</v>
      </c>
      <c r="B154" s="2" t="s">
        <v>256</v>
      </c>
      <c r="C154" s="2" t="s">
        <v>9</v>
      </c>
      <c r="D154" s="3">
        <v>46080.537812499999</v>
      </c>
      <c r="E154" s="2">
        <v>79.78</v>
      </c>
      <c r="F154" s="2">
        <v>156</v>
      </c>
      <c r="G154" s="2">
        <v>0</v>
      </c>
      <c r="I154" s="2" t="s">
        <v>721</v>
      </c>
      <c r="J154" s="2" t="s">
        <v>258</v>
      </c>
      <c r="K154" s="2">
        <v>11</v>
      </c>
      <c r="L154" s="2">
        <v>3501022495</v>
      </c>
      <c r="M154" s="2">
        <v>50</v>
      </c>
      <c r="N154" s="2" t="s">
        <v>722</v>
      </c>
      <c r="O154" s="2">
        <v>50</v>
      </c>
      <c r="P154" s="2" t="s">
        <v>260</v>
      </c>
      <c r="Q154" s="2">
        <v>50</v>
      </c>
      <c r="R154" s="2" t="s">
        <v>723</v>
      </c>
      <c r="S154" s="2">
        <v>50</v>
      </c>
      <c r="T154" s="2" t="s">
        <v>724</v>
      </c>
      <c r="U154" s="2">
        <v>50</v>
      </c>
      <c r="V154" s="2" t="s">
        <v>263</v>
      </c>
      <c r="W154" s="2">
        <v>50</v>
      </c>
      <c r="X154" s="2">
        <v>11</v>
      </c>
      <c r="Y154" s="2">
        <v>50</v>
      </c>
      <c r="Z154" s="2" t="s">
        <v>760</v>
      </c>
      <c r="AA154" s="2">
        <v>94</v>
      </c>
      <c r="AB154" s="2" t="s">
        <v>761</v>
      </c>
      <c r="AC154" s="2">
        <v>90</v>
      </c>
      <c r="AD154" s="2">
        <v>3</v>
      </c>
      <c r="AE154" s="2">
        <v>92</v>
      </c>
      <c r="AF154" s="2" t="s">
        <v>762</v>
      </c>
      <c r="AG154" s="2">
        <v>80</v>
      </c>
      <c r="AH154" s="2" t="s">
        <v>763</v>
      </c>
      <c r="AI154" s="2">
        <v>93</v>
      </c>
      <c r="AJ154" s="2" t="s">
        <v>277</v>
      </c>
      <c r="AK154" s="2">
        <v>95</v>
      </c>
    </row>
    <row r="155" spans="1:37" x14ac:dyDescent="0.25">
      <c r="A155" s="2" t="s">
        <v>188</v>
      </c>
      <c r="B155" s="2" t="s">
        <v>256</v>
      </c>
      <c r="C155" s="2" t="s">
        <v>9</v>
      </c>
      <c r="D155" s="3">
        <v>46080.537812499999</v>
      </c>
      <c r="E155" s="2">
        <v>79.78</v>
      </c>
      <c r="F155" s="2">
        <v>156</v>
      </c>
      <c r="G155" s="2">
        <v>0</v>
      </c>
      <c r="I155" s="2" t="s">
        <v>721</v>
      </c>
      <c r="J155" s="2" t="s">
        <v>258</v>
      </c>
      <c r="K155" s="2">
        <v>12</v>
      </c>
      <c r="L155" s="2">
        <v>3501022495</v>
      </c>
      <c r="M155" s="2">
        <v>50</v>
      </c>
      <c r="N155" s="2" t="s">
        <v>722</v>
      </c>
      <c r="O155" s="2">
        <v>50</v>
      </c>
      <c r="P155" s="2" t="s">
        <v>260</v>
      </c>
      <c r="Q155" s="2">
        <v>50</v>
      </c>
      <c r="R155" s="2" t="s">
        <v>723</v>
      </c>
      <c r="S155" s="2">
        <v>50</v>
      </c>
      <c r="T155" s="2" t="s">
        <v>724</v>
      </c>
      <c r="U155" s="2">
        <v>50</v>
      </c>
      <c r="V155" s="2" t="s">
        <v>263</v>
      </c>
      <c r="W155" s="2">
        <v>50</v>
      </c>
      <c r="X155" s="2">
        <v>12</v>
      </c>
      <c r="Y155" s="2">
        <v>50</v>
      </c>
      <c r="Z155" s="2" t="s">
        <v>764</v>
      </c>
      <c r="AA155" s="2">
        <v>94</v>
      </c>
      <c r="AB155" s="2" t="s">
        <v>765</v>
      </c>
      <c r="AC155" s="2">
        <v>92</v>
      </c>
      <c r="AD155" s="2">
        <v>3</v>
      </c>
      <c r="AE155" s="2">
        <v>92</v>
      </c>
      <c r="AF155" s="2" t="s">
        <v>766</v>
      </c>
      <c r="AG155" s="2">
        <v>80</v>
      </c>
      <c r="AH155" s="2" t="s">
        <v>767</v>
      </c>
      <c r="AI155" s="2">
        <v>93</v>
      </c>
      <c r="AJ155" s="2" t="s">
        <v>277</v>
      </c>
      <c r="AK155" s="2">
        <v>95</v>
      </c>
    </row>
    <row r="156" spans="1:37" x14ac:dyDescent="0.25">
      <c r="A156" s="2" t="s">
        <v>109</v>
      </c>
      <c r="B156" s="2" t="s">
        <v>256</v>
      </c>
      <c r="C156" s="2" t="s">
        <v>9</v>
      </c>
      <c r="D156" s="3">
        <v>46080.537812499999</v>
      </c>
      <c r="E156" s="2">
        <v>91.03</v>
      </c>
      <c r="F156" s="2">
        <v>13</v>
      </c>
      <c r="G156" s="2">
        <v>0</v>
      </c>
      <c r="I156" s="2" t="s">
        <v>768</v>
      </c>
      <c r="J156" s="2" t="s">
        <v>258</v>
      </c>
      <c r="K156" s="2">
        <v>1</v>
      </c>
      <c r="L156" s="2">
        <v>3505026688</v>
      </c>
      <c r="M156" s="2">
        <v>98</v>
      </c>
      <c r="N156" s="2" t="s">
        <v>769</v>
      </c>
      <c r="O156" s="2">
        <v>92</v>
      </c>
      <c r="P156" s="2" t="s">
        <v>260</v>
      </c>
      <c r="Q156" s="2">
        <v>95</v>
      </c>
      <c r="R156" s="2" t="s">
        <v>770</v>
      </c>
      <c r="S156" s="2">
        <v>90</v>
      </c>
      <c r="T156" s="2" t="s">
        <v>771</v>
      </c>
      <c r="U156" s="2">
        <v>85</v>
      </c>
      <c r="V156" s="2" t="s">
        <v>263</v>
      </c>
      <c r="W156" s="2">
        <v>96</v>
      </c>
      <c r="X156" s="2">
        <v>1</v>
      </c>
      <c r="Y156" s="2">
        <v>95</v>
      </c>
      <c r="Z156" s="2" t="s">
        <v>772</v>
      </c>
      <c r="AA156" s="2">
        <v>95</v>
      </c>
      <c r="AB156" s="2" t="s">
        <v>773</v>
      </c>
      <c r="AC156" s="2">
        <v>90</v>
      </c>
      <c r="AD156" s="2">
        <v>96</v>
      </c>
      <c r="AE156" s="2">
        <v>95</v>
      </c>
      <c r="AF156" s="2" t="s">
        <v>774</v>
      </c>
      <c r="AG156" s="2">
        <v>40</v>
      </c>
      <c r="AH156" s="2" t="s">
        <v>775</v>
      </c>
      <c r="AI156" s="2">
        <v>95</v>
      </c>
      <c r="AJ156" s="2" t="s">
        <v>381</v>
      </c>
      <c r="AK156" s="2">
        <v>95</v>
      </c>
    </row>
    <row r="157" spans="1:37" x14ac:dyDescent="0.25">
      <c r="A157" s="2" t="s">
        <v>171</v>
      </c>
      <c r="B157" s="2" t="s">
        <v>256</v>
      </c>
      <c r="C157" s="2" t="s">
        <v>9</v>
      </c>
      <c r="D157" s="3">
        <v>46080.537488425922</v>
      </c>
      <c r="E157" s="2">
        <v>90.31</v>
      </c>
      <c r="F157" s="2">
        <v>26</v>
      </c>
      <c r="G157" s="2">
        <v>0</v>
      </c>
      <c r="I157" s="2" t="s">
        <v>776</v>
      </c>
      <c r="J157" s="2" t="s">
        <v>258</v>
      </c>
      <c r="K157" s="2">
        <v>1</v>
      </c>
      <c r="L157" s="2">
        <v>2501201307</v>
      </c>
      <c r="M157" s="2">
        <v>98</v>
      </c>
      <c r="N157" s="2" t="s">
        <v>777</v>
      </c>
      <c r="O157" s="2">
        <v>95</v>
      </c>
      <c r="P157" s="2" t="s">
        <v>260</v>
      </c>
      <c r="Q157" s="2">
        <v>95</v>
      </c>
      <c r="R157" s="2" t="s">
        <v>668</v>
      </c>
      <c r="S157" s="2">
        <v>90</v>
      </c>
      <c r="T157" s="2" t="s">
        <v>669</v>
      </c>
      <c r="U157" s="2">
        <v>92</v>
      </c>
      <c r="V157" s="2" t="s">
        <v>263</v>
      </c>
      <c r="W157" s="2">
        <v>95</v>
      </c>
      <c r="X157" s="2">
        <v>1</v>
      </c>
      <c r="Y157" s="2">
        <v>90</v>
      </c>
      <c r="Z157" s="2" t="s">
        <v>778</v>
      </c>
      <c r="AA157" s="2">
        <v>92</v>
      </c>
      <c r="AB157" s="2" t="s">
        <v>779</v>
      </c>
      <c r="AC157" s="2">
        <v>88</v>
      </c>
      <c r="AD157" s="2">
        <v>10</v>
      </c>
      <c r="AE157" s="2">
        <v>95</v>
      </c>
      <c r="AF157" s="2" t="s">
        <v>672</v>
      </c>
      <c r="AG157" s="2">
        <v>90</v>
      </c>
      <c r="AH157" s="2" t="s">
        <v>780</v>
      </c>
      <c r="AI157" s="2">
        <v>92</v>
      </c>
      <c r="AJ157" s="2" t="s">
        <v>381</v>
      </c>
      <c r="AK157" s="2">
        <v>96</v>
      </c>
    </row>
    <row r="158" spans="1:37" x14ac:dyDescent="0.25">
      <c r="A158" s="2" t="s">
        <v>171</v>
      </c>
      <c r="B158" s="2" t="s">
        <v>256</v>
      </c>
      <c r="C158" s="2" t="s">
        <v>9</v>
      </c>
      <c r="D158" s="3">
        <v>46080.537488425922</v>
      </c>
      <c r="E158" s="2">
        <v>90.31</v>
      </c>
      <c r="F158" s="2">
        <v>26</v>
      </c>
      <c r="G158" s="2">
        <v>0</v>
      </c>
      <c r="I158" s="2" t="s">
        <v>776</v>
      </c>
      <c r="J158" s="2" t="s">
        <v>258</v>
      </c>
      <c r="K158" s="2">
        <v>2</v>
      </c>
      <c r="L158" s="2">
        <v>2501201307</v>
      </c>
      <c r="M158" s="2">
        <v>98</v>
      </c>
      <c r="N158" s="2" t="s">
        <v>777</v>
      </c>
      <c r="O158" s="2">
        <v>95</v>
      </c>
      <c r="P158" s="2" t="s">
        <v>260</v>
      </c>
      <c r="Q158" s="2">
        <v>95</v>
      </c>
      <c r="R158" s="2" t="s">
        <v>668</v>
      </c>
      <c r="S158" s="2">
        <v>90</v>
      </c>
      <c r="T158" s="2" t="s">
        <v>669</v>
      </c>
      <c r="U158" s="2">
        <v>92</v>
      </c>
      <c r="V158" s="2" t="s">
        <v>263</v>
      </c>
      <c r="W158" s="2">
        <v>95</v>
      </c>
      <c r="X158" s="2">
        <v>2</v>
      </c>
      <c r="Y158" s="2">
        <v>90</v>
      </c>
      <c r="Z158" s="2" t="s">
        <v>781</v>
      </c>
      <c r="AA158" s="2">
        <v>90</v>
      </c>
      <c r="AB158" s="2" t="s">
        <v>782</v>
      </c>
      <c r="AC158" s="2">
        <v>86</v>
      </c>
      <c r="AD158" s="2">
        <v>2</v>
      </c>
      <c r="AE158" s="2">
        <v>95</v>
      </c>
      <c r="AF158" s="2" t="s">
        <v>672</v>
      </c>
      <c r="AG158" s="2">
        <v>90</v>
      </c>
      <c r="AH158" s="2" t="s">
        <v>783</v>
      </c>
      <c r="AI158" s="2">
        <v>92</v>
      </c>
      <c r="AJ158" s="2" t="s">
        <v>381</v>
      </c>
      <c r="AK158" s="2">
        <v>96</v>
      </c>
    </row>
    <row r="159" spans="1:37" x14ac:dyDescent="0.25">
      <c r="A159" s="2" t="s">
        <v>146</v>
      </c>
      <c r="C159" s="2" t="s">
        <v>11</v>
      </c>
      <c r="D159" s="3">
        <v>46080.530798611115</v>
      </c>
      <c r="E159" s="2">
        <v>24</v>
      </c>
      <c r="F159" s="2">
        <v>0</v>
      </c>
      <c r="G159" s="2">
        <v>0</v>
      </c>
      <c r="I159" s="2" t="s">
        <v>784</v>
      </c>
    </row>
    <row r="160" spans="1:37" x14ac:dyDescent="0.25">
      <c r="A160" s="2" t="s">
        <v>131</v>
      </c>
      <c r="B160" s="2" t="s">
        <v>256</v>
      </c>
      <c r="C160" s="2" t="s">
        <v>9</v>
      </c>
      <c r="D160" s="3">
        <v>46080.530798611115</v>
      </c>
      <c r="E160" s="2">
        <v>91.51</v>
      </c>
      <c r="F160" s="2">
        <v>13</v>
      </c>
      <c r="G160" s="2">
        <v>0</v>
      </c>
      <c r="I160" s="2" t="s">
        <v>785</v>
      </c>
      <c r="J160" s="2" t="s">
        <v>258</v>
      </c>
      <c r="K160" s="2">
        <v>1</v>
      </c>
      <c r="L160" s="2">
        <v>1507018696</v>
      </c>
      <c r="M160" s="2">
        <v>98</v>
      </c>
      <c r="N160" s="2" t="s">
        <v>786</v>
      </c>
      <c r="O160" s="2">
        <v>95</v>
      </c>
      <c r="P160" s="2" t="s">
        <v>260</v>
      </c>
      <c r="Q160" s="2">
        <v>95</v>
      </c>
      <c r="R160" s="2" t="s">
        <v>787</v>
      </c>
      <c r="S160" s="2">
        <v>90</v>
      </c>
      <c r="T160" s="2" t="s">
        <v>272</v>
      </c>
      <c r="U160" s="2">
        <v>90</v>
      </c>
      <c r="V160" s="2" t="s">
        <v>263</v>
      </c>
      <c r="W160" s="2">
        <v>95</v>
      </c>
      <c r="X160" s="2">
        <v>1</v>
      </c>
      <c r="Y160" s="2">
        <v>90</v>
      </c>
      <c r="Z160" s="2" t="s">
        <v>788</v>
      </c>
      <c r="AA160" s="2">
        <v>98</v>
      </c>
      <c r="AB160" s="2" t="s">
        <v>789</v>
      </c>
      <c r="AC160" s="2">
        <v>95</v>
      </c>
      <c r="AD160" s="2">
        <v>22</v>
      </c>
      <c r="AE160" s="2">
        <v>90</v>
      </c>
      <c r="AF160" s="2" t="s">
        <v>790</v>
      </c>
      <c r="AG160" s="2">
        <v>70</v>
      </c>
      <c r="AH160" s="2" t="s">
        <v>791</v>
      </c>
      <c r="AI160" s="2">
        <v>95</v>
      </c>
      <c r="AJ160" s="2" t="s">
        <v>277</v>
      </c>
      <c r="AK160" s="2">
        <v>95</v>
      </c>
    </row>
    <row r="161" spans="1:37" x14ac:dyDescent="0.25">
      <c r="A161" s="2" t="s">
        <v>178</v>
      </c>
      <c r="B161" s="2" t="s">
        <v>256</v>
      </c>
      <c r="C161" s="2" t="s">
        <v>9</v>
      </c>
      <c r="D161" s="3">
        <v>46080.530798611115</v>
      </c>
      <c r="E161" s="2">
        <v>78.12</v>
      </c>
      <c r="F161" s="2">
        <v>130</v>
      </c>
      <c r="G161" s="2">
        <v>0</v>
      </c>
      <c r="I161" s="2" t="s">
        <v>792</v>
      </c>
      <c r="J161" s="2" t="s">
        <v>258</v>
      </c>
      <c r="K161" s="2">
        <v>1</v>
      </c>
      <c r="L161" s="2">
        <v>3504015927</v>
      </c>
      <c r="M161" s="2">
        <v>98</v>
      </c>
      <c r="N161" s="2" t="s">
        <v>793</v>
      </c>
      <c r="O161" s="2">
        <v>50</v>
      </c>
      <c r="P161" s="2" t="s">
        <v>260</v>
      </c>
      <c r="Q161" s="2">
        <v>50</v>
      </c>
      <c r="R161" s="2" t="s">
        <v>271</v>
      </c>
      <c r="S161" s="2">
        <v>50</v>
      </c>
      <c r="T161" s="2" t="s">
        <v>794</v>
      </c>
      <c r="U161" s="2">
        <v>50</v>
      </c>
      <c r="V161" s="2" t="s">
        <v>263</v>
      </c>
      <c r="W161" s="2">
        <v>50</v>
      </c>
      <c r="X161" s="2">
        <v>1</v>
      </c>
      <c r="Y161" s="2">
        <v>50</v>
      </c>
      <c r="Z161" s="2" t="s">
        <v>795</v>
      </c>
      <c r="AA161" s="2">
        <v>95</v>
      </c>
      <c r="AB161" s="2" t="s">
        <v>796</v>
      </c>
      <c r="AC161" s="2">
        <v>92</v>
      </c>
      <c r="AD161" s="2">
        <v>14</v>
      </c>
      <c r="AE161" s="2">
        <v>96</v>
      </c>
      <c r="AF161" s="2" t="s">
        <v>275</v>
      </c>
      <c r="AG161" s="2">
        <v>92</v>
      </c>
      <c r="AH161" s="2" t="s">
        <v>797</v>
      </c>
      <c r="AI161" s="2">
        <v>93</v>
      </c>
      <c r="AJ161" s="2" t="s">
        <v>277</v>
      </c>
      <c r="AK161" s="2">
        <v>90</v>
      </c>
    </row>
    <row r="162" spans="1:37" x14ac:dyDescent="0.25">
      <c r="A162" s="2" t="s">
        <v>178</v>
      </c>
      <c r="B162" s="2" t="s">
        <v>256</v>
      </c>
      <c r="C162" s="2" t="s">
        <v>9</v>
      </c>
      <c r="D162" s="3">
        <v>46080.530798611115</v>
      </c>
      <c r="E162" s="2">
        <v>78.12</v>
      </c>
      <c r="F162" s="2">
        <v>130</v>
      </c>
      <c r="G162" s="2">
        <v>0</v>
      </c>
      <c r="I162" s="2" t="s">
        <v>792</v>
      </c>
      <c r="J162" s="2" t="s">
        <v>258</v>
      </c>
      <c r="K162" s="2">
        <v>2</v>
      </c>
      <c r="L162" s="2">
        <v>3504015927</v>
      </c>
      <c r="M162" s="2">
        <v>98</v>
      </c>
      <c r="N162" s="2" t="s">
        <v>793</v>
      </c>
      <c r="O162" s="2">
        <v>50</v>
      </c>
      <c r="P162" s="2" t="s">
        <v>260</v>
      </c>
      <c r="Q162" s="2">
        <v>50</v>
      </c>
      <c r="R162" s="2" t="s">
        <v>271</v>
      </c>
      <c r="S162" s="2">
        <v>50</v>
      </c>
      <c r="T162" s="2" t="s">
        <v>794</v>
      </c>
      <c r="U162" s="2">
        <v>50</v>
      </c>
      <c r="V162" s="2" t="s">
        <v>263</v>
      </c>
      <c r="W162" s="2">
        <v>50</v>
      </c>
      <c r="X162" s="2">
        <v>2</v>
      </c>
      <c r="Y162" s="2">
        <v>50</v>
      </c>
      <c r="Z162" s="2" t="s">
        <v>798</v>
      </c>
      <c r="AA162" s="2">
        <v>95</v>
      </c>
      <c r="AB162" s="2" t="s">
        <v>799</v>
      </c>
      <c r="AC162" s="2">
        <v>90</v>
      </c>
      <c r="AD162" s="2">
        <v>1</v>
      </c>
      <c r="AE162" s="2">
        <v>96</v>
      </c>
      <c r="AF162" s="2" t="s">
        <v>275</v>
      </c>
      <c r="AG162" s="2">
        <v>92</v>
      </c>
      <c r="AH162" s="2" t="s">
        <v>800</v>
      </c>
      <c r="AI162" s="2">
        <v>93</v>
      </c>
      <c r="AJ162" s="2" t="s">
        <v>277</v>
      </c>
      <c r="AK162" s="2">
        <v>90</v>
      </c>
    </row>
    <row r="163" spans="1:37" x14ac:dyDescent="0.25">
      <c r="A163" s="2" t="s">
        <v>178</v>
      </c>
      <c r="B163" s="2" t="s">
        <v>256</v>
      </c>
      <c r="C163" s="2" t="s">
        <v>9</v>
      </c>
      <c r="D163" s="3">
        <v>46080.530798611115</v>
      </c>
      <c r="E163" s="2">
        <v>78.12</v>
      </c>
      <c r="F163" s="2">
        <v>130</v>
      </c>
      <c r="G163" s="2">
        <v>0</v>
      </c>
      <c r="I163" s="2" t="s">
        <v>792</v>
      </c>
      <c r="J163" s="2" t="s">
        <v>258</v>
      </c>
      <c r="K163" s="2">
        <v>3</v>
      </c>
      <c r="L163" s="2">
        <v>3504015927</v>
      </c>
      <c r="M163" s="2">
        <v>98</v>
      </c>
      <c r="N163" s="2" t="s">
        <v>793</v>
      </c>
      <c r="O163" s="2">
        <v>50</v>
      </c>
      <c r="P163" s="2" t="s">
        <v>260</v>
      </c>
      <c r="Q163" s="2">
        <v>50</v>
      </c>
      <c r="R163" s="2" t="s">
        <v>271</v>
      </c>
      <c r="S163" s="2">
        <v>50</v>
      </c>
      <c r="T163" s="2" t="s">
        <v>794</v>
      </c>
      <c r="U163" s="2">
        <v>50</v>
      </c>
      <c r="V163" s="2" t="s">
        <v>263</v>
      </c>
      <c r="W163" s="2">
        <v>50</v>
      </c>
      <c r="X163" s="2">
        <v>3</v>
      </c>
      <c r="Y163" s="2">
        <v>50</v>
      </c>
      <c r="Z163" s="2" t="s">
        <v>801</v>
      </c>
      <c r="AA163" s="2">
        <v>93</v>
      </c>
      <c r="AB163" s="2" t="s">
        <v>802</v>
      </c>
      <c r="AC163" s="2">
        <v>90</v>
      </c>
      <c r="AD163" s="2">
        <v>7</v>
      </c>
      <c r="AE163" s="2">
        <v>92</v>
      </c>
      <c r="AF163" s="2" t="s">
        <v>275</v>
      </c>
      <c r="AG163" s="2">
        <v>90</v>
      </c>
      <c r="AH163" s="2" t="s">
        <v>803</v>
      </c>
      <c r="AI163" s="2">
        <v>92</v>
      </c>
      <c r="AJ163" s="2" t="s">
        <v>277</v>
      </c>
      <c r="AK163" s="2">
        <v>88</v>
      </c>
    </row>
    <row r="164" spans="1:37" x14ac:dyDescent="0.25">
      <c r="A164" s="2" t="s">
        <v>178</v>
      </c>
      <c r="B164" s="2" t="s">
        <v>256</v>
      </c>
      <c r="C164" s="2" t="s">
        <v>9</v>
      </c>
      <c r="D164" s="3">
        <v>46080.530798611115</v>
      </c>
      <c r="E164" s="2">
        <v>78.12</v>
      </c>
      <c r="F164" s="2">
        <v>130</v>
      </c>
      <c r="G164" s="2">
        <v>0</v>
      </c>
      <c r="I164" s="2" t="s">
        <v>792</v>
      </c>
      <c r="J164" s="2" t="s">
        <v>258</v>
      </c>
      <c r="K164" s="2">
        <v>4</v>
      </c>
      <c r="L164" s="2">
        <v>3504015927</v>
      </c>
      <c r="M164" s="2">
        <v>98</v>
      </c>
      <c r="N164" s="2" t="s">
        <v>793</v>
      </c>
      <c r="O164" s="2">
        <v>50</v>
      </c>
      <c r="P164" s="2" t="s">
        <v>260</v>
      </c>
      <c r="Q164" s="2">
        <v>50</v>
      </c>
      <c r="R164" s="2" t="s">
        <v>271</v>
      </c>
      <c r="S164" s="2">
        <v>50</v>
      </c>
      <c r="T164" s="2" t="s">
        <v>794</v>
      </c>
      <c r="U164" s="2">
        <v>50</v>
      </c>
      <c r="V164" s="2" t="s">
        <v>263</v>
      </c>
      <c r="W164" s="2">
        <v>50</v>
      </c>
      <c r="X164" s="2">
        <v>4</v>
      </c>
      <c r="Y164" s="2">
        <v>50</v>
      </c>
      <c r="Z164" s="2" t="s">
        <v>804</v>
      </c>
      <c r="AA164" s="2">
        <v>95</v>
      </c>
      <c r="AB164" s="2" t="s">
        <v>805</v>
      </c>
      <c r="AC164" s="2">
        <v>92</v>
      </c>
      <c r="AD164" s="2">
        <v>40</v>
      </c>
      <c r="AE164" s="2">
        <v>96</v>
      </c>
      <c r="AF164" s="2" t="s">
        <v>295</v>
      </c>
      <c r="AG164" s="2">
        <v>94</v>
      </c>
      <c r="AH164" s="2" t="s">
        <v>806</v>
      </c>
      <c r="AI164" s="2">
        <v>93</v>
      </c>
      <c r="AJ164" s="2" t="s">
        <v>339</v>
      </c>
      <c r="AK164" s="2">
        <v>88</v>
      </c>
    </row>
    <row r="165" spans="1:37" x14ac:dyDescent="0.25">
      <c r="A165" s="2" t="s">
        <v>178</v>
      </c>
      <c r="B165" s="2" t="s">
        <v>256</v>
      </c>
      <c r="C165" s="2" t="s">
        <v>9</v>
      </c>
      <c r="D165" s="3">
        <v>46080.530798611115</v>
      </c>
      <c r="E165" s="2">
        <v>78.12</v>
      </c>
      <c r="F165" s="2">
        <v>130</v>
      </c>
      <c r="G165" s="2">
        <v>0</v>
      </c>
      <c r="I165" s="2" t="s">
        <v>792</v>
      </c>
      <c r="J165" s="2" t="s">
        <v>258</v>
      </c>
      <c r="K165" s="2">
        <v>5</v>
      </c>
      <c r="L165" s="2">
        <v>3504015927</v>
      </c>
      <c r="M165" s="2">
        <v>98</v>
      </c>
      <c r="N165" s="2" t="s">
        <v>793</v>
      </c>
      <c r="O165" s="2">
        <v>50</v>
      </c>
      <c r="P165" s="2" t="s">
        <v>260</v>
      </c>
      <c r="Q165" s="2">
        <v>50</v>
      </c>
      <c r="R165" s="2" t="s">
        <v>271</v>
      </c>
      <c r="S165" s="2">
        <v>50</v>
      </c>
      <c r="T165" s="2" t="s">
        <v>794</v>
      </c>
      <c r="U165" s="2">
        <v>50</v>
      </c>
      <c r="V165" s="2" t="s">
        <v>263</v>
      </c>
      <c r="W165" s="2">
        <v>50</v>
      </c>
      <c r="X165" s="2">
        <v>5</v>
      </c>
      <c r="Y165" s="2">
        <v>50</v>
      </c>
      <c r="Z165" s="2" t="s">
        <v>703</v>
      </c>
      <c r="AA165" s="2">
        <v>95</v>
      </c>
      <c r="AB165" s="2" t="s">
        <v>704</v>
      </c>
      <c r="AC165" s="2">
        <v>91</v>
      </c>
      <c r="AD165" s="2">
        <v>24</v>
      </c>
      <c r="AE165" s="2">
        <v>96</v>
      </c>
      <c r="AF165" s="2" t="s">
        <v>275</v>
      </c>
      <c r="AG165" s="2">
        <v>92</v>
      </c>
      <c r="AH165" s="2" t="s">
        <v>807</v>
      </c>
      <c r="AI165" s="2">
        <v>93</v>
      </c>
      <c r="AJ165" s="2" t="s">
        <v>277</v>
      </c>
      <c r="AK165" s="2">
        <v>90</v>
      </c>
    </row>
    <row r="166" spans="1:37" x14ac:dyDescent="0.25">
      <c r="A166" s="2" t="s">
        <v>178</v>
      </c>
      <c r="B166" s="2" t="s">
        <v>256</v>
      </c>
      <c r="C166" s="2" t="s">
        <v>9</v>
      </c>
      <c r="D166" s="3">
        <v>46080.530798611115</v>
      </c>
      <c r="E166" s="2">
        <v>78.12</v>
      </c>
      <c r="F166" s="2">
        <v>130</v>
      </c>
      <c r="G166" s="2">
        <v>0</v>
      </c>
      <c r="I166" s="2" t="s">
        <v>792</v>
      </c>
      <c r="J166" s="2" t="s">
        <v>258</v>
      </c>
      <c r="K166" s="2">
        <v>6</v>
      </c>
      <c r="L166" s="2">
        <v>3504015927</v>
      </c>
      <c r="M166" s="2">
        <v>98</v>
      </c>
      <c r="N166" s="2" t="s">
        <v>793</v>
      </c>
      <c r="O166" s="2">
        <v>50</v>
      </c>
      <c r="P166" s="2" t="s">
        <v>260</v>
      </c>
      <c r="Q166" s="2">
        <v>50</v>
      </c>
      <c r="R166" s="2" t="s">
        <v>271</v>
      </c>
      <c r="S166" s="2">
        <v>50</v>
      </c>
      <c r="T166" s="2" t="s">
        <v>794</v>
      </c>
      <c r="U166" s="2">
        <v>50</v>
      </c>
      <c r="V166" s="2" t="s">
        <v>263</v>
      </c>
      <c r="W166" s="2">
        <v>50</v>
      </c>
      <c r="X166" s="2">
        <v>6</v>
      </c>
      <c r="Y166" s="2">
        <v>50</v>
      </c>
      <c r="Z166" s="2" t="s">
        <v>808</v>
      </c>
      <c r="AA166" s="2">
        <v>90</v>
      </c>
      <c r="AB166" s="2" t="s">
        <v>809</v>
      </c>
      <c r="AC166" s="2">
        <v>90</v>
      </c>
      <c r="AD166" s="2">
        <v>4</v>
      </c>
      <c r="AE166" s="2">
        <v>95</v>
      </c>
      <c r="AF166" s="2" t="s">
        <v>333</v>
      </c>
      <c r="AG166" s="2">
        <v>88</v>
      </c>
      <c r="AH166" s="2" t="s">
        <v>810</v>
      </c>
      <c r="AI166" s="2">
        <v>92</v>
      </c>
      <c r="AJ166" s="2" t="s">
        <v>277</v>
      </c>
      <c r="AK166" s="2">
        <v>88</v>
      </c>
    </row>
    <row r="167" spans="1:37" x14ac:dyDescent="0.25">
      <c r="A167" s="2" t="s">
        <v>178</v>
      </c>
      <c r="B167" s="2" t="s">
        <v>256</v>
      </c>
      <c r="C167" s="2" t="s">
        <v>9</v>
      </c>
      <c r="D167" s="3">
        <v>46080.530798611115</v>
      </c>
      <c r="E167" s="2">
        <v>78.12</v>
      </c>
      <c r="F167" s="2">
        <v>130</v>
      </c>
      <c r="G167" s="2">
        <v>0</v>
      </c>
      <c r="I167" s="2" t="s">
        <v>792</v>
      </c>
      <c r="J167" s="2" t="s">
        <v>258</v>
      </c>
      <c r="K167" s="2">
        <v>7</v>
      </c>
      <c r="L167" s="2">
        <v>3504015927</v>
      </c>
      <c r="M167" s="2">
        <v>98</v>
      </c>
      <c r="N167" s="2" t="s">
        <v>793</v>
      </c>
      <c r="O167" s="2">
        <v>50</v>
      </c>
      <c r="P167" s="2" t="s">
        <v>260</v>
      </c>
      <c r="Q167" s="2">
        <v>50</v>
      </c>
      <c r="R167" s="2" t="s">
        <v>271</v>
      </c>
      <c r="S167" s="2">
        <v>50</v>
      </c>
      <c r="T167" s="2" t="s">
        <v>794</v>
      </c>
      <c r="U167" s="2">
        <v>50</v>
      </c>
      <c r="V167" s="2" t="s">
        <v>263</v>
      </c>
      <c r="W167" s="2">
        <v>50</v>
      </c>
      <c r="X167" s="2">
        <v>7</v>
      </c>
      <c r="Y167" s="2">
        <v>50</v>
      </c>
      <c r="Z167" s="2" t="s">
        <v>811</v>
      </c>
      <c r="AA167" s="2">
        <v>92</v>
      </c>
      <c r="AB167" s="2" t="s">
        <v>812</v>
      </c>
      <c r="AC167" s="2">
        <v>90</v>
      </c>
      <c r="AD167" s="2">
        <v>5</v>
      </c>
      <c r="AE167" s="2">
        <v>95</v>
      </c>
      <c r="AF167" s="2" t="s">
        <v>275</v>
      </c>
      <c r="AG167" s="2">
        <v>90</v>
      </c>
      <c r="AH167" s="2" t="s">
        <v>813</v>
      </c>
      <c r="AI167" s="2">
        <v>92</v>
      </c>
      <c r="AJ167" s="2" t="s">
        <v>277</v>
      </c>
      <c r="AK167" s="2">
        <v>89</v>
      </c>
    </row>
    <row r="168" spans="1:37" x14ac:dyDescent="0.25">
      <c r="A168" s="2" t="s">
        <v>178</v>
      </c>
      <c r="B168" s="2" t="s">
        <v>256</v>
      </c>
      <c r="C168" s="2" t="s">
        <v>9</v>
      </c>
      <c r="D168" s="3">
        <v>46080.530798611115</v>
      </c>
      <c r="E168" s="2">
        <v>78.12</v>
      </c>
      <c r="F168" s="2">
        <v>130</v>
      </c>
      <c r="G168" s="2">
        <v>0</v>
      </c>
      <c r="I168" s="2" t="s">
        <v>792</v>
      </c>
      <c r="J168" s="2" t="s">
        <v>258</v>
      </c>
      <c r="K168" s="2">
        <v>8</v>
      </c>
      <c r="L168" s="2">
        <v>3504015927</v>
      </c>
      <c r="M168" s="2">
        <v>98</v>
      </c>
      <c r="N168" s="2" t="s">
        <v>793</v>
      </c>
      <c r="O168" s="2">
        <v>50</v>
      </c>
      <c r="P168" s="2" t="s">
        <v>260</v>
      </c>
      <c r="Q168" s="2">
        <v>50</v>
      </c>
      <c r="R168" s="2" t="s">
        <v>271</v>
      </c>
      <c r="S168" s="2">
        <v>50</v>
      </c>
      <c r="T168" s="2" t="s">
        <v>794</v>
      </c>
      <c r="U168" s="2">
        <v>50</v>
      </c>
      <c r="V168" s="2" t="s">
        <v>263</v>
      </c>
      <c r="W168" s="2">
        <v>50</v>
      </c>
      <c r="X168" s="2">
        <v>8</v>
      </c>
      <c r="Y168" s="2">
        <v>50</v>
      </c>
      <c r="Z168" s="2" t="s">
        <v>814</v>
      </c>
      <c r="AA168" s="2">
        <v>95</v>
      </c>
      <c r="AB168" s="2" t="s">
        <v>815</v>
      </c>
      <c r="AC168" s="2">
        <v>90</v>
      </c>
      <c r="AD168" s="2">
        <v>10</v>
      </c>
      <c r="AE168" s="2">
        <v>95</v>
      </c>
      <c r="AF168" s="2" t="s">
        <v>275</v>
      </c>
      <c r="AG168" s="2">
        <v>92</v>
      </c>
      <c r="AH168" s="2" t="s">
        <v>816</v>
      </c>
      <c r="AI168" s="2">
        <v>92</v>
      </c>
      <c r="AJ168" s="2" t="s">
        <v>277</v>
      </c>
      <c r="AK168" s="2">
        <v>90</v>
      </c>
    </row>
    <row r="169" spans="1:37" x14ac:dyDescent="0.25">
      <c r="A169" s="2" t="s">
        <v>178</v>
      </c>
      <c r="B169" s="2" t="s">
        <v>256</v>
      </c>
      <c r="C169" s="2" t="s">
        <v>9</v>
      </c>
      <c r="D169" s="3">
        <v>46080.530798611115</v>
      </c>
      <c r="E169" s="2">
        <v>78.12</v>
      </c>
      <c r="F169" s="2">
        <v>130</v>
      </c>
      <c r="G169" s="2">
        <v>0</v>
      </c>
      <c r="I169" s="2" t="s">
        <v>792</v>
      </c>
      <c r="J169" s="2" t="s">
        <v>258</v>
      </c>
      <c r="K169" s="2">
        <v>9</v>
      </c>
      <c r="L169" s="2">
        <v>3504015927</v>
      </c>
      <c r="M169" s="2">
        <v>98</v>
      </c>
      <c r="N169" s="2" t="s">
        <v>793</v>
      </c>
      <c r="O169" s="2">
        <v>50</v>
      </c>
      <c r="P169" s="2" t="s">
        <v>260</v>
      </c>
      <c r="Q169" s="2">
        <v>50</v>
      </c>
      <c r="R169" s="2" t="s">
        <v>271</v>
      </c>
      <c r="S169" s="2">
        <v>50</v>
      </c>
      <c r="T169" s="2" t="s">
        <v>794</v>
      </c>
      <c r="U169" s="2">
        <v>50</v>
      </c>
      <c r="V169" s="2" t="s">
        <v>263</v>
      </c>
      <c r="W169" s="2">
        <v>50</v>
      </c>
      <c r="X169" s="2">
        <v>9</v>
      </c>
      <c r="Y169" s="2">
        <v>50</v>
      </c>
      <c r="Z169" s="2" t="s">
        <v>817</v>
      </c>
      <c r="AA169" s="2">
        <v>94</v>
      </c>
      <c r="AB169" s="2" t="s">
        <v>818</v>
      </c>
      <c r="AC169" s="2">
        <v>90</v>
      </c>
      <c r="AD169" s="2">
        <v>1</v>
      </c>
      <c r="AE169" s="2">
        <v>95</v>
      </c>
      <c r="AF169" s="2" t="s">
        <v>275</v>
      </c>
      <c r="AG169" s="2">
        <v>90</v>
      </c>
      <c r="AH169" s="2" t="s">
        <v>819</v>
      </c>
      <c r="AI169" s="2">
        <v>92</v>
      </c>
      <c r="AJ169" s="2" t="s">
        <v>277</v>
      </c>
      <c r="AK169" s="2">
        <v>89</v>
      </c>
    </row>
    <row r="170" spans="1:37" x14ac:dyDescent="0.25">
      <c r="A170" s="2" t="s">
        <v>178</v>
      </c>
      <c r="B170" s="2" t="s">
        <v>256</v>
      </c>
      <c r="C170" s="2" t="s">
        <v>9</v>
      </c>
      <c r="D170" s="3">
        <v>46080.530798611115</v>
      </c>
      <c r="E170" s="2">
        <v>78.12</v>
      </c>
      <c r="F170" s="2">
        <v>130</v>
      </c>
      <c r="G170" s="2">
        <v>0</v>
      </c>
      <c r="I170" s="2" t="s">
        <v>792</v>
      </c>
      <c r="J170" s="2" t="s">
        <v>258</v>
      </c>
      <c r="K170" s="2">
        <v>10</v>
      </c>
      <c r="L170" s="2">
        <v>3504015927</v>
      </c>
      <c r="M170" s="2">
        <v>98</v>
      </c>
      <c r="N170" s="2" t="s">
        <v>793</v>
      </c>
      <c r="O170" s="2">
        <v>50</v>
      </c>
      <c r="P170" s="2" t="s">
        <v>260</v>
      </c>
      <c r="Q170" s="2">
        <v>50</v>
      </c>
      <c r="R170" s="2" t="s">
        <v>271</v>
      </c>
      <c r="S170" s="2">
        <v>50</v>
      </c>
      <c r="T170" s="2" t="s">
        <v>794</v>
      </c>
      <c r="U170" s="2">
        <v>50</v>
      </c>
      <c r="V170" s="2" t="s">
        <v>263</v>
      </c>
      <c r="W170" s="2">
        <v>50</v>
      </c>
      <c r="X170" s="2">
        <v>10</v>
      </c>
      <c r="Y170" s="2">
        <v>50</v>
      </c>
      <c r="Z170" s="2" t="s">
        <v>820</v>
      </c>
      <c r="AA170" s="2">
        <v>95</v>
      </c>
      <c r="AB170" s="2" t="s">
        <v>821</v>
      </c>
      <c r="AC170" s="2">
        <v>92</v>
      </c>
      <c r="AD170" s="2">
        <v>6</v>
      </c>
      <c r="AE170" s="2">
        <v>96</v>
      </c>
      <c r="AF170" s="2" t="s">
        <v>275</v>
      </c>
      <c r="AG170" s="2">
        <v>92</v>
      </c>
      <c r="AH170" s="2" t="s">
        <v>822</v>
      </c>
      <c r="AI170" s="2">
        <v>93</v>
      </c>
      <c r="AJ170" s="2" t="s">
        <v>277</v>
      </c>
      <c r="AK170" s="2">
        <v>90</v>
      </c>
    </row>
    <row r="171" spans="1:37" x14ac:dyDescent="0.25">
      <c r="A171" s="2" t="s">
        <v>162</v>
      </c>
      <c r="B171" s="2" t="s">
        <v>256</v>
      </c>
      <c r="C171" s="2" t="s">
        <v>11</v>
      </c>
      <c r="D171" s="3">
        <v>46080.530798611115</v>
      </c>
      <c r="E171" s="2">
        <v>65</v>
      </c>
      <c r="F171" s="2">
        <v>0</v>
      </c>
      <c r="G171" s="2">
        <v>0</v>
      </c>
      <c r="I171" s="2" t="s">
        <v>823</v>
      </c>
    </row>
    <row r="172" spans="1:37" x14ac:dyDescent="0.25">
      <c r="A172" s="2" t="s">
        <v>152</v>
      </c>
      <c r="B172" s="2" t="s">
        <v>256</v>
      </c>
      <c r="C172" s="2" t="s">
        <v>9</v>
      </c>
      <c r="D172" s="3">
        <v>46080.530798611115</v>
      </c>
      <c r="E172" s="2">
        <v>80.73</v>
      </c>
      <c r="F172" s="2">
        <v>134</v>
      </c>
      <c r="G172" s="2">
        <v>2</v>
      </c>
      <c r="I172" s="2" t="s">
        <v>824</v>
      </c>
      <c r="J172" s="2" t="s">
        <v>825</v>
      </c>
      <c r="K172" s="2">
        <v>1</v>
      </c>
      <c r="L172" s="2">
        <v>3507009726</v>
      </c>
      <c r="M172" s="2">
        <v>98</v>
      </c>
      <c r="N172" s="2" t="s">
        <v>826</v>
      </c>
      <c r="O172" s="2">
        <v>90</v>
      </c>
      <c r="P172" s="2" t="s">
        <v>260</v>
      </c>
      <c r="Q172" s="2">
        <v>92</v>
      </c>
      <c r="R172" s="2" t="s">
        <v>827</v>
      </c>
      <c r="S172" s="2">
        <v>92</v>
      </c>
      <c r="T172" s="2" t="s">
        <v>828</v>
      </c>
      <c r="U172" s="2">
        <v>88</v>
      </c>
      <c r="V172" s="2" t="s">
        <v>263</v>
      </c>
      <c r="W172" s="2">
        <v>95</v>
      </c>
      <c r="X172" s="2">
        <v>1</v>
      </c>
      <c r="Y172" s="2">
        <v>98</v>
      </c>
      <c r="Z172" s="2" t="s">
        <v>829</v>
      </c>
      <c r="AA172" s="2">
        <v>95</v>
      </c>
      <c r="AB172" s="2" t="s">
        <v>830</v>
      </c>
      <c r="AC172" s="2">
        <v>90</v>
      </c>
      <c r="AD172" s="2">
        <v>12</v>
      </c>
      <c r="AE172" s="2">
        <v>95</v>
      </c>
      <c r="AG172" s="2">
        <v>20</v>
      </c>
      <c r="AH172" s="2" t="s">
        <v>831</v>
      </c>
      <c r="AI172" s="2">
        <v>95</v>
      </c>
      <c r="AJ172" s="2" t="s">
        <v>277</v>
      </c>
      <c r="AK172" s="2">
        <v>98</v>
      </c>
    </row>
    <row r="173" spans="1:37" x14ac:dyDescent="0.25">
      <c r="A173" s="2" t="s">
        <v>152</v>
      </c>
      <c r="B173" s="2" t="s">
        <v>256</v>
      </c>
      <c r="C173" s="2" t="s">
        <v>9</v>
      </c>
      <c r="D173" s="3">
        <v>46080.530798611115</v>
      </c>
      <c r="E173" s="2">
        <v>80.73</v>
      </c>
      <c r="F173" s="2">
        <v>134</v>
      </c>
      <c r="G173" s="2">
        <v>2</v>
      </c>
      <c r="I173" s="2" t="s">
        <v>824</v>
      </c>
      <c r="J173" s="2" t="s">
        <v>825</v>
      </c>
      <c r="K173" s="2">
        <v>2</v>
      </c>
      <c r="L173" s="2">
        <v>3507009726</v>
      </c>
      <c r="M173" s="2">
        <v>98</v>
      </c>
      <c r="N173" s="2" t="s">
        <v>826</v>
      </c>
      <c r="O173" s="2">
        <v>90</v>
      </c>
      <c r="P173" s="2" t="s">
        <v>260</v>
      </c>
      <c r="Q173" s="2">
        <v>50</v>
      </c>
      <c r="R173" s="2" t="s">
        <v>827</v>
      </c>
      <c r="S173" s="2">
        <v>50</v>
      </c>
      <c r="T173" s="2" t="s">
        <v>828</v>
      </c>
      <c r="U173" s="2">
        <v>50</v>
      </c>
      <c r="V173" s="2" t="s">
        <v>263</v>
      </c>
      <c r="W173" s="2">
        <v>50</v>
      </c>
      <c r="X173" s="2">
        <v>2</v>
      </c>
      <c r="Y173" s="2">
        <v>95</v>
      </c>
      <c r="Z173" s="2" t="s">
        <v>832</v>
      </c>
      <c r="AA173" s="2">
        <v>94</v>
      </c>
      <c r="AB173" s="2" t="s">
        <v>833</v>
      </c>
      <c r="AC173" s="2">
        <v>88</v>
      </c>
      <c r="AD173" s="2">
        <v>2</v>
      </c>
      <c r="AE173" s="2">
        <v>94</v>
      </c>
      <c r="AG173" s="2">
        <v>20</v>
      </c>
      <c r="AH173" s="2" t="s">
        <v>834</v>
      </c>
      <c r="AI173" s="2">
        <v>94</v>
      </c>
      <c r="AJ173" s="2" t="s">
        <v>277</v>
      </c>
      <c r="AK173" s="2">
        <v>98</v>
      </c>
    </row>
    <row r="174" spans="1:37" x14ac:dyDescent="0.25">
      <c r="A174" s="2" t="s">
        <v>152</v>
      </c>
      <c r="B174" s="2" t="s">
        <v>256</v>
      </c>
      <c r="C174" s="2" t="s">
        <v>9</v>
      </c>
      <c r="D174" s="3">
        <v>46080.530798611115</v>
      </c>
      <c r="E174" s="2">
        <v>80.73</v>
      </c>
      <c r="F174" s="2">
        <v>134</v>
      </c>
      <c r="G174" s="2">
        <v>2</v>
      </c>
      <c r="I174" s="2" t="s">
        <v>824</v>
      </c>
      <c r="J174" s="2" t="s">
        <v>825</v>
      </c>
      <c r="K174" s="2">
        <v>3</v>
      </c>
      <c r="L174" s="2">
        <v>3507009726</v>
      </c>
      <c r="M174" s="2">
        <v>98</v>
      </c>
      <c r="N174" s="2" t="s">
        <v>826</v>
      </c>
      <c r="O174" s="2">
        <v>50</v>
      </c>
      <c r="P174" s="2" t="s">
        <v>260</v>
      </c>
      <c r="Q174" s="2">
        <v>50</v>
      </c>
      <c r="R174" s="2" t="s">
        <v>827</v>
      </c>
      <c r="S174" s="2">
        <v>50</v>
      </c>
      <c r="T174" s="2" t="s">
        <v>828</v>
      </c>
      <c r="U174" s="2">
        <v>50</v>
      </c>
      <c r="V174" s="2" t="s">
        <v>263</v>
      </c>
      <c r="W174" s="2">
        <v>50</v>
      </c>
      <c r="X174" s="2">
        <v>3</v>
      </c>
      <c r="Y174" s="2">
        <v>50</v>
      </c>
      <c r="Z174" s="2" t="s">
        <v>835</v>
      </c>
      <c r="AA174" s="2">
        <v>94</v>
      </c>
      <c r="AB174" s="2" t="s">
        <v>836</v>
      </c>
      <c r="AC174" s="2">
        <v>88</v>
      </c>
      <c r="AD174" s="2">
        <v>1</v>
      </c>
      <c r="AE174" s="2">
        <v>95</v>
      </c>
      <c r="AH174" s="2" t="s">
        <v>837</v>
      </c>
      <c r="AI174" s="2">
        <v>95</v>
      </c>
      <c r="AJ174" s="2" t="s">
        <v>277</v>
      </c>
      <c r="AK174" s="2">
        <v>98</v>
      </c>
    </row>
    <row r="175" spans="1:37" x14ac:dyDescent="0.25">
      <c r="A175" s="2" t="s">
        <v>152</v>
      </c>
      <c r="B175" s="2" t="s">
        <v>256</v>
      </c>
      <c r="C175" s="2" t="s">
        <v>9</v>
      </c>
      <c r="D175" s="3">
        <v>46080.530798611115</v>
      </c>
      <c r="E175" s="2">
        <v>80.73</v>
      </c>
      <c r="F175" s="2">
        <v>134</v>
      </c>
      <c r="G175" s="2">
        <v>2</v>
      </c>
      <c r="I175" s="2" t="s">
        <v>824</v>
      </c>
      <c r="J175" s="2" t="s">
        <v>825</v>
      </c>
      <c r="K175" s="2">
        <v>4</v>
      </c>
      <c r="L175" s="2">
        <v>3507009726</v>
      </c>
      <c r="M175" s="2">
        <v>98</v>
      </c>
      <c r="N175" s="2" t="s">
        <v>826</v>
      </c>
      <c r="O175" s="2">
        <v>50</v>
      </c>
      <c r="P175" s="2" t="s">
        <v>260</v>
      </c>
      <c r="Q175" s="2">
        <v>50</v>
      </c>
      <c r="R175" s="2" t="s">
        <v>827</v>
      </c>
      <c r="S175" s="2">
        <v>50</v>
      </c>
      <c r="T175" s="2" t="s">
        <v>828</v>
      </c>
      <c r="U175" s="2">
        <v>50</v>
      </c>
      <c r="V175" s="2" t="s">
        <v>263</v>
      </c>
      <c r="W175" s="2">
        <v>50</v>
      </c>
      <c r="X175" s="2">
        <v>4</v>
      </c>
      <c r="Y175" s="2">
        <v>50</v>
      </c>
      <c r="Z175" s="2" t="s">
        <v>838</v>
      </c>
      <c r="AA175" s="2">
        <v>94</v>
      </c>
      <c r="AB175" s="2" t="s">
        <v>839</v>
      </c>
      <c r="AC175" s="2">
        <v>90</v>
      </c>
      <c r="AD175" s="2">
        <v>9</v>
      </c>
      <c r="AE175" s="2">
        <v>94</v>
      </c>
      <c r="AH175" s="2" t="s">
        <v>840</v>
      </c>
      <c r="AI175" s="2">
        <v>94</v>
      </c>
      <c r="AJ175" s="2" t="s">
        <v>277</v>
      </c>
      <c r="AK175" s="2">
        <v>98</v>
      </c>
    </row>
    <row r="176" spans="1:37" x14ac:dyDescent="0.25">
      <c r="A176" s="2" t="s">
        <v>152</v>
      </c>
      <c r="B176" s="2" t="s">
        <v>256</v>
      </c>
      <c r="C176" s="2" t="s">
        <v>9</v>
      </c>
      <c r="D176" s="3">
        <v>46080.530798611115</v>
      </c>
      <c r="E176" s="2">
        <v>80.73</v>
      </c>
      <c r="F176" s="2">
        <v>134</v>
      </c>
      <c r="G176" s="2">
        <v>2</v>
      </c>
      <c r="I176" s="2" t="s">
        <v>824</v>
      </c>
      <c r="J176" s="2" t="s">
        <v>825</v>
      </c>
      <c r="K176" s="2">
        <v>5</v>
      </c>
      <c r="L176" s="2">
        <v>3507009726</v>
      </c>
      <c r="M176" s="2">
        <v>98</v>
      </c>
      <c r="N176" s="2" t="s">
        <v>826</v>
      </c>
      <c r="O176" s="2">
        <v>50</v>
      </c>
      <c r="P176" s="2" t="s">
        <v>260</v>
      </c>
      <c r="Q176" s="2">
        <v>50</v>
      </c>
      <c r="R176" s="2" t="s">
        <v>827</v>
      </c>
      <c r="S176" s="2">
        <v>50</v>
      </c>
      <c r="T176" s="2" t="s">
        <v>828</v>
      </c>
      <c r="U176" s="2">
        <v>50</v>
      </c>
      <c r="V176" s="2" t="s">
        <v>263</v>
      </c>
      <c r="W176" s="2">
        <v>50</v>
      </c>
      <c r="X176" s="2">
        <v>5</v>
      </c>
      <c r="Y176" s="2">
        <v>50</v>
      </c>
      <c r="Z176" s="2" t="s">
        <v>841</v>
      </c>
      <c r="AA176" s="2">
        <v>94</v>
      </c>
      <c r="AB176" s="2" t="s">
        <v>842</v>
      </c>
      <c r="AC176" s="2">
        <v>90</v>
      </c>
      <c r="AD176" s="2">
        <v>20</v>
      </c>
      <c r="AE176" s="2">
        <v>94</v>
      </c>
      <c r="AH176" s="2" t="s">
        <v>843</v>
      </c>
      <c r="AI176" s="2">
        <v>94</v>
      </c>
      <c r="AJ176" s="2" t="s">
        <v>277</v>
      </c>
      <c r="AK176" s="2">
        <v>98</v>
      </c>
    </row>
    <row r="177" spans="1:37" x14ac:dyDescent="0.25">
      <c r="A177" s="2" t="s">
        <v>152</v>
      </c>
      <c r="B177" s="2" t="s">
        <v>256</v>
      </c>
      <c r="C177" s="2" t="s">
        <v>9</v>
      </c>
      <c r="D177" s="3">
        <v>46080.530798611115</v>
      </c>
      <c r="E177" s="2">
        <v>80.73</v>
      </c>
      <c r="F177" s="2">
        <v>134</v>
      </c>
      <c r="G177" s="2">
        <v>2</v>
      </c>
      <c r="I177" s="2" t="s">
        <v>824</v>
      </c>
      <c r="J177" s="2" t="s">
        <v>825</v>
      </c>
      <c r="K177" s="2">
        <v>6</v>
      </c>
      <c r="L177" s="2">
        <v>3507009726</v>
      </c>
      <c r="M177" s="2">
        <v>98</v>
      </c>
      <c r="N177" s="2" t="s">
        <v>826</v>
      </c>
      <c r="O177" s="2">
        <v>50</v>
      </c>
      <c r="P177" s="2" t="s">
        <v>260</v>
      </c>
      <c r="Q177" s="2">
        <v>50</v>
      </c>
      <c r="R177" s="2" t="s">
        <v>827</v>
      </c>
      <c r="S177" s="2">
        <v>50</v>
      </c>
      <c r="T177" s="2" t="s">
        <v>828</v>
      </c>
      <c r="U177" s="2">
        <v>50</v>
      </c>
      <c r="V177" s="2" t="s">
        <v>263</v>
      </c>
      <c r="W177" s="2">
        <v>50</v>
      </c>
      <c r="X177" s="2">
        <v>6</v>
      </c>
      <c r="Y177" s="2">
        <v>50</v>
      </c>
      <c r="Z177" s="2" t="s">
        <v>844</v>
      </c>
      <c r="AA177" s="2">
        <v>93</v>
      </c>
      <c r="AB177" s="2" t="s">
        <v>845</v>
      </c>
      <c r="AC177" s="2">
        <v>88</v>
      </c>
      <c r="AD177" s="2">
        <v>4</v>
      </c>
      <c r="AE177" s="2">
        <v>93</v>
      </c>
      <c r="AH177" s="2" t="s">
        <v>846</v>
      </c>
      <c r="AI177" s="2">
        <v>93</v>
      </c>
      <c r="AJ177" s="2" t="s">
        <v>277</v>
      </c>
      <c r="AK177" s="2">
        <v>98</v>
      </c>
    </row>
    <row r="178" spans="1:37" x14ac:dyDescent="0.25">
      <c r="A178" s="2" t="s">
        <v>152</v>
      </c>
      <c r="B178" s="2" t="s">
        <v>256</v>
      </c>
      <c r="C178" s="2" t="s">
        <v>9</v>
      </c>
      <c r="D178" s="3">
        <v>46080.530798611115</v>
      </c>
      <c r="E178" s="2">
        <v>80.73</v>
      </c>
      <c r="F178" s="2">
        <v>134</v>
      </c>
      <c r="G178" s="2">
        <v>2</v>
      </c>
      <c r="I178" s="2" t="s">
        <v>824</v>
      </c>
      <c r="J178" s="2" t="s">
        <v>825</v>
      </c>
      <c r="K178" s="2">
        <v>7</v>
      </c>
      <c r="L178" s="2">
        <v>3507009726</v>
      </c>
      <c r="M178" s="2">
        <v>98</v>
      </c>
      <c r="N178" s="2" t="s">
        <v>826</v>
      </c>
      <c r="O178" s="2">
        <v>50</v>
      </c>
      <c r="P178" s="2" t="s">
        <v>260</v>
      </c>
      <c r="Q178" s="2">
        <v>50</v>
      </c>
      <c r="R178" s="2" t="s">
        <v>827</v>
      </c>
      <c r="S178" s="2">
        <v>50</v>
      </c>
      <c r="T178" s="2" t="s">
        <v>828</v>
      </c>
      <c r="U178" s="2">
        <v>50</v>
      </c>
      <c r="V178" s="2" t="s">
        <v>263</v>
      </c>
      <c r="W178" s="2">
        <v>50</v>
      </c>
      <c r="X178" s="2">
        <v>7</v>
      </c>
      <c r="Y178" s="2">
        <v>50</v>
      </c>
      <c r="Z178" s="2" t="s">
        <v>847</v>
      </c>
      <c r="AA178" s="2">
        <v>94</v>
      </c>
      <c r="AB178" s="2" t="s">
        <v>848</v>
      </c>
      <c r="AC178" s="2">
        <v>88</v>
      </c>
      <c r="AD178" s="2">
        <v>4</v>
      </c>
      <c r="AE178" s="2">
        <v>94</v>
      </c>
      <c r="AH178" s="2" t="s">
        <v>849</v>
      </c>
      <c r="AI178" s="2">
        <v>94</v>
      </c>
      <c r="AJ178" s="2" t="s">
        <v>277</v>
      </c>
      <c r="AK178" s="2">
        <v>98</v>
      </c>
    </row>
    <row r="179" spans="1:37" x14ac:dyDescent="0.25">
      <c r="A179" s="2" t="s">
        <v>152</v>
      </c>
      <c r="B179" s="2" t="s">
        <v>256</v>
      </c>
      <c r="C179" s="2" t="s">
        <v>9</v>
      </c>
      <c r="D179" s="3">
        <v>46080.530798611115</v>
      </c>
      <c r="E179" s="2">
        <v>80.73</v>
      </c>
      <c r="F179" s="2">
        <v>134</v>
      </c>
      <c r="G179" s="2">
        <v>2</v>
      </c>
      <c r="I179" s="2" t="s">
        <v>824</v>
      </c>
      <c r="J179" s="2" t="s">
        <v>825</v>
      </c>
      <c r="K179" s="2">
        <v>8</v>
      </c>
      <c r="L179" s="2">
        <v>3507009726</v>
      </c>
      <c r="M179" s="2">
        <v>98</v>
      </c>
      <c r="N179" s="2" t="s">
        <v>826</v>
      </c>
      <c r="O179" s="2">
        <v>50</v>
      </c>
      <c r="P179" s="2" t="s">
        <v>260</v>
      </c>
      <c r="Q179" s="2">
        <v>50</v>
      </c>
      <c r="R179" s="2" t="s">
        <v>827</v>
      </c>
      <c r="S179" s="2">
        <v>50</v>
      </c>
      <c r="T179" s="2" t="s">
        <v>828</v>
      </c>
      <c r="U179" s="2">
        <v>50</v>
      </c>
      <c r="V179" s="2" t="s">
        <v>263</v>
      </c>
      <c r="W179" s="2">
        <v>50</v>
      </c>
      <c r="X179" s="2">
        <v>8</v>
      </c>
      <c r="Y179" s="2">
        <v>50</v>
      </c>
      <c r="Z179" s="2" t="s">
        <v>850</v>
      </c>
      <c r="AA179" s="2">
        <v>92</v>
      </c>
      <c r="AB179" s="2" t="s">
        <v>851</v>
      </c>
      <c r="AC179" s="2">
        <v>86</v>
      </c>
      <c r="AD179" s="2">
        <v>4</v>
      </c>
      <c r="AE179" s="2">
        <v>92</v>
      </c>
      <c r="AH179" s="2" t="s">
        <v>852</v>
      </c>
      <c r="AI179" s="2">
        <v>92</v>
      </c>
      <c r="AJ179" s="2" t="s">
        <v>277</v>
      </c>
      <c r="AK179" s="2">
        <v>98</v>
      </c>
    </row>
    <row r="180" spans="1:37" x14ac:dyDescent="0.25">
      <c r="A180" s="2" t="s">
        <v>152</v>
      </c>
      <c r="B180" s="2" t="s">
        <v>256</v>
      </c>
      <c r="C180" s="2" t="s">
        <v>9</v>
      </c>
      <c r="D180" s="3">
        <v>46080.530798611115</v>
      </c>
      <c r="E180" s="2">
        <v>80.73</v>
      </c>
      <c r="F180" s="2">
        <v>134</v>
      </c>
      <c r="G180" s="2">
        <v>2</v>
      </c>
      <c r="I180" s="2" t="s">
        <v>824</v>
      </c>
      <c r="J180" s="2" t="s">
        <v>825</v>
      </c>
      <c r="K180" s="2">
        <v>9</v>
      </c>
      <c r="L180" s="2">
        <v>3507009726</v>
      </c>
      <c r="M180" s="2">
        <v>98</v>
      </c>
      <c r="N180" s="2" t="s">
        <v>826</v>
      </c>
      <c r="O180" s="2">
        <v>50</v>
      </c>
      <c r="P180" s="2" t="s">
        <v>260</v>
      </c>
      <c r="Q180" s="2">
        <v>50</v>
      </c>
      <c r="R180" s="2" t="s">
        <v>827</v>
      </c>
      <c r="S180" s="2">
        <v>50</v>
      </c>
      <c r="T180" s="2" t="s">
        <v>828</v>
      </c>
      <c r="U180" s="2">
        <v>50</v>
      </c>
      <c r="V180" s="2" t="s">
        <v>263</v>
      </c>
      <c r="W180" s="2">
        <v>50</v>
      </c>
      <c r="X180" s="2">
        <v>9</v>
      </c>
      <c r="Y180" s="2">
        <v>50</v>
      </c>
      <c r="Z180" s="2" t="s">
        <v>853</v>
      </c>
      <c r="AA180" s="2">
        <v>93</v>
      </c>
      <c r="AB180" s="2" t="s">
        <v>854</v>
      </c>
      <c r="AC180" s="2">
        <v>86</v>
      </c>
      <c r="AD180" s="2">
        <v>4</v>
      </c>
      <c r="AE180" s="2">
        <v>93</v>
      </c>
      <c r="AH180" s="2" t="s">
        <v>855</v>
      </c>
      <c r="AI180" s="2">
        <v>93</v>
      </c>
      <c r="AJ180" s="2" t="s">
        <v>277</v>
      </c>
      <c r="AK180" s="2">
        <v>98</v>
      </c>
    </row>
    <row r="181" spans="1:37" x14ac:dyDescent="0.25">
      <c r="A181" s="2" t="s">
        <v>152</v>
      </c>
      <c r="B181" s="2" t="s">
        <v>256</v>
      </c>
      <c r="C181" s="2" t="s">
        <v>9</v>
      </c>
      <c r="D181" s="3">
        <v>46080.530798611115</v>
      </c>
      <c r="E181" s="2">
        <v>80.73</v>
      </c>
      <c r="F181" s="2">
        <v>134</v>
      </c>
      <c r="G181" s="2">
        <v>2</v>
      </c>
      <c r="I181" s="2" t="s">
        <v>824</v>
      </c>
      <c r="J181" s="2" t="s">
        <v>825</v>
      </c>
      <c r="K181" s="2">
        <v>10</v>
      </c>
      <c r="L181" s="2">
        <v>3507009726</v>
      </c>
      <c r="M181" s="2">
        <v>98</v>
      </c>
      <c r="N181" s="2" t="s">
        <v>826</v>
      </c>
      <c r="O181" s="2">
        <v>50</v>
      </c>
      <c r="P181" s="2" t="s">
        <v>260</v>
      </c>
      <c r="Q181" s="2">
        <v>50</v>
      </c>
      <c r="R181" s="2" t="s">
        <v>827</v>
      </c>
      <c r="S181" s="2">
        <v>50</v>
      </c>
      <c r="T181" s="2" t="s">
        <v>828</v>
      </c>
      <c r="U181" s="2">
        <v>50</v>
      </c>
      <c r="V181" s="2" t="s">
        <v>263</v>
      </c>
      <c r="W181" s="2">
        <v>50</v>
      </c>
      <c r="X181" s="2">
        <v>10</v>
      </c>
      <c r="Y181" s="2">
        <v>50</v>
      </c>
      <c r="Z181" s="2" t="s">
        <v>856</v>
      </c>
      <c r="AA181" s="2">
        <v>94</v>
      </c>
      <c r="AB181" s="2" t="s">
        <v>842</v>
      </c>
      <c r="AC181" s="2">
        <v>89</v>
      </c>
      <c r="AD181" s="2">
        <v>2</v>
      </c>
      <c r="AE181" s="2">
        <v>94</v>
      </c>
      <c r="AH181" s="2" t="s">
        <v>857</v>
      </c>
      <c r="AI181" s="2">
        <v>94</v>
      </c>
      <c r="AJ181" s="2" t="s">
        <v>277</v>
      </c>
      <c r="AK181" s="2">
        <v>98</v>
      </c>
    </row>
    <row r="182" spans="1:37" x14ac:dyDescent="0.25">
      <c r="A182" s="2" t="s">
        <v>152</v>
      </c>
      <c r="B182" s="2" t="s">
        <v>256</v>
      </c>
      <c r="C182" s="2" t="s">
        <v>9</v>
      </c>
      <c r="D182" s="3">
        <v>46080.530798611115</v>
      </c>
      <c r="E182" s="2">
        <v>80.73</v>
      </c>
      <c r="F182" s="2">
        <v>134</v>
      </c>
      <c r="G182" s="2">
        <v>2</v>
      </c>
      <c r="I182" s="2" t="s">
        <v>824</v>
      </c>
      <c r="J182" s="2" t="s">
        <v>825</v>
      </c>
      <c r="K182" s="2">
        <v>11</v>
      </c>
      <c r="L182" s="2">
        <v>3507009726</v>
      </c>
      <c r="M182" s="2">
        <v>98</v>
      </c>
      <c r="N182" s="2" t="s">
        <v>826</v>
      </c>
      <c r="O182" s="2">
        <v>50</v>
      </c>
      <c r="P182" s="2" t="s">
        <v>260</v>
      </c>
      <c r="Q182" s="2">
        <v>50</v>
      </c>
      <c r="R182" s="2" t="s">
        <v>827</v>
      </c>
      <c r="S182" s="2">
        <v>50</v>
      </c>
      <c r="T182" s="2" t="s">
        <v>828</v>
      </c>
      <c r="U182" s="2">
        <v>50</v>
      </c>
      <c r="V182" s="2" t="s">
        <v>263</v>
      </c>
      <c r="W182" s="2">
        <v>50</v>
      </c>
      <c r="X182" s="2">
        <v>11</v>
      </c>
      <c r="Y182" s="2">
        <v>50</v>
      </c>
      <c r="Z182" s="2" t="s">
        <v>858</v>
      </c>
      <c r="AA182" s="2">
        <v>94</v>
      </c>
      <c r="AB182" s="2" t="s">
        <v>859</v>
      </c>
      <c r="AC182" s="2">
        <v>90</v>
      </c>
      <c r="AD182" s="2">
        <v>2</v>
      </c>
      <c r="AE182" s="2">
        <v>94</v>
      </c>
      <c r="AH182" s="2" t="s">
        <v>860</v>
      </c>
      <c r="AI182" s="2">
        <v>94</v>
      </c>
      <c r="AJ182" s="2" t="s">
        <v>277</v>
      </c>
      <c r="AK182" s="2">
        <v>98</v>
      </c>
    </row>
    <row r="183" spans="1:37" x14ac:dyDescent="0.25">
      <c r="A183" s="2" t="s">
        <v>153</v>
      </c>
      <c r="B183" s="2" t="s">
        <v>256</v>
      </c>
      <c r="C183" s="2" t="s">
        <v>9</v>
      </c>
      <c r="D183" s="3">
        <v>46080.530798611115</v>
      </c>
      <c r="E183" s="2">
        <v>91.4</v>
      </c>
      <c r="F183" s="2">
        <v>26</v>
      </c>
      <c r="G183" s="2">
        <v>0</v>
      </c>
      <c r="I183" s="2" t="s">
        <v>861</v>
      </c>
      <c r="J183" s="2" t="s">
        <v>258</v>
      </c>
      <c r="K183" s="2">
        <v>1</v>
      </c>
      <c r="L183" s="2">
        <v>3507009729</v>
      </c>
      <c r="M183" s="2">
        <v>95</v>
      </c>
      <c r="N183" s="2" t="s">
        <v>862</v>
      </c>
      <c r="O183" s="2">
        <v>95</v>
      </c>
      <c r="P183" s="2" t="s">
        <v>260</v>
      </c>
      <c r="Q183" s="2">
        <v>90</v>
      </c>
      <c r="R183" s="2" t="s">
        <v>863</v>
      </c>
      <c r="S183" s="2">
        <v>95</v>
      </c>
      <c r="T183" s="2" t="s">
        <v>864</v>
      </c>
      <c r="U183" s="2">
        <v>90</v>
      </c>
      <c r="V183" s="2" t="s">
        <v>263</v>
      </c>
      <c r="W183" s="2">
        <v>95</v>
      </c>
      <c r="X183" s="2">
        <v>10</v>
      </c>
      <c r="Y183" s="2">
        <v>95</v>
      </c>
      <c r="Z183" s="2" t="s">
        <v>865</v>
      </c>
      <c r="AA183" s="2">
        <v>95</v>
      </c>
      <c r="AB183" s="2" t="s">
        <v>866</v>
      </c>
      <c r="AC183" s="2">
        <v>90</v>
      </c>
      <c r="AD183" s="2">
        <v>24</v>
      </c>
      <c r="AE183" s="2">
        <v>95</v>
      </c>
      <c r="AF183" s="2" t="s">
        <v>346</v>
      </c>
      <c r="AG183" s="2">
        <v>90</v>
      </c>
      <c r="AH183" s="2" t="s">
        <v>867</v>
      </c>
      <c r="AI183" s="2">
        <v>90</v>
      </c>
      <c r="AJ183" s="2" t="s">
        <v>268</v>
      </c>
      <c r="AK183" s="2">
        <v>90</v>
      </c>
    </row>
    <row r="184" spans="1:37" x14ac:dyDescent="0.25">
      <c r="A184" s="2" t="s">
        <v>153</v>
      </c>
      <c r="B184" s="2" t="s">
        <v>256</v>
      </c>
      <c r="C184" s="2" t="s">
        <v>9</v>
      </c>
      <c r="D184" s="3">
        <v>46080.530798611115</v>
      </c>
      <c r="E184" s="2">
        <v>91.4</v>
      </c>
      <c r="F184" s="2">
        <v>26</v>
      </c>
      <c r="G184" s="2">
        <v>0</v>
      </c>
      <c r="I184" s="2" t="s">
        <v>861</v>
      </c>
      <c r="J184" s="2" t="s">
        <v>258</v>
      </c>
      <c r="K184" s="2">
        <v>2</v>
      </c>
      <c r="L184" s="2">
        <v>3507009729</v>
      </c>
      <c r="M184" s="2">
        <v>95</v>
      </c>
      <c r="N184" s="2" t="s">
        <v>862</v>
      </c>
      <c r="O184" s="2">
        <v>95</v>
      </c>
      <c r="P184" s="2" t="s">
        <v>260</v>
      </c>
      <c r="Q184" s="2">
        <v>90</v>
      </c>
      <c r="R184" s="2" t="s">
        <v>863</v>
      </c>
      <c r="S184" s="2">
        <v>95</v>
      </c>
      <c r="T184" s="2" t="s">
        <v>864</v>
      </c>
      <c r="U184" s="2">
        <v>90</v>
      </c>
      <c r="V184" s="2" t="s">
        <v>263</v>
      </c>
      <c r="W184" s="2">
        <v>95</v>
      </c>
      <c r="X184" s="2">
        <v>20</v>
      </c>
      <c r="Y184" s="2">
        <v>95</v>
      </c>
      <c r="Z184" s="2" t="s">
        <v>868</v>
      </c>
      <c r="AA184" s="2">
        <v>95</v>
      </c>
      <c r="AB184" s="2" t="s">
        <v>869</v>
      </c>
      <c r="AC184" s="2">
        <v>90</v>
      </c>
      <c r="AD184" s="2">
        <v>24</v>
      </c>
      <c r="AE184" s="2">
        <v>95</v>
      </c>
      <c r="AF184" s="2" t="s">
        <v>346</v>
      </c>
      <c r="AG184" s="2">
        <v>90</v>
      </c>
      <c r="AH184" s="2" t="s">
        <v>870</v>
      </c>
      <c r="AI184" s="2">
        <v>90</v>
      </c>
      <c r="AJ184" s="2" t="s">
        <v>268</v>
      </c>
      <c r="AK184" s="2">
        <v>90</v>
      </c>
    </row>
    <row r="185" spans="1:37" x14ac:dyDescent="0.25">
      <c r="A185" s="2" t="s">
        <v>113</v>
      </c>
      <c r="B185" s="2" t="s">
        <v>256</v>
      </c>
      <c r="C185" s="2" t="s">
        <v>9</v>
      </c>
      <c r="D185" s="3">
        <v>46080.530798611115</v>
      </c>
      <c r="E185" s="2">
        <v>81.459999999999994</v>
      </c>
      <c r="F185" s="2">
        <v>143</v>
      </c>
      <c r="G185" s="2">
        <v>0</v>
      </c>
      <c r="I185" s="2" t="s">
        <v>871</v>
      </c>
      <c r="J185" s="2" t="s">
        <v>872</v>
      </c>
      <c r="K185" s="2">
        <v>1</v>
      </c>
      <c r="L185" s="2">
        <v>3508007527</v>
      </c>
      <c r="M185" s="2">
        <v>98</v>
      </c>
      <c r="N185" s="2" t="s">
        <v>873</v>
      </c>
      <c r="O185" s="2">
        <v>95</v>
      </c>
      <c r="P185" s="2" t="s">
        <v>260</v>
      </c>
      <c r="Q185" s="2">
        <v>95</v>
      </c>
      <c r="R185" s="2" t="s">
        <v>723</v>
      </c>
      <c r="S185" s="2">
        <v>90</v>
      </c>
      <c r="T185" s="2" t="s">
        <v>874</v>
      </c>
      <c r="U185" s="2">
        <v>85</v>
      </c>
      <c r="V185" s="2" t="s">
        <v>263</v>
      </c>
      <c r="W185" s="2">
        <v>95</v>
      </c>
      <c r="X185" s="2">
        <v>1</v>
      </c>
      <c r="Y185" s="2">
        <v>95</v>
      </c>
      <c r="Z185" s="2" t="s">
        <v>875</v>
      </c>
      <c r="AA185" s="2">
        <v>96</v>
      </c>
      <c r="AB185" s="2" t="s">
        <v>876</v>
      </c>
      <c r="AC185" s="2">
        <v>92</v>
      </c>
      <c r="AD185" s="2">
        <v>1</v>
      </c>
      <c r="AE185" s="2">
        <v>92</v>
      </c>
      <c r="AF185" s="2" t="s">
        <v>739</v>
      </c>
      <c r="AG185" s="2">
        <v>80</v>
      </c>
      <c r="AH185" s="2" t="s">
        <v>877</v>
      </c>
      <c r="AI185" s="2">
        <v>93</v>
      </c>
      <c r="AJ185" s="2" t="s">
        <v>277</v>
      </c>
      <c r="AK185" s="2">
        <v>96</v>
      </c>
    </row>
    <row r="186" spans="1:37" x14ac:dyDescent="0.25">
      <c r="A186" s="2" t="s">
        <v>113</v>
      </c>
      <c r="B186" s="2" t="s">
        <v>256</v>
      </c>
      <c r="C186" s="2" t="s">
        <v>9</v>
      </c>
      <c r="D186" s="3">
        <v>46080.530798611115</v>
      </c>
      <c r="E186" s="2">
        <v>81.459999999999994</v>
      </c>
      <c r="F186" s="2">
        <v>143</v>
      </c>
      <c r="G186" s="2">
        <v>0</v>
      </c>
      <c r="I186" s="2" t="s">
        <v>871</v>
      </c>
      <c r="J186" s="2" t="s">
        <v>872</v>
      </c>
      <c r="K186" s="2">
        <v>2</v>
      </c>
      <c r="L186" s="2">
        <v>3508007527</v>
      </c>
      <c r="M186" s="2">
        <v>98</v>
      </c>
      <c r="N186" s="2" t="s">
        <v>873</v>
      </c>
      <c r="O186" s="2">
        <v>50</v>
      </c>
      <c r="P186" s="2" t="s">
        <v>260</v>
      </c>
      <c r="Q186" s="2">
        <v>50</v>
      </c>
      <c r="R186" s="2" t="s">
        <v>723</v>
      </c>
      <c r="S186" s="2">
        <v>50</v>
      </c>
      <c r="T186" s="2" t="s">
        <v>874</v>
      </c>
      <c r="U186" s="2">
        <v>50</v>
      </c>
      <c r="V186" s="2" t="s">
        <v>263</v>
      </c>
      <c r="W186" s="2">
        <v>50</v>
      </c>
      <c r="X186" s="2">
        <v>2</v>
      </c>
      <c r="Y186" s="2">
        <v>50</v>
      </c>
      <c r="Z186" s="2" t="s">
        <v>878</v>
      </c>
      <c r="AA186" s="2">
        <v>95</v>
      </c>
      <c r="AB186" s="2" t="s">
        <v>879</v>
      </c>
      <c r="AC186" s="2">
        <v>90</v>
      </c>
      <c r="AD186" s="2">
        <v>1</v>
      </c>
      <c r="AE186" s="2">
        <v>90</v>
      </c>
      <c r="AF186" s="2" t="s">
        <v>880</v>
      </c>
      <c r="AG186" s="2">
        <v>80</v>
      </c>
      <c r="AH186" s="2" t="s">
        <v>881</v>
      </c>
      <c r="AI186" s="2">
        <v>92</v>
      </c>
      <c r="AJ186" s="2" t="s">
        <v>277</v>
      </c>
      <c r="AK186" s="2">
        <v>96</v>
      </c>
    </row>
    <row r="187" spans="1:37" x14ac:dyDescent="0.25">
      <c r="A187" s="2" t="s">
        <v>113</v>
      </c>
      <c r="B187" s="2" t="s">
        <v>256</v>
      </c>
      <c r="C187" s="2" t="s">
        <v>9</v>
      </c>
      <c r="D187" s="3">
        <v>46080.530798611115</v>
      </c>
      <c r="E187" s="2">
        <v>81.459999999999994</v>
      </c>
      <c r="F187" s="2">
        <v>143</v>
      </c>
      <c r="G187" s="2">
        <v>0</v>
      </c>
      <c r="I187" s="2" t="s">
        <v>871</v>
      </c>
      <c r="J187" s="2" t="s">
        <v>872</v>
      </c>
      <c r="K187" s="2">
        <v>3</v>
      </c>
      <c r="L187" s="2">
        <v>3508007527</v>
      </c>
      <c r="M187" s="2">
        <v>98</v>
      </c>
      <c r="N187" s="2" t="s">
        <v>873</v>
      </c>
      <c r="O187" s="2">
        <v>50</v>
      </c>
      <c r="P187" s="2" t="s">
        <v>260</v>
      </c>
      <c r="Q187" s="2">
        <v>50</v>
      </c>
      <c r="R187" s="2" t="s">
        <v>723</v>
      </c>
      <c r="S187" s="2">
        <v>50</v>
      </c>
      <c r="T187" s="2" t="s">
        <v>874</v>
      </c>
      <c r="U187" s="2">
        <v>50</v>
      </c>
      <c r="V187" s="2" t="s">
        <v>263</v>
      </c>
      <c r="W187" s="2">
        <v>50</v>
      </c>
      <c r="X187" s="2">
        <v>3</v>
      </c>
      <c r="Y187" s="2">
        <v>50</v>
      </c>
      <c r="Z187" s="2" t="s">
        <v>882</v>
      </c>
      <c r="AA187" s="2">
        <v>95</v>
      </c>
      <c r="AB187" s="2" t="s">
        <v>883</v>
      </c>
      <c r="AC187" s="2">
        <v>90</v>
      </c>
      <c r="AD187" s="2">
        <v>3</v>
      </c>
      <c r="AE187" s="2">
        <v>90</v>
      </c>
      <c r="AF187" s="2" t="s">
        <v>735</v>
      </c>
      <c r="AG187" s="2">
        <v>80</v>
      </c>
      <c r="AH187" s="2" t="s">
        <v>884</v>
      </c>
      <c r="AI187" s="2">
        <v>92</v>
      </c>
      <c r="AJ187" s="2" t="s">
        <v>277</v>
      </c>
      <c r="AK187" s="2">
        <v>96</v>
      </c>
    </row>
    <row r="188" spans="1:37" x14ac:dyDescent="0.25">
      <c r="A188" s="2" t="s">
        <v>113</v>
      </c>
      <c r="B188" s="2" t="s">
        <v>256</v>
      </c>
      <c r="C188" s="2" t="s">
        <v>9</v>
      </c>
      <c r="D188" s="3">
        <v>46080.530798611115</v>
      </c>
      <c r="E188" s="2">
        <v>81.459999999999994</v>
      </c>
      <c r="F188" s="2">
        <v>143</v>
      </c>
      <c r="G188" s="2">
        <v>0</v>
      </c>
      <c r="I188" s="2" t="s">
        <v>871</v>
      </c>
      <c r="J188" s="2" t="s">
        <v>872</v>
      </c>
      <c r="K188" s="2">
        <v>4</v>
      </c>
      <c r="L188" s="2">
        <v>3508007527</v>
      </c>
      <c r="M188" s="2">
        <v>98</v>
      </c>
      <c r="N188" s="2" t="s">
        <v>873</v>
      </c>
      <c r="O188" s="2">
        <v>50</v>
      </c>
      <c r="P188" s="2" t="s">
        <v>260</v>
      </c>
      <c r="Q188" s="2">
        <v>50</v>
      </c>
      <c r="R188" s="2" t="s">
        <v>723</v>
      </c>
      <c r="S188" s="2">
        <v>50</v>
      </c>
      <c r="T188" s="2" t="s">
        <v>874</v>
      </c>
      <c r="U188" s="2">
        <v>50</v>
      </c>
      <c r="V188" s="2" t="s">
        <v>263</v>
      </c>
      <c r="W188" s="2">
        <v>50</v>
      </c>
      <c r="X188" s="2">
        <v>4</v>
      </c>
      <c r="Y188" s="2">
        <v>50</v>
      </c>
      <c r="Z188" s="2" t="s">
        <v>885</v>
      </c>
      <c r="AA188" s="2">
        <v>95</v>
      </c>
      <c r="AB188" s="2" t="s">
        <v>886</v>
      </c>
      <c r="AC188" s="2">
        <v>90</v>
      </c>
      <c r="AD188" s="2">
        <v>7</v>
      </c>
      <c r="AE188" s="2">
        <v>90</v>
      </c>
      <c r="AF188" s="2" t="s">
        <v>887</v>
      </c>
      <c r="AG188" s="2">
        <v>80</v>
      </c>
      <c r="AH188" s="2" t="s">
        <v>888</v>
      </c>
      <c r="AI188" s="2">
        <v>92</v>
      </c>
      <c r="AJ188" s="2" t="s">
        <v>277</v>
      </c>
      <c r="AK188" s="2">
        <v>96</v>
      </c>
    </row>
    <row r="189" spans="1:37" x14ac:dyDescent="0.25">
      <c r="A189" s="2" t="s">
        <v>113</v>
      </c>
      <c r="B189" s="2" t="s">
        <v>256</v>
      </c>
      <c r="C189" s="2" t="s">
        <v>9</v>
      </c>
      <c r="D189" s="3">
        <v>46080.530798611115</v>
      </c>
      <c r="E189" s="2">
        <v>81.459999999999994</v>
      </c>
      <c r="F189" s="2">
        <v>143</v>
      </c>
      <c r="G189" s="2">
        <v>0</v>
      </c>
      <c r="I189" s="2" t="s">
        <v>871</v>
      </c>
      <c r="J189" s="2" t="s">
        <v>872</v>
      </c>
      <c r="K189" s="2">
        <v>5</v>
      </c>
      <c r="L189" s="2">
        <v>3508007527</v>
      </c>
      <c r="M189" s="2">
        <v>98</v>
      </c>
      <c r="N189" s="2" t="s">
        <v>873</v>
      </c>
      <c r="O189" s="2">
        <v>50</v>
      </c>
      <c r="P189" s="2" t="s">
        <v>260</v>
      </c>
      <c r="Q189" s="2">
        <v>50</v>
      </c>
      <c r="R189" s="2" t="s">
        <v>723</v>
      </c>
      <c r="S189" s="2">
        <v>50</v>
      </c>
      <c r="T189" s="2" t="s">
        <v>874</v>
      </c>
      <c r="U189" s="2">
        <v>50</v>
      </c>
      <c r="V189" s="2" t="s">
        <v>263</v>
      </c>
      <c r="W189" s="2">
        <v>50</v>
      </c>
      <c r="X189" s="2">
        <v>5</v>
      </c>
      <c r="Y189" s="2">
        <v>50</v>
      </c>
      <c r="Z189" s="2" t="s">
        <v>889</v>
      </c>
      <c r="AA189" s="2">
        <v>95</v>
      </c>
      <c r="AB189" s="2" t="s">
        <v>890</v>
      </c>
      <c r="AC189" s="2">
        <v>92</v>
      </c>
      <c r="AD189" s="2">
        <v>1</v>
      </c>
      <c r="AE189" s="2">
        <v>92</v>
      </c>
      <c r="AF189" s="2" t="s">
        <v>891</v>
      </c>
      <c r="AG189" s="2">
        <v>85</v>
      </c>
      <c r="AH189" s="2" t="s">
        <v>892</v>
      </c>
      <c r="AI189" s="2">
        <v>93</v>
      </c>
      <c r="AJ189" s="2" t="s">
        <v>277</v>
      </c>
      <c r="AK189" s="2">
        <v>96</v>
      </c>
    </row>
    <row r="190" spans="1:37" x14ac:dyDescent="0.25">
      <c r="A190" s="2" t="s">
        <v>113</v>
      </c>
      <c r="B190" s="2" t="s">
        <v>256</v>
      </c>
      <c r="C190" s="2" t="s">
        <v>9</v>
      </c>
      <c r="D190" s="3">
        <v>46080.530798611115</v>
      </c>
      <c r="E190" s="2">
        <v>81.459999999999994</v>
      </c>
      <c r="F190" s="2">
        <v>143</v>
      </c>
      <c r="G190" s="2">
        <v>0</v>
      </c>
      <c r="I190" s="2" t="s">
        <v>871</v>
      </c>
      <c r="J190" s="2" t="s">
        <v>872</v>
      </c>
      <c r="K190" s="2">
        <v>6</v>
      </c>
      <c r="L190" s="2">
        <v>3508007527</v>
      </c>
      <c r="M190" s="2">
        <v>98</v>
      </c>
      <c r="N190" s="2" t="s">
        <v>873</v>
      </c>
      <c r="O190" s="2">
        <v>50</v>
      </c>
      <c r="P190" s="2" t="s">
        <v>260</v>
      </c>
      <c r="Q190" s="2">
        <v>50</v>
      </c>
      <c r="R190" s="2" t="s">
        <v>723</v>
      </c>
      <c r="S190" s="2">
        <v>50</v>
      </c>
      <c r="T190" s="2" t="s">
        <v>874</v>
      </c>
      <c r="U190" s="2">
        <v>50</v>
      </c>
      <c r="V190" s="2" t="s">
        <v>263</v>
      </c>
      <c r="W190" s="2">
        <v>50</v>
      </c>
      <c r="X190" s="2">
        <v>6</v>
      </c>
      <c r="Y190" s="2">
        <v>50</v>
      </c>
      <c r="Z190" s="2" t="s">
        <v>893</v>
      </c>
      <c r="AA190" s="2">
        <v>95</v>
      </c>
      <c r="AB190" s="2" t="s">
        <v>894</v>
      </c>
      <c r="AC190" s="2">
        <v>92</v>
      </c>
      <c r="AD190" s="2">
        <v>4</v>
      </c>
      <c r="AE190" s="2">
        <v>92</v>
      </c>
      <c r="AF190" s="2" t="s">
        <v>891</v>
      </c>
      <c r="AG190" s="2">
        <v>85</v>
      </c>
      <c r="AH190" s="2" t="s">
        <v>892</v>
      </c>
      <c r="AI190" s="2">
        <v>93</v>
      </c>
      <c r="AJ190" s="2" t="s">
        <v>277</v>
      </c>
      <c r="AK190" s="2">
        <v>96</v>
      </c>
    </row>
    <row r="191" spans="1:37" x14ac:dyDescent="0.25">
      <c r="A191" s="2" t="s">
        <v>113</v>
      </c>
      <c r="B191" s="2" t="s">
        <v>256</v>
      </c>
      <c r="C191" s="2" t="s">
        <v>9</v>
      </c>
      <c r="D191" s="3">
        <v>46080.530798611115</v>
      </c>
      <c r="E191" s="2">
        <v>81.459999999999994</v>
      </c>
      <c r="F191" s="2">
        <v>143</v>
      </c>
      <c r="G191" s="2">
        <v>0</v>
      </c>
      <c r="I191" s="2" t="s">
        <v>871</v>
      </c>
      <c r="J191" s="2" t="s">
        <v>872</v>
      </c>
      <c r="K191" s="2">
        <v>7</v>
      </c>
      <c r="L191" s="2">
        <v>3508007527</v>
      </c>
      <c r="M191" s="2">
        <v>98</v>
      </c>
      <c r="N191" s="2" t="s">
        <v>873</v>
      </c>
      <c r="O191" s="2">
        <v>50</v>
      </c>
      <c r="P191" s="2" t="s">
        <v>260</v>
      </c>
      <c r="Q191" s="2">
        <v>50</v>
      </c>
      <c r="R191" s="2" t="s">
        <v>723</v>
      </c>
      <c r="S191" s="2">
        <v>50</v>
      </c>
      <c r="T191" s="2" t="s">
        <v>874</v>
      </c>
      <c r="U191" s="2">
        <v>50</v>
      </c>
      <c r="V191" s="2" t="s">
        <v>263</v>
      </c>
      <c r="W191" s="2">
        <v>50</v>
      </c>
      <c r="X191" s="2">
        <v>7</v>
      </c>
      <c r="Y191" s="2">
        <v>50</v>
      </c>
      <c r="Z191" s="2" t="s">
        <v>895</v>
      </c>
      <c r="AA191" s="2">
        <v>95</v>
      </c>
      <c r="AB191" s="2" t="s">
        <v>896</v>
      </c>
      <c r="AC191" s="2">
        <v>90</v>
      </c>
      <c r="AD191" s="2">
        <v>6</v>
      </c>
      <c r="AE191" s="2">
        <v>90</v>
      </c>
      <c r="AF191" s="2" t="s">
        <v>897</v>
      </c>
      <c r="AG191" s="2">
        <v>80</v>
      </c>
      <c r="AH191" s="2" t="s">
        <v>898</v>
      </c>
      <c r="AI191" s="2">
        <v>92</v>
      </c>
      <c r="AJ191" s="2" t="s">
        <v>277</v>
      </c>
      <c r="AK191" s="2">
        <v>96</v>
      </c>
    </row>
    <row r="192" spans="1:37" x14ac:dyDescent="0.25">
      <c r="A192" s="2" t="s">
        <v>113</v>
      </c>
      <c r="B192" s="2" t="s">
        <v>256</v>
      </c>
      <c r="C192" s="2" t="s">
        <v>9</v>
      </c>
      <c r="D192" s="3">
        <v>46080.530798611115</v>
      </c>
      <c r="E192" s="2">
        <v>81.459999999999994</v>
      </c>
      <c r="F192" s="2">
        <v>143</v>
      </c>
      <c r="G192" s="2">
        <v>0</v>
      </c>
      <c r="I192" s="2" t="s">
        <v>871</v>
      </c>
      <c r="J192" s="2" t="s">
        <v>872</v>
      </c>
      <c r="K192" s="2">
        <v>8</v>
      </c>
      <c r="L192" s="2">
        <v>3508007527</v>
      </c>
      <c r="M192" s="2">
        <v>98</v>
      </c>
      <c r="N192" s="2" t="s">
        <v>873</v>
      </c>
      <c r="O192" s="2">
        <v>50</v>
      </c>
      <c r="P192" s="2" t="s">
        <v>260</v>
      </c>
      <c r="Q192" s="2">
        <v>50</v>
      </c>
      <c r="R192" s="2" t="s">
        <v>723</v>
      </c>
      <c r="S192" s="2">
        <v>50</v>
      </c>
      <c r="T192" s="2" t="s">
        <v>874</v>
      </c>
      <c r="U192" s="2">
        <v>50</v>
      </c>
      <c r="V192" s="2" t="s">
        <v>263</v>
      </c>
      <c r="W192" s="2">
        <v>50</v>
      </c>
      <c r="X192" s="2">
        <v>8</v>
      </c>
      <c r="Y192" s="2">
        <v>50</v>
      </c>
      <c r="Z192" s="2" t="s">
        <v>899</v>
      </c>
      <c r="AA192" s="2">
        <v>95</v>
      </c>
      <c r="AB192" s="2" t="s">
        <v>900</v>
      </c>
      <c r="AC192" s="2">
        <v>88</v>
      </c>
      <c r="AD192" s="2">
        <v>2</v>
      </c>
      <c r="AE192" s="2">
        <v>88</v>
      </c>
      <c r="AF192" s="2" t="s">
        <v>897</v>
      </c>
      <c r="AG192" s="2">
        <v>80</v>
      </c>
      <c r="AH192" s="2" t="s">
        <v>901</v>
      </c>
      <c r="AI192" s="2">
        <v>90</v>
      </c>
      <c r="AJ192" s="2" t="s">
        <v>277</v>
      </c>
      <c r="AK192" s="2">
        <v>96</v>
      </c>
    </row>
    <row r="193" spans="1:37" x14ac:dyDescent="0.25">
      <c r="A193" s="2" t="s">
        <v>113</v>
      </c>
      <c r="B193" s="2" t="s">
        <v>256</v>
      </c>
      <c r="C193" s="2" t="s">
        <v>9</v>
      </c>
      <c r="D193" s="3">
        <v>46080.530798611115</v>
      </c>
      <c r="E193" s="2">
        <v>81.459999999999994</v>
      </c>
      <c r="F193" s="2">
        <v>143</v>
      </c>
      <c r="G193" s="2">
        <v>0</v>
      </c>
      <c r="I193" s="2" t="s">
        <v>871</v>
      </c>
      <c r="J193" s="2" t="s">
        <v>872</v>
      </c>
      <c r="K193" s="2">
        <v>9</v>
      </c>
      <c r="L193" s="2">
        <v>3508007527</v>
      </c>
      <c r="M193" s="2">
        <v>98</v>
      </c>
      <c r="N193" s="2" t="s">
        <v>873</v>
      </c>
      <c r="O193" s="2">
        <v>50</v>
      </c>
      <c r="P193" s="2" t="s">
        <v>260</v>
      </c>
      <c r="Q193" s="2">
        <v>50</v>
      </c>
      <c r="R193" s="2" t="s">
        <v>723</v>
      </c>
      <c r="S193" s="2">
        <v>50</v>
      </c>
      <c r="T193" s="2" t="s">
        <v>874</v>
      </c>
      <c r="U193" s="2">
        <v>50</v>
      </c>
      <c r="V193" s="2" t="s">
        <v>263</v>
      </c>
      <c r="W193" s="2">
        <v>50</v>
      </c>
      <c r="X193" s="2">
        <v>9</v>
      </c>
      <c r="Y193" s="2">
        <v>50</v>
      </c>
      <c r="Z193" s="2" t="s">
        <v>902</v>
      </c>
      <c r="AA193" s="2">
        <v>95</v>
      </c>
      <c r="AB193" s="2" t="s">
        <v>903</v>
      </c>
      <c r="AC193" s="2">
        <v>90</v>
      </c>
      <c r="AD193" s="2">
        <v>4</v>
      </c>
      <c r="AE193" s="2">
        <v>90</v>
      </c>
      <c r="AF193" s="2" t="s">
        <v>904</v>
      </c>
      <c r="AG193" s="2">
        <v>80</v>
      </c>
      <c r="AH193" s="2" t="s">
        <v>905</v>
      </c>
      <c r="AI193" s="2">
        <v>93</v>
      </c>
      <c r="AJ193" s="2" t="s">
        <v>277</v>
      </c>
      <c r="AK193" s="2">
        <v>96</v>
      </c>
    </row>
    <row r="194" spans="1:37" x14ac:dyDescent="0.25">
      <c r="A194" s="2" t="s">
        <v>113</v>
      </c>
      <c r="B194" s="2" t="s">
        <v>256</v>
      </c>
      <c r="C194" s="2" t="s">
        <v>9</v>
      </c>
      <c r="D194" s="3">
        <v>46080.530798611115</v>
      </c>
      <c r="E194" s="2">
        <v>81.459999999999994</v>
      </c>
      <c r="F194" s="2">
        <v>143</v>
      </c>
      <c r="G194" s="2">
        <v>0</v>
      </c>
      <c r="I194" s="2" t="s">
        <v>871</v>
      </c>
      <c r="J194" s="2" t="s">
        <v>872</v>
      </c>
      <c r="K194" s="2">
        <v>10</v>
      </c>
      <c r="L194" s="2">
        <v>3508007527</v>
      </c>
      <c r="M194" s="2">
        <v>98</v>
      </c>
      <c r="N194" s="2" t="s">
        <v>873</v>
      </c>
      <c r="O194" s="2">
        <v>50</v>
      </c>
      <c r="P194" s="2" t="s">
        <v>260</v>
      </c>
      <c r="Q194" s="2">
        <v>50</v>
      </c>
      <c r="R194" s="2" t="s">
        <v>723</v>
      </c>
      <c r="S194" s="2">
        <v>50</v>
      </c>
      <c r="T194" s="2" t="s">
        <v>874</v>
      </c>
      <c r="U194" s="2">
        <v>50</v>
      </c>
      <c r="V194" s="2" t="s">
        <v>263</v>
      </c>
      <c r="W194" s="2">
        <v>50</v>
      </c>
      <c r="X194" s="2">
        <v>10</v>
      </c>
      <c r="Y194" s="2">
        <v>50</v>
      </c>
      <c r="Z194" s="2" t="s">
        <v>906</v>
      </c>
      <c r="AA194" s="2">
        <v>95</v>
      </c>
      <c r="AB194" s="2" t="s">
        <v>907</v>
      </c>
      <c r="AC194" s="2">
        <v>92</v>
      </c>
      <c r="AD194" s="2">
        <v>1</v>
      </c>
      <c r="AE194" s="2">
        <v>92</v>
      </c>
      <c r="AF194" s="2" t="s">
        <v>739</v>
      </c>
      <c r="AG194" s="2">
        <v>85</v>
      </c>
      <c r="AH194" s="2" t="s">
        <v>908</v>
      </c>
      <c r="AI194" s="2">
        <v>93</v>
      </c>
      <c r="AJ194" s="2" t="s">
        <v>277</v>
      </c>
      <c r="AK194" s="2">
        <v>96</v>
      </c>
    </row>
    <row r="195" spans="1:37" x14ac:dyDescent="0.25">
      <c r="A195" s="2" t="s">
        <v>113</v>
      </c>
      <c r="B195" s="2" t="s">
        <v>256</v>
      </c>
      <c r="C195" s="2" t="s">
        <v>9</v>
      </c>
      <c r="D195" s="3">
        <v>46080.530798611115</v>
      </c>
      <c r="E195" s="2">
        <v>81.459999999999994</v>
      </c>
      <c r="F195" s="2">
        <v>143</v>
      </c>
      <c r="G195" s="2">
        <v>0</v>
      </c>
      <c r="I195" s="2" t="s">
        <v>871</v>
      </c>
      <c r="J195" s="2" t="s">
        <v>872</v>
      </c>
      <c r="K195" s="2">
        <v>11</v>
      </c>
      <c r="L195" s="2">
        <v>3508007527</v>
      </c>
      <c r="M195" s="2">
        <v>98</v>
      </c>
      <c r="N195" s="2" t="s">
        <v>873</v>
      </c>
      <c r="O195" s="2">
        <v>50</v>
      </c>
      <c r="P195" s="2" t="s">
        <v>260</v>
      </c>
      <c r="Q195" s="2">
        <v>50</v>
      </c>
      <c r="R195" s="2" t="s">
        <v>723</v>
      </c>
      <c r="S195" s="2">
        <v>50</v>
      </c>
      <c r="T195" s="2" t="s">
        <v>874</v>
      </c>
      <c r="U195" s="2">
        <v>50</v>
      </c>
      <c r="V195" s="2" t="s">
        <v>263</v>
      </c>
      <c r="W195" s="2">
        <v>50</v>
      </c>
      <c r="X195" s="2">
        <v>11</v>
      </c>
      <c r="Y195" s="2">
        <v>50</v>
      </c>
      <c r="Z195" s="2" t="s">
        <v>909</v>
      </c>
      <c r="AA195" s="2">
        <v>95</v>
      </c>
      <c r="AB195" s="2" t="s">
        <v>910</v>
      </c>
      <c r="AC195" s="2">
        <v>88</v>
      </c>
      <c r="AD195" s="2">
        <v>2</v>
      </c>
      <c r="AE195" s="2">
        <v>88</v>
      </c>
      <c r="AF195" s="2" t="s">
        <v>911</v>
      </c>
      <c r="AG195" s="2">
        <v>80</v>
      </c>
      <c r="AH195" s="2" t="s">
        <v>912</v>
      </c>
      <c r="AI195" s="2">
        <v>90</v>
      </c>
      <c r="AJ195" s="2" t="s">
        <v>277</v>
      </c>
      <c r="AK195" s="2">
        <v>96</v>
      </c>
    </row>
    <row r="196" spans="1:37" x14ac:dyDescent="0.25">
      <c r="A196" s="2" t="s">
        <v>125</v>
      </c>
      <c r="B196" s="2" t="s">
        <v>256</v>
      </c>
      <c r="C196" s="2" t="s">
        <v>11</v>
      </c>
      <c r="D196" s="3">
        <v>46080.530798611115</v>
      </c>
      <c r="E196" s="2">
        <v>62</v>
      </c>
      <c r="F196" s="2">
        <v>0</v>
      </c>
      <c r="G196" s="2">
        <v>0</v>
      </c>
      <c r="I196" s="2" t="s">
        <v>913</v>
      </c>
    </row>
    <row r="197" spans="1:37" x14ac:dyDescent="0.25">
      <c r="A197" s="2" t="s">
        <v>185</v>
      </c>
      <c r="B197" s="2" t="s">
        <v>256</v>
      </c>
      <c r="C197" s="2" t="s">
        <v>9</v>
      </c>
      <c r="D197" s="3">
        <v>46080.530798611115</v>
      </c>
      <c r="E197" s="2">
        <v>89.99</v>
      </c>
      <c r="F197" s="2">
        <v>26</v>
      </c>
      <c r="G197" s="2">
        <v>0</v>
      </c>
      <c r="I197" s="2" t="s">
        <v>914</v>
      </c>
      <c r="J197" s="2" t="s">
        <v>825</v>
      </c>
      <c r="K197" s="2">
        <v>1</v>
      </c>
      <c r="L197" s="2">
        <v>1505040027</v>
      </c>
      <c r="M197" s="2">
        <v>98</v>
      </c>
      <c r="N197" s="2" t="s">
        <v>915</v>
      </c>
      <c r="O197" s="2">
        <v>92</v>
      </c>
      <c r="P197" s="2" t="s">
        <v>260</v>
      </c>
      <c r="Q197" s="2">
        <v>92</v>
      </c>
      <c r="R197" s="2" t="s">
        <v>827</v>
      </c>
      <c r="S197" s="2">
        <v>90</v>
      </c>
      <c r="T197" s="2" t="s">
        <v>916</v>
      </c>
      <c r="U197" s="2">
        <v>88</v>
      </c>
      <c r="V197" s="2" t="s">
        <v>263</v>
      </c>
      <c r="W197" s="2">
        <v>95</v>
      </c>
      <c r="X197" s="2">
        <v>1</v>
      </c>
      <c r="Y197" s="2">
        <v>96</v>
      </c>
      <c r="Z197" s="2" t="s">
        <v>917</v>
      </c>
      <c r="AA197" s="2">
        <v>96</v>
      </c>
      <c r="AB197" s="2" t="s">
        <v>918</v>
      </c>
      <c r="AC197" s="2">
        <v>90</v>
      </c>
      <c r="AD197" s="2">
        <v>20</v>
      </c>
      <c r="AE197" s="2">
        <v>95</v>
      </c>
      <c r="AF197" s="2" t="s">
        <v>919</v>
      </c>
      <c r="AG197" s="2">
        <v>60</v>
      </c>
      <c r="AH197" s="2" t="s">
        <v>920</v>
      </c>
      <c r="AI197" s="2">
        <v>90</v>
      </c>
      <c r="AJ197" s="2" t="s">
        <v>921</v>
      </c>
      <c r="AK197" s="2">
        <v>92</v>
      </c>
    </row>
    <row r="198" spans="1:37" x14ac:dyDescent="0.25">
      <c r="A198" s="2" t="s">
        <v>185</v>
      </c>
      <c r="B198" s="2" t="s">
        <v>256</v>
      </c>
      <c r="C198" s="2" t="s">
        <v>9</v>
      </c>
      <c r="D198" s="3">
        <v>46080.530798611115</v>
      </c>
      <c r="E198" s="2">
        <v>89.99</v>
      </c>
      <c r="F198" s="2">
        <v>26</v>
      </c>
      <c r="G198" s="2">
        <v>0</v>
      </c>
      <c r="I198" s="2" t="s">
        <v>914</v>
      </c>
      <c r="J198" s="2" t="s">
        <v>825</v>
      </c>
      <c r="K198" s="2">
        <v>2</v>
      </c>
      <c r="L198" s="2">
        <v>1505040027</v>
      </c>
      <c r="M198" s="2">
        <v>98</v>
      </c>
      <c r="N198" s="2" t="s">
        <v>915</v>
      </c>
      <c r="O198" s="2">
        <v>92</v>
      </c>
      <c r="P198" s="2" t="s">
        <v>260</v>
      </c>
      <c r="Q198" s="2">
        <v>92</v>
      </c>
      <c r="R198" s="2" t="s">
        <v>827</v>
      </c>
      <c r="S198" s="2">
        <v>90</v>
      </c>
      <c r="T198" s="2" t="s">
        <v>916</v>
      </c>
      <c r="U198" s="2">
        <v>88</v>
      </c>
      <c r="V198" s="2" t="s">
        <v>263</v>
      </c>
      <c r="W198" s="2">
        <v>95</v>
      </c>
      <c r="X198" s="2">
        <v>2</v>
      </c>
      <c r="Y198" s="2">
        <v>96</v>
      </c>
      <c r="Z198" s="2" t="s">
        <v>922</v>
      </c>
      <c r="AA198" s="2">
        <v>85</v>
      </c>
      <c r="AB198" s="2" t="s">
        <v>923</v>
      </c>
      <c r="AC198" s="2">
        <v>86</v>
      </c>
      <c r="AD198" s="2">
        <v>1</v>
      </c>
      <c r="AE198" s="2">
        <v>92</v>
      </c>
      <c r="AF198" s="2" t="s">
        <v>924</v>
      </c>
      <c r="AG198" s="2">
        <v>60</v>
      </c>
      <c r="AH198" s="2" t="s">
        <v>925</v>
      </c>
      <c r="AI198" s="2">
        <v>86</v>
      </c>
      <c r="AJ198" s="2" t="s">
        <v>921</v>
      </c>
      <c r="AK198" s="2">
        <v>90</v>
      </c>
    </row>
    <row r="199" spans="1:37" x14ac:dyDescent="0.25">
      <c r="A199" s="2" t="s">
        <v>118</v>
      </c>
      <c r="B199" s="2" t="s">
        <v>256</v>
      </c>
      <c r="C199" s="2" t="s">
        <v>9</v>
      </c>
      <c r="D199" s="3">
        <v>46080.530787037038</v>
      </c>
      <c r="E199" s="2">
        <v>74.650000000000006</v>
      </c>
      <c r="F199" s="2">
        <v>20</v>
      </c>
      <c r="G199" s="2">
        <v>2</v>
      </c>
      <c r="I199" s="2" t="s">
        <v>926</v>
      </c>
      <c r="J199" s="2" t="s">
        <v>258</v>
      </c>
      <c r="K199" s="2">
        <v>1</v>
      </c>
      <c r="P199" s="2" t="s">
        <v>350</v>
      </c>
      <c r="Q199" s="2">
        <v>50</v>
      </c>
      <c r="R199" s="2" t="s">
        <v>927</v>
      </c>
      <c r="S199" s="2">
        <v>50</v>
      </c>
      <c r="T199" s="2" t="s">
        <v>928</v>
      </c>
      <c r="U199" s="2">
        <v>50</v>
      </c>
      <c r="X199" s="2">
        <v>1</v>
      </c>
      <c r="Y199" s="2">
        <v>90</v>
      </c>
      <c r="Z199" s="2" t="s">
        <v>929</v>
      </c>
      <c r="AA199" s="2">
        <v>95</v>
      </c>
      <c r="AB199" s="2" t="s">
        <v>930</v>
      </c>
      <c r="AC199" s="2">
        <v>90</v>
      </c>
      <c r="AD199" s="2">
        <v>40</v>
      </c>
      <c r="AE199" s="2">
        <v>95</v>
      </c>
      <c r="AF199" s="2" t="s">
        <v>931</v>
      </c>
      <c r="AG199" s="2">
        <v>90</v>
      </c>
      <c r="AI199" s="2">
        <v>10</v>
      </c>
      <c r="AJ199" s="2" t="s">
        <v>350</v>
      </c>
      <c r="AK199" s="2">
        <v>85</v>
      </c>
    </row>
    <row r="200" spans="1:37" x14ac:dyDescent="0.25">
      <c r="A200" s="2" t="s">
        <v>118</v>
      </c>
      <c r="B200" s="2" t="s">
        <v>256</v>
      </c>
      <c r="C200" s="2" t="s">
        <v>9</v>
      </c>
      <c r="D200" s="3">
        <v>46080.530787037038</v>
      </c>
      <c r="E200" s="2">
        <v>74.650000000000006</v>
      </c>
      <c r="F200" s="2">
        <v>20</v>
      </c>
      <c r="G200" s="2">
        <v>2</v>
      </c>
      <c r="I200" s="2" t="s">
        <v>926</v>
      </c>
      <c r="J200" s="2" t="s">
        <v>258</v>
      </c>
      <c r="K200" s="2">
        <v>2</v>
      </c>
      <c r="P200" s="2" t="s">
        <v>350</v>
      </c>
      <c r="Q200" s="2">
        <v>50</v>
      </c>
      <c r="R200" s="2" t="s">
        <v>927</v>
      </c>
      <c r="S200" s="2">
        <v>50</v>
      </c>
      <c r="T200" s="2" t="s">
        <v>928</v>
      </c>
      <c r="U200" s="2">
        <v>50</v>
      </c>
      <c r="X200" s="2">
        <v>2</v>
      </c>
      <c r="Y200" s="2">
        <v>85</v>
      </c>
      <c r="Z200" s="2" t="s">
        <v>929</v>
      </c>
      <c r="AA200" s="2">
        <v>95</v>
      </c>
      <c r="AB200" s="2" t="s">
        <v>930</v>
      </c>
      <c r="AC200" s="2">
        <v>90</v>
      </c>
      <c r="AD200" s="2">
        <v>40</v>
      </c>
      <c r="AE200" s="2">
        <v>95</v>
      </c>
      <c r="AF200" s="2" t="s">
        <v>931</v>
      </c>
      <c r="AG200" s="2">
        <v>90</v>
      </c>
      <c r="AI200" s="2">
        <v>10</v>
      </c>
      <c r="AJ200" s="2" t="s">
        <v>350</v>
      </c>
      <c r="AK200" s="2">
        <v>85</v>
      </c>
    </row>
    <row r="201" spans="1:37" x14ac:dyDescent="0.25">
      <c r="A201" s="2" t="s">
        <v>172</v>
      </c>
      <c r="B201" s="2" t="s">
        <v>256</v>
      </c>
      <c r="C201" s="2" t="s">
        <v>9</v>
      </c>
      <c r="D201" s="3">
        <v>46080.530787037038</v>
      </c>
      <c r="E201" s="2">
        <v>78.03</v>
      </c>
      <c r="F201" s="2">
        <v>348</v>
      </c>
      <c r="G201" s="2">
        <v>0</v>
      </c>
      <c r="I201" s="2" t="s">
        <v>932</v>
      </c>
      <c r="J201" s="2" t="s">
        <v>825</v>
      </c>
      <c r="K201" s="2">
        <v>1</v>
      </c>
      <c r="L201" s="2">
        <v>3504015923</v>
      </c>
      <c r="M201" s="2">
        <v>50</v>
      </c>
      <c r="N201" s="2" t="s">
        <v>933</v>
      </c>
      <c r="O201" s="2">
        <v>50</v>
      </c>
      <c r="P201" s="2" t="s">
        <v>260</v>
      </c>
      <c r="Q201" s="2">
        <v>50</v>
      </c>
      <c r="R201" s="2" t="s">
        <v>827</v>
      </c>
      <c r="S201" s="2">
        <v>50</v>
      </c>
      <c r="T201" s="2" t="s">
        <v>934</v>
      </c>
      <c r="U201" s="2">
        <v>50</v>
      </c>
      <c r="V201" s="2" t="s">
        <v>263</v>
      </c>
      <c r="W201" s="2">
        <v>50</v>
      </c>
      <c r="X201" s="2">
        <v>1</v>
      </c>
      <c r="Y201" s="2">
        <v>95</v>
      </c>
      <c r="Z201" s="2" t="s">
        <v>935</v>
      </c>
      <c r="AA201" s="2">
        <v>92</v>
      </c>
      <c r="AB201" s="2" t="s">
        <v>936</v>
      </c>
      <c r="AC201" s="2">
        <v>90</v>
      </c>
      <c r="AD201" s="2">
        <v>2</v>
      </c>
      <c r="AE201" s="2">
        <v>93</v>
      </c>
      <c r="AH201" s="2" t="s">
        <v>937</v>
      </c>
      <c r="AI201" s="2">
        <v>92</v>
      </c>
      <c r="AJ201" s="2" t="s">
        <v>268</v>
      </c>
      <c r="AK201" s="2">
        <v>94</v>
      </c>
    </row>
    <row r="202" spans="1:37" x14ac:dyDescent="0.25">
      <c r="A202" s="2" t="s">
        <v>172</v>
      </c>
      <c r="B202" s="2" t="s">
        <v>256</v>
      </c>
      <c r="C202" s="2" t="s">
        <v>9</v>
      </c>
      <c r="D202" s="3">
        <v>46080.530787037038</v>
      </c>
      <c r="E202" s="2">
        <v>78.03</v>
      </c>
      <c r="F202" s="2">
        <v>348</v>
      </c>
      <c r="G202" s="2">
        <v>0</v>
      </c>
      <c r="I202" s="2" t="s">
        <v>932</v>
      </c>
      <c r="J202" s="2" t="s">
        <v>825</v>
      </c>
      <c r="K202" s="2">
        <v>2</v>
      </c>
      <c r="L202" s="2">
        <v>3504015923</v>
      </c>
      <c r="M202" s="2">
        <v>50</v>
      </c>
      <c r="N202" s="2" t="s">
        <v>933</v>
      </c>
      <c r="O202" s="2">
        <v>50</v>
      </c>
      <c r="P202" s="2" t="s">
        <v>260</v>
      </c>
      <c r="Q202" s="2">
        <v>50</v>
      </c>
      <c r="R202" s="2" t="s">
        <v>827</v>
      </c>
      <c r="S202" s="2">
        <v>50</v>
      </c>
      <c r="T202" s="2" t="s">
        <v>934</v>
      </c>
      <c r="U202" s="2">
        <v>50</v>
      </c>
      <c r="V202" s="2" t="s">
        <v>263</v>
      </c>
      <c r="W202" s="2">
        <v>50</v>
      </c>
      <c r="X202" s="2">
        <v>2</v>
      </c>
      <c r="Y202" s="2">
        <v>94</v>
      </c>
      <c r="Z202" s="2" t="s">
        <v>938</v>
      </c>
      <c r="AA202" s="2">
        <v>90</v>
      </c>
      <c r="AB202" s="2" t="s">
        <v>939</v>
      </c>
      <c r="AC202" s="2">
        <v>88</v>
      </c>
      <c r="AD202" s="2">
        <v>2</v>
      </c>
      <c r="AE202" s="2">
        <v>92</v>
      </c>
      <c r="AH202" s="2" t="s">
        <v>940</v>
      </c>
      <c r="AI202" s="2">
        <v>90</v>
      </c>
      <c r="AJ202" s="2" t="s">
        <v>268</v>
      </c>
      <c r="AK202" s="2">
        <v>93</v>
      </c>
    </row>
    <row r="203" spans="1:37" x14ac:dyDescent="0.25">
      <c r="A203" s="2" t="s">
        <v>172</v>
      </c>
      <c r="B203" s="2" t="s">
        <v>256</v>
      </c>
      <c r="C203" s="2" t="s">
        <v>9</v>
      </c>
      <c r="D203" s="3">
        <v>46080.530787037038</v>
      </c>
      <c r="E203" s="2">
        <v>78.03</v>
      </c>
      <c r="F203" s="2">
        <v>348</v>
      </c>
      <c r="G203" s="2">
        <v>0</v>
      </c>
      <c r="I203" s="2" t="s">
        <v>932</v>
      </c>
      <c r="J203" s="2" t="s">
        <v>825</v>
      </c>
      <c r="K203" s="2">
        <v>3</v>
      </c>
      <c r="L203" s="2">
        <v>3504015923</v>
      </c>
      <c r="M203" s="2">
        <v>50</v>
      </c>
      <c r="N203" s="2" t="s">
        <v>933</v>
      </c>
      <c r="O203" s="2">
        <v>50</v>
      </c>
      <c r="P203" s="2" t="s">
        <v>260</v>
      </c>
      <c r="Q203" s="2">
        <v>50</v>
      </c>
      <c r="R203" s="2" t="s">
        <v>827</v>
      </c>
      <c r="S203" s="2">
        <v>50</v>
      </c>
      <c r="T203" s="2" t="s">
        <v>934</v>
      </c>
      <c r="U203" s="2">
        <v>50</v>
      </c>
      <c r="V203" s="2" t="s">
        <v>263</v>
      </c>
      <c r="W203" s="2">
        <v>50</v>
      </c>
      <c r="X203" s="2">
        <v>3</v>
      </c>
      <c r="Y203" s="2">
        <v>93</v>
      </c>
      <c r="Z203" s="2" t="s">
        <v>941</v>
      </c>
      <c r="AA203" s="2">
        <v>91</v>
      </c>
      <c r="AB203" s="2" t="s">
        <v>942</v>
      </c>
      <c r="AC203" s="2">
        <v>89</v>
      </c>
      <c r="AD203" s="2">
        <v>40</v>
      </c>
      <c r="AE203" s="2">
        <v>92</v>
      </c>
      <c r="AH203" s="2" t="s">
        <v>943</v>
      </c>
      <c r="AI203" s="2">
        <v>90</v>
      </c>
      <c r="AJ203" s="2" t="s">
        <v>268</v>
      </c>
      <c r="AK203" s="2">
        <v>93</v>
      </c>
    </row>
    <row r="204" spans="1:37" x14ac:dyDescent="0.25">
      <c r="A204" s="2" t="s">
        <v>172</v>
      </c>
      <c r="B204" s="2" t="s">
        <v>256</v>
      </c>
      <c r="C204" s="2" t="s">
        <v>9</v>
      </c>
      <c r="D204" s="3">
        <v>46080.530787037038</v>
      </c>
      <c r="E204" s="2">
        <v>78.03</v>
      </c>
      <c r="F204" s="2">
        <v>348</v>
      </c>
      <c r="G204" s="2">
        <v>0</v>
      </c>
      <c r="I204" s="2" t="s">
        <v>932</v>
      </c>
      <c r="J204" s="2" t="s">
        <v>825</v>
      </c>
      <c r="K204" s="2">
        <v>4</v>
      </c>
      <c r="L204" s="2">
        <v>3504015923</v>
      </c>
      <c r="M204" s="2">
        <v>50</v>
      </c>
      <c r="N204" s="2" t="s">
        <v>933</v>
      </c>
      <c r="O204" s="2">
        <v>50</v>
      </c>
      <c r="P204" s="2" t="s">
        <v>260</v>
      </c>
      <c r="Q204" s="2">
        <v>50</v>
      </c>
      <c r="R204" s="2" t="s">
        <v>827</v>
      </c>
      <c r="S204" s="2">
        <v>50</v>
      </c>
      <c r="T204" s="2" t="s">
        <v>934</v>
      </c>
      <c r="U204" s="2">
        <v>50</v>
      </c>
      <c r="V204" s="2" t="s">
        <v>263</v>
      </c>
      <c r="W204" s="2">
        <v>50</v>
      </c>
      <c r="X204" s="2">
        <v>4</v>
      </c>
      <c r="Y204" s="2">
        <v>93</v>
      </c>
      <c r="Z204" s="2" t="s">
        <v>944</v>
      </c>
      <c r="AA204" s="2">
        <v>92</v>
      </c>
      <c r="AB204" s="2" t="s">
        <v>945</v>
      </c>
      <c r="AC204" s="2">
        <v>90</v>
      </c>
      <c r="AD204" s="2">
        <v>2</v>
      </c>
      <c r="AE204" s="2">
        <v>92</v>
      </c>
      <c r="AH204" s="2" t="s">
        <v>946</v>
      </c>
      <c r="AI204" s="2">
        <v>92</v>
      </c>
      <c r="AJ204" s="2" t="s">
        <v>268</v>
      </c>
      <c r="AK204" s="2">
        <v>93</v>
      </c>
    </row>
    <row r="205" spans="1:37" x14ac:dyDescent="0.25">
      <c r="A205" s="2" t="s">
        <v>172</v>
      </c>
      <c r="B205" s="2" t="s">
        <v>256</v>
      </c>
      <c r="C205" s="2" t="s">
        <v>9</v>
      </c>
      <c r="D205" s="3">
        <v>46080.530787037038</v>
      </c>
      <c r="E205" s="2">
        <v>78.03</v>
      </c>
      <c r="F205" s="2">
        <v>348</v>
      </c>
      <c r="G205" s="2">
        <v>0</v>
      </c>
      <c r="I205" s="2" t="s">
        <v>932</v>
      </c>
      <c r="J205" s="2" t="s">
        <v>825</v>
      </c>
      <c r="K205" s="2">
        <v>5</v>
      </c>
      <c r="L205" s="2">
        <v>3504015923</v>
      </c>
      <c r="M205" s="2">
        <v>50</v>
      </c>
      <c r="N205" s="2" t="s">
        <v>933</v>
      </c>
      <c r="O205" s="2">
        <v>50</v>
      </c>
      <c r="P205" s="2" t="s">
        <v>260</v>
      </c>
      <c r="Q205" s="2">
        <v>50</v>
      </c>
      <c r="R205" s="2" t="s">
        <v>827</v>
      </c>
      <c r="S205" s="2">
        <v>50</v>
      </c>
      <c r="T205" s="2" t="s">
        <v>934</v>
      </c>
      <c r="U205" s="2">
        <v>50</v>
      </c>
      <c r="V205" s="2" t="s">
        <v>263</v>
      </c>
      <c r="W205" s="2">
        <v>50</v>
      </c>
      <c r="X205" s="2">
        <v>5</v>
      </c>
      <c r="Y205" s="2">
        <v>92</v>
      </c>
      <c r="Z205" s="2" t="s">
        <v>947</v>
      </c>
      <c r="AA205" s="2">
        <v>90</v>
      </c>
      <c r="AB205" s="2" t="s">
        <v>948</v>
      </c>
      <c r="AC205" s="2">
        <v>88</v>
      </c>
      <c r="AD205" s="2">
        <v>1</v>
      </c>
      <c r="AE205" s="2">
        <v>92</v>
      </c>
      <c r="AH205" s="2" t="s">
        <v>949</v>
      </c>
      <c r="AI205" s="2">
        <v>90</v>
      </c>
      <c r="AJ205" s="2" t="s">
        <v>268</v>
      </c>
      <c r="AK205" s="2">
        <v>92</v>
      </c>
    </row>
    <row r="206" spans="1:37" x14ac:dyDescent="0.25">
      <c r="A206" s="2" t="s">
        <v>172</v>
      </c>
      <c r="B206" s="2" t="s">
        <v>256</v>
      </c>
      <c r="C206" s="2" t="s">
        <v>9</v>
      </c>
      <c r="D206" s="3">
        <v>46080.530787037038</v>
      </c>
      <c r="E206" s="2">
        <v>78.03</v>
      </c>
      <c r="F206" s="2">
        <v>348</v>
      </c>
      <c r="G206" s="2">
        <v>0</v>
      </c>
      <c r="I206" s="2" t="s">
        <v>932</v>
      </c>
      <c r="J206" s="2" t="s">
        <v>825</v>
      </c>
      <c r="K206" s="2">
        <v>6</v>
      </c>
      <c r="L206" s="2">
        <v>3504015923</v>
      </c>
      <c r="M206" s="2">
        <v>50</v>
      </c>
      <c r="N206" s="2" t="s">
        <v>933</v>
      </c>
      <c r="O206" s="2">
        <v>50</v>
      </c>
      <c r="P206" s="2" t="s">
        <v>260</v>
      </c>
      <c r="Q206" s="2">
        <v>50</v>
      </c>
      <c r="R206" s="2" t="s">
        <v>827</v>
      </c>
      <c r="S206" s="2">
        <v>50</v>
      </c>
      <c r="T206" s="2" t="s">
        <v>934</v>
      </c>
      <c r="U206" s="2">
        <v>50</v>
      </c>
      <c r="V206" s="2" t="s">
        <v>263</v>
      </c>
      <c r="W206" s="2">
        <v>50</v>
      </c>
      <c r="X206" s="2">
        <v>6</v>
      </c>
      <c r="Y206" s="2">
        <v>92</v>
      </c>
      <c r="Z206" s="2" t="s">
        <v>950</v>
      </c>
      <c r="AA206" s="2">
        <v>90</v>
      </c>
      <c r="AB206" s="2" t="s">
        <v>951</v>
      </c>
      <c r="AC206" s="2">
        <v>88</v>
      </c>
      <c r="AD206" s="2">
        <v>1</v>
      </c>
      <c r="AE206" s="2">
        <v>92</v>
      </c>
      <c r="AH206" s="2" t="s">
        <v>952</v>
      </c>
      <c r="AI206" s="2">
        <v>90</v>
      </c>
      <c r="AJ206" s="2" t="s">
        <v>268</v>
      </c>
      <c r="AK206" s="2">
        <v>92</v>
      </c>
    </row>
    <row r="207" spans="1:37" x14ac:dyDescent="0.25">
      <c r="A207" s="2" t="s">
        <v>172</v>
      </c>
      <c r="B207" s="2" t="s">
        <v>256</v>
      </c>
      <c r="C207" s="2" t="s">
        <v>9</v>
      </c>
      <c r="D207" s="3">
        <v>46080.530787037038</v>
      </c>
      <c r="E207" s="2">
        <v>78.03</v>
      </c>
      <c r="F207" s="2">
        <v>348</v>
      </c>
      <c r="G207" s="2">
        <v>0</v>
      </c>
      <c r="I207" s="2" t="s">
        <v>932</v>
      </c>
      <c r="J207" s="2" t="s">
        <v>825</v>
      </c>
      <c r="K207" s="2">
        <v>7</v>
      </c>
      <c r="L207" s="2">
        <v>3504015923</v>
      </c>
      <c r="M207" s="2">
        <v>50</v>
      </c>
      <c r="N207" s="2" t="s">
        <v>933</v>
      </c>
      <c r="O207" s="2">
        <v>50</v>
      </c>
      <c r="P207" s="2" t="s">
        <v>260</v>
      </c>
      <c r="Q207" s="2">
        <v>50</v>
      </c>
      <c r="R207" s="2" t="s">
        <v>827</v>
      </c>
      <c r="S207" s="2">
        <v>50</v>
      </c>
      <c r="T207" s="2" t="s">
        <v>934</v>
      </c>
      <c r="U207" s="2">
        <v>50</v>
      </c>
      <c r="V207" s="2" t="s">
        <v>263</v>
      </c>
      <c r="W207" s="2">
        <v>50</v>
      </c>
      <c r="X207" s="2">
        <v>7</v>
      </c>
      <c r="Y207" s="2">
        <v>92</v>
      </c>
      <c r="Z207" s="2" t="s">
        <v>953</v>
      </c>
      <c r="AA207" s="2">
        <v>91</v>
      </c>
      <c r="AB207" s="2" t="s">
        <v>954</v>
      </c>
      <c r="AC207" s="2">
        <v>89</v>
      </c>
      <c r="AD207" s="2">
        <v>2</v>
      </c>
      <c r="AE207" s="2">
        <v>92</v>
      </c>
      <c r="AH207" s="2" t="s">
        <v>955</v>
      </c>
      <c r="AI207" s="2">
        <v>91</v>
      </c>
      <c r="AJ207" s="2" t="s">
        <v>268</v>
      </c>
      <c r="AK207" s="2">
        <v>93</v>
      </c>
    </row>
    <row r="208" spans="1:37" x14ac:dyDescent="0.25">
      <c r="A208" s="2" t="s">
        <v>172</v>
      </c>
      <c r="B208" s="2" t="s">
        <v>256</v>
      </c>
      <c r="C208" s="2" t="s">
        <v>9</v>
      </c>
      <c r="D208" s="3">
        <v>46080.530787037038</v>
      </c>
      <c r="E208" s="2">
        <v>78.03</v>
      </c>
      <c r="F208" s="2">
        <v>348</v>
      </c>
      <c r="G208" s="2">
        <v>0</v>
      </c>
      <c r="I208" s="2" t="s">
        <v>932</v>
      </c>
      <c r="J208" s="2" t="s">
        <v>825</v>
      </c>
      <c r="K208" s="2">
        <v>8</v>
      </c>
      <c r="L208" s="2">
        <v>3504015923</v>
      </c>
      <c r="M208" s="2">
        <v>50</v>
      </c>
      <c r="N208" s="2" t="s">
        <v>933</v>
      </c>
      <c r="O208" s="2">
        <v>50</v>
      </c>
      <c r="P208" s="2" t="s">
        <v>260</v>
      </c>
      <c r="Q208" s="2">
        <v>50</v>
      </c>
      <c r="R208" s="2" t="s">
        <v>827</v>
      </c>
      <c r="S208" s="2">
        <v>50</v>
      </c>
      <c r="T208" s="2" t="s">
        <v>934</v>
      </c>
      <c r="U208" s="2">
        <v>50</v>
      </c>
      <c r="V208" s="2" t="s">
        <v>263</v>
      </c>
      <c r="W208" s="2">
        <v>50</v>
      </c>
      <c r="X208" s="2">
        <v>8</v>
      </c>
      <c r="Y208" s="2">
        <v>90</v>
      </c>
      <c r="Z208" s="2" t="s">
        <v>956</v>
      </c>
      <c r="AA208" s="2">
        <v>88</v>
      </c>
      <c r="AB208" s="2" t="s">
        <v>957</v>
      </c>
      <c r="AC208" s="2">
        <v>87</v>
      </c>
      <c r="AD208" s="2">
        <v>27</v>
      </c>
      <c r="AE208" s="2">
        <v>91</v>
      </c>
      <c r="AH208" s="2" t="s">
        <v>958</v>
      </c>
      <c r="AI208" s="2">
        <v>90</v>
      </c>
      <c r="AJ208" s="2" t="s">
        <v>268</v>
      </c>
      <c r="AK208" s="2">
        <v>92</v>
      </c>
    </row>
    <row r="209" spans="1:37" x14ac:dyDescent="0.25">
      <c r="A209" s="2" t="s">
        <v>172</v>
      </c>
      <c r="B209" s="2" t="s">
        <v>256</v>
      </c>
      <c r="C209" s="2" t="s">
        <v>9</v>
      </c>
      <c r="D209" s="3">
        <v>46080.530787037038</v>
      </c>
      <c r="E209" s="2">
        <v>78.03</v>
      </c>
      <c r="F209" s="2">
        <v>348</v>
      </c>
      <c r="G209" s="2">
        <v>0</v>
      </c>
      <c r="I209" s="2" t="s">
        <v>932</v>
      </c>
      <c r="J209" s="2" t="s">
        <v>825</v>
      </c>
      <c r="K209" s="2">
        <v>9</v>
      </c>
      <c r="L209" s="2">
        <v>3504015923</v>
      </c>
      <c r="M209" s="2">
        <v>50</v>
      </c>
      <c r="N209" s="2" t="s">
        <v>933</v>
      </c>
      <c r="O209" s="2">
        <v>50</v>
      </c>
      <c r="P209" s="2" t="s">
        <v>260</v>
      </c>
      <c r="Q209" s="2">
        <v>50</v>
      </c>
      <c r="R209" s="2" t="s">
        <v>827</v>
      </c>
      <c r="S209" s="2">
        <v>50</v>
      </c>
      <c r="T209" s="2" t="s">
        <v>934</v>
      </c>
      <c r="U209" s="2">
        <v>50</v>
      </c>
      <c r="V209" s="2" t="s">
        <v>263</v>
      </c>
      <c r="W209" s="2">
        <v>50</v>
      </c>
      <c r="X209" s="2">
        <v>9</v>
      </c>
      <c r="Y209" s="2">
        <v>92</v>
      </c>
      <c r="Z209" s="2" t="s">
        <v>959</v>
      </c>
      <c r="AA209" s="2">
        <v>90</v>
      </c>
      <c r="AB209" s="2" t="s">
        <v>960</v>
      </c>
      <c r="AC209" s="2">
        <v>89</v>
      </c>
      <c r="AD209" s="2">
        <v>10</v>
      </c>
      <c r="AE209" s="2">
        <v>92</v>
      </c>
      <c r="AH209" s="2" t="s">
        <v>961</v>
      </c>
      <c r="AI209" s="2">
        <v>90</v>
      </c>
      <c r="AJ209" s="2" t="s">
        <v>268</v>
      </c>
      <c r="AK209" s="2">
        <v>93</v>
      </c>
    </row>
    <row r="210" spans="1:37" x14ac:dyDescent="0.25">
      <c r="A210" s="2" t="s">
        <v>172</v>
      </c>
      <c r="B210" s="2" t="s">
        <v>256</v>
      </c>
      <c r="C210" s="2" t="s">
        <v>9</v>
      </c>
      <c r="D210" s="3">
        <v>46080.530787037038</v>
      </c>
      <c r="E210" s="2">
        <v>78.03</v>
      </c>
      <c r="F210" s="2">
        <v>348</v>
      </c>
      <c r="G210" s="2">
        <v>0</v>
      </c>
      <c r="I210" s="2" t="s">
        <v>932</v>
      </c>
      <c r="J210" s="2" t="s">
        <v>825</v>
      </c>
      <c r="K210" s="2">
        <v>10</v>
      </c>
      <c r="L210" s="2">
        <v>3504015923</v>
      </c>
      <c r="M210" s="2">
        <v>50</v>
      </c>
      <c r="N210" s="2" t="s">
        <v>933</v>
      </c>
      <c r="O210" s="2">
        <v>50</v>
      </c>
      <c r="P210" s="2" t="s">
        <v>260</v>
      </c>
      <c r="Q210" s="2">
        <v>50</v>
      </c>
      <c r="R210" s="2" t="s">
        <v>827</v>
      </c>
      <c r="S210" s="2">
        <v>50</v>
      </c>
      <c r="T210" s="2" t="s">
        <v>934</v>
      </c>
      <c r="U210" s="2">
        <v>50</v>
      </c>
      <c r="V210" s="2" t="s">
        <v>263</v>
      </c>
      <c r="W210" s="2">
        <v>50</v>
      </c>
      <c r="X210" s="2">
        <v>10</v>
      </c>
      <c r="Y210" s="2">
        <v>92</v>
      </c>
      <c r="Z210" s="2" t="s">
        <v>962</v>
      </c>
      <c r="AA210" s="2">
        <v>90</v>
      </c>
      <c r="AB210" s="2" t="s">
        <v>963</v>
      </c>
      <c r="AC210" s="2">
        <v>89</v>
      </c>
      <c r="AD210" s="2">
        <v>13</v>
      </c>
      <c r="AE210" s="2">
        <v>92</v>
      </c>
      <c r="AH210" s="2" t="s">
        <v>964</v>
      </c>
      <c r="AI210" s="2">
        <v>90</v>
      </c>
      <c r="AJ210" s="2" t="s">
        <v>268</v>
      </c>
      <c r="AK210" s="2">
        <v>93</v>
      </c>
    </row>
    <row r="211" spans="1:37" x14ac:dyDescent="0.25">
      <c r="A211" s="2" t="s">
        <v>172</v>
      </c>
      <c r="B211" s="2" t="s">
        <v>256</v>
      </c>
      <c r="C211" s="2" t="s">
        <v>9</v>
      </c>
      <c r="D211" s="3">
        <v>46080.530787037038</v>
      </c>
      <c r="E211" s="2">
        <v>78.03</v>
      </c>
      <c r="F211" s="2">
        <v>348</v>
      </c>
      <c r="G211" s="2">
        <v>0</v>
      </c>
      <c r="I211" s="2" t="s">
        <v>932</v>
      </c>
      <c r="J211" s="2" t="s">
        <v>825</v>
      </c>
      <c r="K211" s="2">
        <v>11</v>
      </c>
      <c r="L211" s="2">
        <v>3504015923</v>
      </c>
      <c r="M211" s="2">
        <v>50</v>
      </c>
      <c r="N211" s="2" t="s">
        <v>933</v>
      </c>
      <c r="O211" s="2">
        <v>50</v>
      </c>
      <c r="P211" s="2" t="s">
        <v>260</v>
      </c>
      <c r="Q211" s="2">
        <v>50</v>
      </c>
      <c r="R211" s="2" t="s">
        <v>827</v>
      </c>
      <c r="S211" s="2">
        <v>50</v>
      </c>
      <c r="T211" s="2" t="s">
        <v>934</v>
      </c>
      <c r="U211" s="2">
        <v>50</v>
      </c>
      <c r="V211" s="2" t="s">
        <v>263</v>
      </c>
      <c r="W211" s="2">
        <v>50</v>
      </c>
      <c r="X211" s="2">
        <v>11</v>
      </c>
      <c r="Y211" s="2">
        <v>92</v>
      </c>
      <c r="Z211" s="2" t="s">
        <v>844</v>
      </c>
      <c r="AA211" s="2">
        <v>91</v>
      </c>
      <c r="AB211" s="2" t="s">
        <v>845</v>
      </c>
      <c r="AC211" s="2">
        <v>89</v>
      </c>
      <c r="AD211" s="2">
        <v>10</v>
      </c>
      <c r="AE211" s="2">
        <v>92</v>
      </c>
      <c r="AH211" s="2" t="s">
        <v>965</v>
      </c>
      <c r="AI211" s="2">
        <v>91</v>
      </c>
      <c r="AJ211" s="2" t="s">
        <v>268</v>
      </c>
      <c r="AK211" s="2">
        <v>93</v>
      </c>
    </row>
    <row r="212" spans="1:37" x14ac:dyDescent="0.25">
      <c r="A212" s="2" t="s">
        <v>172</v>
      </c>
      <c r="B212" s="2" t="s">
        <v>256</v>
      </c>
      <c r="C212" s="2" t="s">
        <v>9</v>
      </c>
      <c r="D212" s="3">
        <v>46080.530787037038</v>
      </c>
      <c r="E212" s="2">
        <v>78.03</v>
      </c>
      <c r="F212" s="2">
        <v>348</v>
      </c>
      <c r="G212" s="2">
        <v>0</v>
      </c>
      <c r="I212" s="2" t="s">
        <v>932</v>
      </c>
      <c r="J212" s="2" t="s">
        <v>825</v>
      </c>
      <c r="K212" s="2">
        <v>12</v>
      </c>
      <c r="L212" s="2">
        <v>3504015923</v>
      </c>
      <c r="M212" s="2">
        <v>50</v>
      </c>
      <c r="N212" s="2" t="s">
        <v>933</v>
      </c>
      <c r="O212" s="2">
        <v>50</v>
      </c>
      <c r="P212" s="2" t="s">
        <v>260</v>
      </c>
      <c r="Q212" s="2">
        <v>50</v>
      </c>
      <c r="R212" s="2" t="s">
        <v>827</v>
      </c>
      <c r="S212" s="2">
        <v>50</v>
      </c>
      <c r="T212" s="2" t="s">
        <v>934</v>
      </c>
      <c r="U212" s="2">
        <v>50</v>
      </c>
      <c r="V212" s="2" t="s">
        <v>263</v>
      </c>
      <c r="W212" s="2">
        <v>50</v>
      </c>
      <c r="X212" s="2">
        <v>12</v>
      </c>
      <c r="Y212" s="2">
        <v>92</v>
      </c>
      <c r="Z212" s="2" t="s">
        <v>966</v>
      </c>
      <c r="AA212" s="2">
        <v>91</v>
      </c>
      <c r="AB212" s="2" t="s">
        <v>967</v>
      </c>
      <c r="AC212" s="2">
        <v>89</v>
      </c>
      <c r="AD212" s="2">
        <v>13</v>
      </c>
      <c r="AE212" s="2">
        <v>92</v>
      </c>
      <c r="AH212" s="2" t="s">
        <v>968</v>
      </c>
      <c r="AI212" s="2">
        <v>91</v>
      </c>
      <c r="AJ212" s="2" t="s">
        <v>268</v>
      </c>
      <c r="AK212" s="2">
        <v>93</v>
      </c>
    </row>
    <row r="213" spans="1:37" x14ac:dyDescent="0.25">
      <c r="A213" s="2" t="s">
        <v>172</v>
      </c>
      <c r="B213" s="2" t="s">
        <v>256</v>
      </c>
      <c r="C213" s="2" t="s">
        <v>9</v>
      </c>
      <c r="D213" s="3">
        <v>46080.530787037038</v>
      </c>
      <c r="E213" s="2">
        <v>78.03</v>
      </c>
      <c r="F213" s="2">
        <v>348</v>
      </c>
      <c r="G213" s="2">
        <v>0</v>
      </c>
      <c r="I213" s="2" t="s">
        <v>932</v>
      </c>
      <c r="J213" s="2" t="s">
        <v>825</v>
      </c>
      <c r="K213" s="2">
        <v>13</v>
      </c>
      <c r="L213" s="2">
        <v>3504015923</v>
      </c>
      <c r="M213" s="2">
        <v>50</v>
      </c>
      <c r="N213" s="2" t="s">
        <v>933</v>
      </c>
      <c r="O213" s="2">
        <v>50</v>
      </c>
      <c r="P213" s="2" t="s">
        <v>260</v>
      </c>
      <c r="Q213" s="2">
        <v>50</v>
      </c>
      <c r="R213" s="2" t="s">
        <v>827</v>
      </c>
      <c r="S213" s="2">
        <v>50</v>
      </c>
      <c r="T213" s="2" t="s">
        <v>934</v>
      </c>
      <c r="U213" s="2">
        <v>50</v>
      </c>
      <c r="V213" s="2" t="s">
        <v>263</v>
      </c>
      <c r="W213" s="2">
        <v>50</v>
      </c>
      <c r="X213" s="2">
        <v>13</v>
      </c>
      <c r="Y213" s="2">
        <v>92</v>
      </c>
      <c r="Z213" s="2" t="s">
        <v>969</v>
      </c>
      <c r="AA213" s="2">
        <v>92</v>
      </c>
      <c r="AB213" s="2" t="s">
        <v>970</v>
      </c>
      <c r="AC213" s="2">
        <v>90</v>
      </c>
      <c r="AD213" s="2">
        <v>1</v>
      </c>
      <c r="AE213" s="2">
        <v>92</v>
      </c>
      <c r="AH213" s="2" t="s">
        <v>971</v>
      </c>
      <c r="AI213" s="2">
        <v>91</v>
      </c>
      <c r="AJ213" s="2" t="s">
        <v>268</v>
      </c>
      <c r="AK213" s="2">
        <v>93</v>
      </c>
    </row>
    <row r="214" spans="1:37" x14ac:dyDescent="0.25">
      <c r="A214" s="2" t="s">
        <v>172</v>
      </c>
      <c r="B214" s="2" t="s">
        <v>256</v>
      </c>
      <c r="C214" s="2" t="s">
        <v>9</v>
      </c>
      <c r="D214" s="3">
        <v>46080.530787037038</v>
      </c>
      <c r="E214" s="2">
        <v>78.03</v>
      </c>
      <c r="F214" s="2">
        <v>348</v>
      </c>
      <c r="G214" s="2">
        <v>0</v>
      </c>
      <c r="I214" s="2" t="s">
        <v>932</v>
      </c>
      <c r="J214" s="2" t="s">
        <v>825</v>
      </c>
      <c r="K214" s="2">
        <v>14</v>
      </c>
      <c r="L214" s="2">
        <v>3504015923</v>
      </c>
      <c r="M214" s="2">
        <v>50</v>
      </c>
      <c r="N214" s="2" t="s">
        <v>933</v>
      </c>
      <c r="O214" s="2">
        <v>50</v>
      </c>
      <c r="P214" s="2" t="s">
        <v>260</v>
      </c>
      <c r="Q214" s="2">
        <v>50</v>
      </c>
      <c r="R214" s="2" t="s">
        <v>827</v>
      </c>
      <c r="S214" s="2">
        <v>50</v>
      </c>
      <c r="T214" s="2" t="s">
        <v>934</v>
      </c>
      <c r="U214" s="2">
        <v>50</v>
      </c>
      <c r="V214" s="2" t="s">
        <v>263</v>
      </c>
      <c r="W214" s="2">
        <v>50</v>
      </c>
      <c r="X214" s="2">
        <v>14</v>
      </c>
      <c r="Y214" s="2">
        <v>92</v>
      </c>
      <c r="Z214" s="2" t="s">
        <v>972</v>
      </c>
      <c r="AA214" s="2">
        <v>92</v>
      </c>
      <c r="AB214" s="2" t="s">
        <v>973</v>
      </c>
      <c r="AC214" s="2">
        <v>90</v>
      </c>
      <c r="AD214" s="2">
        <v>28</v>
      </c>
      <c r="AE214" s="2">
        <v>92</v>
      </c>
      <c r="AH214" s="2" t="s">
        <v>974</v>
      </c>
      <c r="AI214" s="2">
        <v>91</v>
      </c>
      <c r="AJ214" s="2" t="s">
        <v>268</v>
      </c>
      <c r="AK214" s="2">
        <v>93</v>
      </c>
    </row>
    <row r="215" spans="1:37" x14ac:dyDescent="0.25">
      <c r="A215" s="2" t="s">
        <v>172</v>
      </c>
      <c r="B215" s="2" t="s">
        <v>256</v>
      </c>
      <c r="C215" s="2" t="s">
        <v>9</v>
      </c>
      <c r="D215" s="3">
        <v>46080.530787037038</v>
      </c>
      <c r="E215" s="2">
        <v>78.03</v>
      </c>
      <c r="F215" s="2">
        <v>348</v>
      </c>
      <c r="G215" s="2">
        <v>0</v>
      </c>
      <c r="I215" s="2" t="s">
        <v>932</v>
      </c>
      <c r="J215" s="2" t="s">
        <v>825</v>
      </c>
      <c r="K215" s="2">
        <v>15</v>
      </c>
      <c r="L215" s="2">
        <v>3504015923</v>
      </c>
      <c r="M215" s="2">
        <v>50</v>
      </c>
      <c r="N215" s="2" t="s">
        <v>933</v>
      </c>
      <c r="O215" s="2">
        <v>50</v>
      </c>
      <c r="P215" s="2" t="s">
        <v>260</v>
      </c>
      <c r="Q215" s="2">
        <v>50</v>
      </c>
      <c r="R215" s="2" t="s">
        <v>827</v>
      </c>
      <c r="S215" s="2">
        <v>50</v>
      </c>
      <c r="T215" s="2" t="s">
        <v>934</v>
      </c>
      <c r="U215" s="2">
        <v>50</v>
      </c>
      <c r="V215" s="2" t="s">
        <v>263</v>
      </c>
      <c r="W215" s="2">
        <v>50</v>
      </c>
      <c r="X215" s="2">
        <v>15</v>
      </c>
      <c r="Y215" s="2">
        <v>92</v>
      </c>
      <c r="Z215" s="2" t="s">
        <v>975</v>
      </c>
      <c r="AA215" s="2">
        <v>91</v>
      </c>
      <c r="AB215" s="2" t="s">
        <v>976</v>
      </c>
      <c r="AC215" s="2">
        <v>89</v>
      </c>
      <c r="AD215" s="2">
        <v>96</v>
      </c>
      <c r="AE215" s="2">
        <v>92</v>
      </c>
      <c r="AH215" s="2" t="s">
        <v>977</v>
      </c>
      <c r="AI215" s="2">
        <v>91</v>
      </c>
      <c r="AJ215" s="2" t="s">
        <v>268</v>
      </c>
      <c r="AK215" s="2">
        <v>93</v>
      </c>
    </row>
    <row r="216" spans="1:37" x14ac:dyDescent="0.25">
      <c r="A216" s="2" t="s">
        <v>172</v>
      </c>
      <c r="B216" s="2" t="s">
        <v>256</v>
      </c>
      <c r="C216" s="2" t="s">
        <v>9</v>
      </c>
      <c r="D216" s="3">
        <v>46080.530787037038</v>
      </c>
      <c r="E216" s="2">
        <v>78.03</v>
      </c>
      <c r="F216" s="2">
        <v>348</v>
      </c>
      <c r="G216" s="2">
        <v>0</v>
      </c>
      <c r="I216" s="2" t="s">
        <v>932</v>
      </c>
      <c r="J216" s="2" t="s">
        <v>825</v>
      </c>
      <c r="K216" s="2">
        <v>16</v>
      </c>
      <c r="L216" s="2">
        <v>3504015923</v>
      </c>
      <c r="M216" s="2">
        <v>50</v>
      </c>
      <c r="N216" s="2" t="s">
        <v>933</v>
      </c>
      <c r="O216" s="2">
        <v>50</v>
      </c>
      <c r="P216" s="2" t="s">
        <v>260</v>
      </c>
      <c r="Q216" s="2">
        <v>50</v>
      </c>
      <c r="R216" s="2" t="s">
        <v>827</v>
      </c>
      <c r="S216" s="2">
        <v>50</v>
      </c>
      <c r="T216" s="2" t="s">
        <v>934</v>
      </c>
      <c r="U216" s="2">
        <v>50</v>
      </c>
      <c r="V216" s="2" t="s">
        <v>263</v>
      </c>
      <c r="W216" s="2">
        <v>50</v>
      </c>
      <c r="X216" s="2">
        <v>16</v>
      </c>
      <c r="Y216" s="2">
        <v>92</v>
      </c>
      <c r="Z216" s="2" t="s">
        <v>978</v>
      </c>
      <c r="AA216" s="2">
        <v>91</v>
      </c>
      <c r="AB216" s="2" t="s">
        <v>979</v>
      </c>
      <c r="AC216" s="2">
        <v>89</v>
      </c>
      <c r="AD216" s="2">
        <v>10</v>
      </c>
      <c r="AE216" s="2">
        <v>92</v>
      </c>
      <c r="AH216" s="2" t="s">
        <v>980</v>
      </c>
      <c r="AI216" s="2">
        <v>91</v>
      </c>
      <c r="AJ216" s="2" t="s">
        <v>268</v>
      </c>
      <c r="AK216" s="2">
        <v>93</v>
      </c>
    </row>
    <row r="217" spans="1:37" x14ac:dyDescent="0.25">
      <c r="A217" s="2" t="s">
        <v>172</v>
      </c>
      <c r="B217" s="2" t="s">
        <v>256</v>
      </c>
      <c r="C217" s="2" t="s">
        <v>9</v>
      </c>
      <c r="D217" s="3">
        <v>46080.530787037038</v>
      </c>
      <c r="E217" s="2">
        <v>78.03</v>
      </c>
      <c r="F217" s="2">
        <v>348</v>
      </c>
      <c r="G217" s="2">
        <v>0</v>
      </c>
      <c r="I217" s="2" t="s">
        <v>932</v>
      </c>
      <c r="J217" s="2" t="s">
        <v>825</v>
      </c>
      <c r="K217" s="2">
        <v>17</v>
      </c>
      <c r="L217" s="2">
        <v>3504015923</v>
      </c>
      <c r="M217" s="2">
        <v>50</v>
      </c>
      <c r="N217" s="2" t="s">
        <v>933</v>
      </c>
      <c r="O217" s="2">
        <v>50</v>
      </c>
      <c r="P217" s="2" t="s">
        <v>260</v>
      </c>
      <c r="Q217" s="2">
        <v>50</v>
      </c>
      <c r="R217" s="2" t="s">
        <v>827</v>
      </c>
      <c r="S217" s="2">
        <v>50</v>
      </c>
      <c r="T217" s="2" t="s">
        <v>934</v>
      </c>
      <c r="U217" s="2">
        <v>50</v>
      </c>
      <c r="V217" s="2" t="s">
        <v>263</v>
      </c>
      <c r="W217" s="2">
        <v>50</v>
      </c>
      <c r="X217" s="2">
        <v>17</v>
      </c>
      <c r="Y217" s="2">
        <v>91</v>
      </c>
      <c r="Z217" s="2" t="s">
        <v>841</v>
      </c>
      <c r="AA217" s="2">
        <v>91</v>
      </c>
      <c r="AB217" s="2" t="s">
        <v>842</v>
      </c>
      <c r="AC217" s="2">
        <v>89</v>
      </c>
      <c r="AD217" s="2">
        <v>1</v>
      </c>
      <c r="AE217" s="2">
        <v>91</v>
      </c>
      <c r="AH217" s="2" t="s">
        <v>981</v>
      </c>
      <c r="AI217" s="2">
        <v>90</v>
      </c>
      <c r="AJ217" s="2" t="s">
        <v>268</v>
      </c>
      <c r="AK217" s="2">
        <v>92</v>
      </c>
    </row>
    <row r="218" spans="1:37" x14ac:dyDescent="0.25">
      <c r="A218" s="2" t="s">
        <v>172</v>
      </c>
      <c r="B218" s="2" t="s">
        <v>256</v>
      </c>
      <c r="C218" s="2" t="s">
        <v>9</v>
      </c>
      <c r="D218" s="3">
        <v>46080.530787037038</v>
      </c>
      <c r="E218" s="2">
        <v>78.03</v>
      </c>
      <c r="F218" s="2">
        <v>348</v>
      </c>
      <c r="G218" s="2">
        <v>0</v>
      </c>
      <c r="I218" s="2" t="s">
        <v>932</v>
      </c>
      <c r="J218" s="2" t="s">
        <v>825</v>
      </c>
      <c r="K218" s="2">
        <v>18</v>
      </c>
      <c r="L218" s="2">
        <v>3504015923</v>
      </c>
      <c r="M218" s="2">
        <v>50</v>
      </c>
      <c r="N218" s="2" t="s">
        <v>933</v>
      </c>
      <c r="O218" s="2">
        <v>50</v>
      </c>
      <c r="P218" s="2" t="s">
        <v>260</v>
      </c>
      <c r="Q218" s="2">
        <v>50</v>
      </c>
      <c r="R218" s="2" t="s">
        <v>827</v>
      </c>
      <c r="S218" s="2">
        <v>50</v>
      </c>
      <c r="T218" s="2" t="s">
        <v>934</v>
      </c>
      <c r="U218" s="2">
        <v>50</v>
      </c>
      <c r="V218" s="2" t="s">
        <v>263</v>
      </c>
      <c r="W218" s="2">
        <v>50</v>
      </c>
      <c r="X218" s="2">
        <v>18</v>
      </c>
      <c r="Y218" s="2">
        <v>91</v>
      </c>
      <c r="Z218" s="2" t="s">
        <v>838</v>
      </c>
      <c r="AA218" s="2">
        <v>90</v>
      </c>
      <c r="AB218" s="2" t="s">
        <v>839</v>
      </c>
      <c r="AC218" s="2">
        <v>89</v>
      </c>
      <c r="AD218" s="2">
        <v>3</v>
      </c>
      <c r="AE218" s="2">
        <v>91</v>
      </c>
      <c r="AH218" s="2" t="s">
        <v>982</v>
      </c>
      <c r="AI218" s="2">
        <v>90</v>
      </c>
      <c r="AJ218" s="2" t="s">
        <v>268</v>
      </c>
      <c r="AK218" s="2">
        <v>92</v>
      </c>
    </row>
    <row r="219" spans="1:37" x14ac:dyDescent="0.25">
      <c r="A219" s="2" t="s">
        <v>172</v>
      </c>
      <c r="B219" s="2" t="s">
        <v>256</v>
      </c>
      <c r="C219" s="2" t="s">
        <v>9</v>
      </c>
      <c r="D219" s="3">
        <v>46080.530787037038</v>
      </c>
      <c r="E219" s="2">
        <v>78.03</v>
      </c>
      <c r="F219" s="2">
        <v>348</v>
      </c>
      <c r="G219" s="2">
        <v>0</v>
      </c>
      <c r="I219" s="2" t="s">
        <v>932</v>
      </c>
      <c r="J219" s="2" t="s">
        <v>825</v>
      </c>
      <c r="K219" s="2">
        <v>19</v>
      </c>
      <c r="L219" s="2">
        <v>3504015923</v>
      </c>
      <c r="M219" s="2">
        <v>50</v>
      </c>
      <c r="N219" s="2" t="s">
        <v>933</v>
      </c>
      <c r="O219" s="2">
        <v>50</v>
      </c>
      <c r="P219" s="2" t="s">
        <v>260</v>
      </c>
      <c r="Q219" s="2">
        <v>50</v>
      </c>
      <c r="R219" s="2" t="s">
        <v>827</v>
      </c>
      <c r="S219" s="2">
        <v>50</v>
      </c>
      <c r="T219" s="2" t="s">
        <v>934</v>
      </c>
      <c r="U219" s="2">
        <v>50</v>
      </c>
      <c r="V219" s="2" t="s">
        <v>263</v>
      </c>
      <c r="W219" s="2">
        <v>50</v>
      </c>
      <c r="X219" s="2">
        <v>19</v>
      </c>
      <c r="Y219" s="2">
        <v>91</v>
      </c>
      <c r="Z219" s="2" t="s">
        <v>983</v>
      </c>
      <c r="AA219" s="2">
        <v>91</v>
      </c>
      <c r="AB219" s="2" t="s">
        <v>984</v>
      </c>
      <c r="AC219" s="2">
        <v>89</v>
      </c>
      <c r="AD219" s="2">
        <v>9</v>
      </c>
      <c r="AE219" s="2">
        <v>91</v>
      </c>
      <c r="AH219" s="2" t="s">
        <v>985</v>
      </c>
      <c r="AI219" s="2">
        <v>90</v>
      </c>
      <c r="AJ219" s="2" t="s">
        <v>268</v>
      </c>
      <c r="AK219" s="2">
        <v>92</v>
      </c>
    </row>
    <row r="220" spans="1:37" x14ac:dyDescent="0.25">
      <c r="A220" s="2" t="s">
        <v>172</v>
      </c>
      <c r="B220" s="2" t="s">
        <v>256</v>
      </c>
      <c r="C220" s="2" t="s">
        <v>9</v>
      </c>
      <c r="D220" s="3">
        <v>46080.530787037038</v>
      </c>
      <c r="E220" s="2">
        <v>78.03</v>
      </c>
      <c r="F220" s="2">
        <v>348</v>
      </c>
      <c r="G220" s="2">
        <v>0</v>
      </c>
      <c r="I220" s="2" t="s">
        <v>932</v>
      </c>
      <c r="J220" s="2" t="s">
        <v>825</v>
      </c>
      <c r="K220" s="2">
        <v>20</v>
      </c>
      <c r="L220" s="2">
        <v>3504015923</v>
      </c>
      <c r="M220" s="2">
        <v>50</v>
      </c>
      <c r="N220" s="2" t="s">
        <v>933</v>
      </c>
      <c r="O220" s="2">
        <v>50</v>
      </c>
      <c r="P220" s="2" t="s">
        <v>260</v>
      </c>
      <c r="Q220" s="2">
        <v>50</v>
      </c>
      <c r="R220" s="2" t="s">
        <v>827</v>
      </c>
      <c r="S220" s="2">
        <v>50</v>
      </c>
      <c r="T220" s="2" t="s">
        <v>934</v>
      </c>
      <c r="U220" s="2">
        <v>50</v>
      </c>
      <c r="V220" s="2" t="s">
        <v>263</v>
      </c>
      <c r="W220" s="2">
        <v>50</v>
      </c>
      <c r="X220" s="2">
        <v>20</v>
      </c>
      <c r="Y220" s="2">
        <v>91</v>
      </c>
      <c r="Z220" s="2" t="s">
        <v>986</v>
      </c>
      <c r="AA220" s="2">
        <v>91</v>
      </c>
      <c r="AB220" s="2" t="s">
        <v>987</v>
      </c>
      <c r="AC220" s="2">
        <v>89</v>
      </c>
      <c r="AD220" s="2">
        <v>5</v>
      </c>
      <c r="AE220" s="2">
        <v>91</v>
      </c>
      <c r="AH220" s="2" t="s">
        <v>988</v>
      </c>
      <c r="AI220" s="2">
        <v>90</v>
      </c>
      <c r="AJ220" s="2" t="s">
        <v>268</v>
      </c>
      <c r="AK220" s="2">
        <v>92</v>
      </c>
    </row>
    <row r="221" spans="1:37" x14ac:dyDescent="0.25">
      <c r="A221" s="2" t="s">
        <v>172</v>
      </c>
      <c r="B221" s="2" t="s">
        <v>256</v>
      </c>
      <c r="C221" s="2" t="s">
        <v>9</v>
      </c>
      <c r="D221" s="3">
        <v>46080.530787037038</v>
      </c>
      <c r="E221" s="2">
        <v>78.03</v>
      </c>
      <c r="F221" s="2">
        <v>348</v>
      </c>
      <c r="G221" s="2">
        <v>0</v>
      </c>
      <c r="I221" s="2" t="s">
        <v>932</v>
      </c>
      <c r="J221" s="2" t="s">
        <v>825</v>
      </c>
      <c r="K221" s="2">
        <v>21</v>
      </c>
      <c r="L221" s="2">
        <v>3504015923</v>
      </c>
      <c r="M221" s="2">
        <v>50</v>
      </c>
      <c r="N221" s="2" t="s">
        <v>933</v>
      </c>
      <c r="O221" s="2">
        <v>50</v>
      </c>
      <c r="P221" s="2" t="s">
        <v>260</v>
      </c>
      <c r="Q221" s="2">
        <v>50</v>
      </c>
      <c r="R221" s="2" t="s">
        <v>827</v>
      </c>
      <c r="S221" s="2">
        <v>50</v>
      </c>
      <c r="T221" s="2" t="s">
        <v>934</v>
      </c>
      <c r="U221" s="2">
        <v>50</v>
      </c>
      <c r="V221" s="2" t="s">
        <v>263</v>
      </c>
      <c r="W221" s="2">
        <v>50</v>
      </c>
      <c r="X221" s="2">
        <v>21</v>
      </c>
      <c r="Y221" s="2">
        <v>91</v>
      </c>
      <c r="Z221" s="2" t="s">
        <v>989</v>
      </c>
      <c r="AA221" s="2">
        <v>91</v>
      </c>
      <c r="AB221" s="2" t="s">
        <v>990</v>
      </c>
      <c r="AC221" s="2">
        <v>89</v>
      </c>
      <c r="AD221" s="2">
        <v>1</v>
      </c>
      <c r="AE221" s="2">
        <v>91</v>
      </c>
      <c r="AH221" s="2" t="s">
        <v>991</v>
      </c>
      <c r="AI221" s="2">
        <v>90</v>
      </c>
      <c r="AJ221" s="2" t="s">
        <v>268</v>
      </c>
      <c r="AK221" s="2">
        <v>92</v>
      </c>
    </row>
    <row r="222" spans="1:37" x14ac:dyDescent="0.25">
      <c r="A222" s="2" t="s">
        <v>172</v>
      </c>
      <c r="B222" s="2" t="s">
        <v>256</v>
      </c>
      <c r="C222" s="2" t="s">
        <v>9</v>
      </c>
      <c r="D222" s="3">
        <v>46080.530787037038</v>
      </c>
      <c r="E222" s="2">
        <v>78.03</v>
      </c>
      <c r="F222" s="2">
        <v>348</v>
      </c>
      <c r="G222" s="2">
        <v>0</v>
      </c>
      <c r="I222" s="2" t="s">
        <v>932</v>
      </c>
      <c r="J222" s="2" t="s">
        <v>825</v>
      </c>
      <c r="K222" s="2">
        <v>22</v>
      </c>
      <c r="L222" s="2">
        <v>3504015923</v>
      </c>
      <c r="M222" s="2">
        <v>50</v>
      </c>
      <c r="N222" s="2" t="s">
        <v>933</v>
      </c>
      <c r="O222" s="2">
        <v>50</v>
      </c>
      <c r="P222" s="2" t="s">
        <v>260</v>
      </c>
      <c r="Q222" s="2">
        <v>50</v>
      </c>
      <c r="R222" s="2" t="s">
        <v>827</v>
      </c>
      <c r="S222" s="2">
        <v>50</v>
      </c>
      <c r="T222" s="2" t="s">
        <v>934</v>
      </c>
      <c r="U222" s="2">
        <v>50</v>
      </c>
      <c r="V222" s="2" t="s">
        <v>263</v>
      </c>
      <c r="W222" s="2">
        <v>50</v>
      </c>
      <c r="X222" s="2">
        <v>22</v>
      </c>
      <c r="Y222" s="2">
        <v>91</v>
      </c>
      <c r="Z222" s="2" t="s">
        <v>992</v>
      </c>
      <c r="AA222" s="2">
        <v>90</v>
      </c>
      <c r="AB222" s="2" t="s">
        <v>993</v>
      </c>
      <c r="AC222" s="2">
        <v>89</v>
      </c>
      <c r="AD222" s="2">
        <v>26</v>
      </c>
      <c r="AE222" s="2">
        <v>91</v>
      </c>
      <c r="AH222" s="2" t="s">
        <v>994</v>
      </c>
      <c r="AI222" s="2">
        <v>90</v>
      </c>
      <c r="AJ222" s="2" t="s">
        <v>268</v>
      </c>
      <c r="AK222" s="2">
        <v>92</v>
      </c>
    </row>
    <row r="223" spans="1:37" x14ac:dyDescent="0.25">
      <c r="A223" s="2" t="s">
        <v>172</v>
      </c>
      <c r="B223" s="2" t="s">
        <v>256</v>
      </c>
      <c r="C223" s="2" t="s">
        <v>9</v>
      </c>
      <c r="D223" s="3">
        <v>46080.530787037038</v>
      </c>
      <c r="E223" s="2">
        <v>78.03</v>
      </c>
      <c r="F223" s="2">
        <v>348</v>
      </c>
      <c r="G223" s="2">
        <v>0</v>
      </c>
      <c r="I223" s="2" t="s">
        <v>932</v>
      </c>
      <c r="J223" s="2" t="s">
        <v>825</v>
      </c>
      <c r="K223" s="2">
        <v>23</v>
      </c>
      <c r="L223" s="2">
        <v>3504015923</v>
      </c>
      <c r="M223" s="2">
        <v>50</v>
      </c>
      <c r="N223" s="2" t="s">
        <v>933</v>
      </c>
      <c r="O223" s="2">
        <v>50</v>
      </c>
      <c r="P223" s="2" t="s">
        <v>260</v>
      </c>
      <c r="Q223" s="2">
        <v>50</v>
      </c>
      <c r="R223" s="2" t="s">
        <v>827</v>
      </c>
      <c r="S223" s="2">
        <v>50</v>
      </c>
      <c r="T223" s="2" t="s">
        <v>934</v>
      </c>
      <c r="U223" s="2">
        <v>50</v>
      </c>
      <c r="V223" s="2" t="s">
        <v>263</v>
      </c>
      <c r="W223" s="2">
        <v>50</v>
      </c>
      <c r="X223" s="2">
        <v>23</v>
      </c>
      <c r="Y223" s="2">
        <v>91</v>
      </c>
      <c r="Z223" s="2" t="s">
        <v>995</v>
      </c>
      <c r="AA223" s="2">
        <v>90</v>
      </c>
      <c r="AB223" s="2" t="s">
        <v>996</v>
      </c>
      <c r="AC223" s="2">
        <v>89</v>
      </c>
      <c r="AD223" s="2">
        <v>30</v>
      </c>
      <c r="AE223" s="2">
        <v>91</v>
      </c>
      <c r="AH223" s="2" t="s">
        <v>997</v>
      </c>
      <c r="AI223" s="2">
        <v>90</v>
      </c>
      <c r="AJ223" s="2" t="s">
        <v>268</v>
      </c>
      <c r="AK223" s="2">
        <v>92</v>
      </c>
    </row>
    <row r="224" spans="1:37" x14ac:dyDescent="0.25">
      <c r="A224" s="2" t="s">
        <v>172</v>
      </c>
      <c r="B224" s="2" t="s">
        <v>256</v>
      </c>
      <c r="C224" s="2" t="s">
        <v>9</v>
      </c>
      <c r="D224" s="3">
        <v>46080.530787037038</v>
      </c>
      <c r="E224" s="2">
        <v>78.03</v>
      </c>
      <c r="F224" s="2">
        <v>348</v>
      </c>
      <c r="G224" s="2">
        <v>0</v>
      </c>
      <c r="I224" s="2" t="s">
        <v>932</v>
      </c>
      <c r="J224" s="2" t="s">
        <v>825</v>
      </c>
      <c r="K224" s="2">
        <v>24</v>
      </c>
      <c r="L224" s="2">
        <v>3504015923</v>
      </c>
      <c r="M224" s="2">
        <v>50</v>
      </c>
      <c r="N224" s="2" t="s">
        <v>933</v>
      </c>
      <c r="O224" s="2">
        <v>50</v>
      </c>
      <c r="P224" s="2" t="s">
        <v>260</v>
      </c>
      <c r="Q224" s="2">
        <v>50</v>
      </c>
      <c r="R224" s="2" t="s">
        <v>827</v>
      </c>
      <c r="S224" s="2">
        <v>50</v>
      </c>
      <c r="T224" s="2" t="s">
        <v>934</v>
      </c>
      <c r="U224" s="2">
        <v>50</v>
      </c>
      <c r="V224" s="2" t="s">
        <v>263</v>
      </c>
      <c r="W224" s="2">
        <v>50</v>
      </c>
      <c r="X224" s="2">
        <v>24</v>
      </c>
      <c r="Y224" s="2">
        <v>91</v>
      </c>
      <c r="Z224" s="2" t="s">
        <v>998</v>
      </c>
      <c r="AA224" s="2">
        <v>90</v>
      </c>
      <c r="AB224" s="2" t="s">
        <v>999</v>
      </c>
      <c r="AC224" s="2">
        <v>89</v>
      </c>
      <c r="AD224" s="2">
        <v>2</v>
      </c>
      <c r="AE224" s="2">
        <v>91</v>
      </c>
      <c r="AH224" s="2" t="s">
        <v>1000</v>
      </c>
      <c r="AI224" s="2">
        <v>90</v>
      </c>
      <c r="AJ224" s="2" t="s">
        <v>268</v>
      </c>
      <c r="AK224" s="2">
        <v>92</v>
      </c>
    </row>
    <row r="225" spans="1:37" x14ac:dyDescent="0.25">
      <c r="A225" s="2" t="s">
        <v>172</v>
      </c>
      <c r="B225" s="2" t="s">
        <v>256</v>
      </c>
      <c r="C225" s="2" t="s">
        <v>9</v>
      </c>
      <c r="D225" s="3">
        <v>46080.530787037038</v>
      </c>
      <c r="E225" s="2">
        <v>78.03</v>
      </c>
      <c r="F225" s="2">
        <v>348</v>
      </c>
      <c r="G225" s="2">
        <v>0</v>
      </c>
      <c r="I225" s="2" t="s">
        <v>932</v>
      </c>
      <c r="J225" s="2" t="s">
        <v>825</v>
      </c>
      <c r="K225" s="2">
        <v>25</v>
      </c>
      <c r="L225" s="2">
        <v>3504015923</v>
      </c>
      <c r="M225" s="2">
        <v>50</v>
      </c>
      <c r="N225" s="2" t="s">
        <v>933</v>
      </c>
      <c r="O225" s="2">
        <v>50</v>
      </c>
      <c r="P225" s="2" t="s">
        <v>260</v>
      </c>
      <c r="Q225" s="2">
        <v>50</v>
      </c>
      <c r="R225" s="2" t="s">
        <v>827</v>
      </c>
      <c r="S225" s="2">
        <v>50</v>
      </c>
      <c r="T225" s="2" t="s">
        <v>934</v>
      </c>
      <c r="U225" s="2">
        <v>50</v>
      </c>
      <c r="V225" s="2" t="s">
        <v>263</v>
      </c>
      <c r="W225" s="2">
        <v>50</v>
      </c>
      <c r="X225" s="2">
        <v>25</v>
      </c>
      <c r="Y225" s="2">
        <v>91</v>
      </c>
      <c r="Z225" s="2" t="s">
        <v>858</v>
      </c>
      <c r="AA225" s="2">
        <v>90</v>
      </c>
      <c r="AB225" s="2" t="s">
        <v>859</v>
      </c>
      <c r="AC225" s="2">
        <v>89</v>
      </c>
      <c r="AD225" s="2">
        <v>3</v>
      </c>
      <c r="AE225" s="2">
        <v>91</v>
      </c>
      <c r="AH225" s="2" t="s">
        <v>1001</v>
      </c>
      <c r="AI225" s="2">
        <v>90</v>
      </c>
      <c r="AJ225" s="2" t="s">
        <v>268</v>
      </c>
      <c r="AK225" s="2">
        <v>92</v>
      </c>
    </row>
    <row r="226" spans="1:37" x14ac:dyDescent="0.25">
      <c r="A226" s="2" t="s">
        <v>172</v>
      </c>
      <c r="B226" s="2" t="s">
        <v>256</v>
      </c>
      <c r="C226" s="2" t="s">
        <v>9</v>
      </c>
      <c r="D226" s="3">
        <v>46080.530787037038</v>
      </c>
      <c r="E226" s="2">
        <v>78.03</v>
      </c>
      <c r="F226" s="2">
        <v>348</v>
      </c>
      <c r="G226" s="2">
        <v>0</v>
      </c>
      <c r="I226" s="2" t="s">
        <v>932</v>
      </c>
      <c r="J226" s="2" t="s">
        <v>825</v>
      </c>
      <c r="K226" s="2">
        <v>26</v>
      </c>
      <c r="L226" s="2">
        <v>3504015923</v>
      </c>
      <c r="M226" s="2">
        <v>50</v>
      </c>
      <c r="N226" s="2" t="s">
        <v>933</v>
      </c>
      <c r="O226" s="2">
        <v>50</v>
      </c>
      <c r="P226" s="2" t="s">
        <v>260</v>
      </c>
      <c r="Q226" s="2">
        <v>50</v>
      </c>
      <c r="R226" s="2" t="s">
        <v>827</v>
      </c>
      <c r="S226" s="2">
        <v>50</v>
      </c>
      <c r="T226" s="2" t="s">
        <v>934</v>
      </c>
      <c r="U226" s="2">
        <v>50</v>
      </c>
      <c r="V226" s="2" t="s">
        <v>263</v>
      </c>
      <c r="W226" s="2">
        <v>50</v>
      </c>
      <c r="X226" s="2">
        <v>26</v>
      </c>
      <c r="Y226" s="2">
        <v>91</v>
      </c>
      <c r="Z226" s="2" t="s">
        <v>1002</v>
      </c>
      <c r="AA226" s="2">
        <v>90</v>
      </c>
      <c r="AB226" s="2" t="s">
        <v>1003</v>
      </c>
      <c r="AC226" s="2">
        <v>89</v>
      </c>
      <c r="AD226" s="2">
        <v>3</v>
      </c>
      <c r="AE226" s="2">
        <v>91</v>
      </c>
      <c r="AH226" s="2" t="s">
        <v>1004</v>
      </c>
      <c r="AI226" s="2">
        <v>90</v>
      </c>
      <c r="AJ226" s="2" t="s">
        <v>268</v>
      </c>
      <c r="AK226" s="2">
        <v>92</v>
      </c>
    </row>
    <row r="227" spans="1:37" x14ac:dyDescent="0.25">
      <c r="A227" s="2" t="s">
        <v>172</v>
      </c>
      <c r="B227" s="2" t="s">
        <v>256</v>
      </c>
      <c r="C227" s="2" t="s">
        <v>9</v>
      </c>
      <c r="D227" s="3">
        <v>46080.530787037038</v>
      </c>
      <c r="E227" s="2">
        <v>78.03</v>
      </c>
      <c r="F227" s="2">
        <v>348</v>
      </c>
      <c r="G227" s="2">
        <v>0</v>
      </c>
      <c r="I227" s="2" t="s">
        <v>932</v>
      </c>
      <c r="J227" s="2" t="s">
        <v>825</v>
      </c>
      <c r="K227" s="2">
        <v>27</v>
      </c>
      <c r="L227" s="2">
        <v>3504015923</v>
      </c>
      <c r="M227" s="2">
        <v>50</v>
      </c>
      <c r="N227" s="2" t="s">
        <v>933</v>
      </c>
      <c r="O227" s="2">
        <v>50</v>
      </c>
      <c r="P227" s="2" t="s">
        <v>260</v>
      </c>
      <c r="Q227" s="2">
        <v>50</v>
      </c>
      <c r="R227" s="2" t="s">
        <v>827</v>
      </c>
      <c r="S227" s="2">
        <v>50</v>
      </c>
      <c r="T227" s="2" t="s">
        <v>934</v>
      </c>
      <c r="U227" s="2">
        <v>50</v>
      </c>
      <c r="V227" s="2" t="s">
        <v>263</v>
      </c>
      <c r="W227" s="2">
        <v>50</v>
      </c>
      <c r="X227" s="2">
        <v>27</v>
      </c>
      <c r="Y227" s="2">
        <v>91</v>
      </c>
      <c r="Z227" s="2" t="s">
        <v>1005</v>
      </c>
      <c r="AA227" s="2">
        <v>90</v>
      </c>
      <c r="AB227" s="2" t="s">
        <v>1006</v>
      </c>
      <c r="AC227" s="2">
        <v>89</v>
      </c>
      <c r="AD227" s="2">
        <v>1</v>
      </c>
      <c r="AE227" s="2">
        <v>91</v>
      </c>
      <c r="AH227" s="2" t="s">
        <v>1007</v>
      </c>
      <c r="AI227" s="2">
        <v>90</v>
      </c>
      <c r="AJ227" s="2" t="s">
        <v>268</v>
      </c>
      <c r="AK227" s="2">
        <v>92</v>
      </c>
    </row>
    <row r="228" spans="1:37" x14ac:dyDescent="0.25">
      <c r="A228" s="2" t="s">
        <v>172</v>
      </c>
      <c r="B228" s="2" t="s">
        <v>256</v>
      </c>
      <c r="C228" s="2" t="s">
        <v>9</v>
      </c>
      <c r="D228" s="3">
        <v>46080.530787037038</v>
      </c>
      <c r="E228" s="2">
        <v>78.03</v>
      </c>
      <c r="F228" s="2">
        <v>348</v>
      </c>
      <c r="G228" s="2">
        <v>0</v>
      </c>
      <c r="I228" s="2" t="s">
        <v>932</v>
      </c>
      <c r="J228" s="2" t="s">
        <v>825</v>
      </c>
      <c r="K228" s="2">
        <v>28</v>
      </c>
      <c r="L228" s="2">
        <v>3504015923</v>
      </c>
      <c r="M228" s="2">
        <v>50</v>
      </c>
      <c r="N228" s="2" t="s">
        <v>933</v>
      </c>
      <c r="O228" s="2">
        <v>50</v>
      </c>
      <c r="P228" s="2" t="s">
        <v>260</v>
      </c>
      <c r="Q228" s="2">
        <v>50</v>
      </c>
      <c r="R228" s="2" t="s">
        <v>827</v>
      </c>
      <c r="S228" s="2">
        <v>50</v>
      </c>
      <c r="T228" s="2" t="s">
        <v>934</v>
      </c>
      <c r="U228" s="2">
        <v>50</v>
      </c>
      <c r="V228" s="2" t="s">
        <v>263</v>
      </c>
      <c r="W228" s="2">
        <v>50</v>
      </c>
      <c r="X228" s="2">
        <v>28</v>
      </c>
      <c r="Y228" s="2">
        <v>91</v>
      </c>
      <c r="Z228" s="2" t="s">
        <v>1008</v>
      </c>
      <c r="AA228" s="2">
        <v>90</v>
      </c>
      <c r="AB228" s="2" t="s">
        <v>1009</v>
      </c>
      <c r="AC228" s="2">
        <v>89</v>
      </c>
      <c r="AD228" s="2">
        <v>2</v>
      </c>
      <c r="AE228" s="2">
        <v>91</v>
      </c>
      <c r="AH228" s="2" t="s">
        <v>1010</v>
      </c>
      <c r="AI228" s="2">
        <v>90</v>
      </c>
      <c r="AJ228" s="2" t="s">
        <v>268</v>
      </c>
      <c r="AK228" s="2">
        <v>92</v>
      </c>
    </row>
    <row r="229" spans="1:37" x14ac:dyDescent="0.25">
      <c r="A229" s="2" t="s">
        <v>172</v>
      </c>
      <c r="B229" s="2" t="s">
        <v>256</v>
      </c>
      <c r="C229" s="2" t="s">
        <v>9</v>
      </c>
      <c r="D229" s="3">
        <v>46080.530787037038</v>
      </c>
      <c r="E229" s="2">
        <v>78.03</v>
      </c>
      <c r="F229" s="2">
        <v>348</v>
      </c>
      <c r="G229" s="2">
        <v>0</v>
      </c>
      <c r="I229" s="2" t="s">
        <v>932</v>
      </c>
      <c r="J229" s="2" t="s">
        <v>825</v>
      </c>
      <c r="K229" s="2">
        <v>29</v>
      </c>
      <c r="L229" s="2">
        <v>3504015923</v>
      </c>
      <c r="M229" s="2">
        <v>50</v>
      </c>
      <c r="N229" s="2" t="s">
        <v>933</v>
      </c>
      <c r="O229" s="2">
        <v>50</v>
      </c>
      <c r="P229" s="2" t="s">
        <v>260</v>
      </c>
      <c r="Q229" s="2">
        <v>50</v>
      </c>
      <c r="R229" s="2" t="s">
        <v>827</v>
      </c>
      <c r="S229" s="2">
        <v>50</v>
      </c>
      <c r="T229" s="2" t="s">
        <v>934</v>
      </c>
      <c r="U229" s="2">
        <v>50</v>
      </c>
      <c r="V229" s="2" t="s">
        <v>263</v>
      </c>
      <c r="W229" s="2">
        <v>50</v>
      </c>
      <c r="X229" s="2">
        <v>29</v>
      </c>
      <c r="Y229" s="2">
        <v>91</v>
      </c>
      <c r="Z229" s="2" t="s">
        <v>1011</v>
      </c>
      <c r="AA229" s="2">
        <v>90</v>
      </c>
      <c r="AB229" s="2" t="s">
        <v>1012</v>
      </c>
      <c r="AC229" s="2">
        <v>89</v>
      </c>
      <c r="AD229" s="2">
        <v>1</v>
      </c>
      <c r="AE229" s="2">
        <v>91</v>
      </c>
      <c r="AH229" s="2" t="s">
        <v>1013</v>
      </c>
      <c r="AI229" s="2">
        <v>90</v>
      </c>
      <c r="AJ229" s="2" t="s">
        <v>268</v>
      </c>
      <c r="AK229" s="2">
        <v>92</v>
      </c>
    </row>
    <row r="230" spans="1:37" x14ac:dyDescent="0.25">
      <c r="A230" s="2" t="s">
        <v>120</v>
      </c>
      <c r="B230" s="2" t="s">
        <v>256</v>
      </c>
      <c r="C230" s="2" t="s">
        <v>9</v>
      </c>
      <c r="D230" s="3">
        <v>46080.530787037038</v>
      </c>
      <c r="E230" s="2">
        <v>93.11</v>
      </c>
      <c r="F230" s="2">
        <v>13</v>
      </c>
      <c r="G230" s="2">
        <v>0</v>
      </c>
      <c r="I230" s="2" t="s">
        <v>1014</v>
      </c>
      <c r="J230" s="2" t="s">
        <v>258</v>
      </c>
      <c r="K230" s="2">
        <v>1</v>
      </c>
      <c r="L230" s="2">
        <v>6501017953</v>
      </c>
      <c r="M230" s="2">
        <v>90</v>
      </c>
      <c r="N230" s="2" t="s">
        <v>1015</v>
      </c>
      <c r="O230" s="2">
        <v>95</v>
      </c>
      <c r="P230" s="2" t="s">
        <v>667</v>
      </c>
      <c r="Q230" s="2">
        <v>95</v>
      </c>
      <c r="R230" s="2" t="s">
        <v>668</v>
      </c>
      <c r="S230" s="2">
        <v>95</v>
      </c>
      <c r="T230" s="2" t="s">
        <v>1016</v>
      </c>
      <c r="U230" s="2">
        <v>90</v>
      </c>
      <c r="V230" s="2" t="s">
        <v>263</v>
      </c>
      <c r="W230" s="2">
        <v>95</v>
      </c>
      <c r="X230" s="2">
        <v>1</v>
      </c>
      <c r="Y230" s="2">
        <v>95</v>
      </c>
      <c r="Z230" s="2" t="s">
        <v>1017</v>
      </c>
      <c r="AA230" s="2">
        <v>95</v>
      </c>
      <c r="AB230" s="2" t="s">
        <v>1018</v>
      </c>
      <c r="AC230" s="2">
        <v>90</v>
      </c>
      <c r="AD230" s="2">
        <v>1</v>
      </c>
      <c r="AE230" s="2">
        <v>95</v>
      </c>
      <c r="AF230" s="2" t="s">
        <v>672</v>
      </c>
      <c r="AG230" s="2">
        <v>80</v>
      </c>
      <c r="AH230" s="2" t="s">
        <v>1019</v>
      </c>
      <c r="AI230" s="2">
        <v>90</v>
      </c>
      <c r="AJ230" s="2" t="s">
        <v>350</v>
      </c>
      <c r="AK230" s="2">
        <v>95</v>
      </c>
    </row>
    <row r="231" spans="1:37" x14ac:dyDescent="0.25">
      <c r="A231" s="2" t="s">
        <v>181</v>
      </c>
      <c r="B231" s="2" t="s">
        <v>256</v>
      </c>
      <c r="C231" s="2" t="s">
        <v>9</v>
      </c>
      <c r="D231" s="3">
        <v>46080.530787037038</v>
      </c>
      <c r="E231" s="2">
        <v>90.31</v>
      </c>
      <c r="F231" s="2">
        <v>13</v>
      </c>
      <c r="G231" s="2">
        <v>0</v>
      </c>
      <c r="I231" s="2" t="s">
        <v>1020</v>
      </c>
      <c r="J231" s="2" t="s">
        <v>258</v>
      </c>
      <c r="K231" s="2">
        <v>1</v>
      </c>
      <c r="L231" s="2">
        <v>6501017952</v>
      </c>
      <c r="M231" s="2">
        <v>95</v>
      </c>
      <c r="N231" s="2" t="s">
        <v>1021</v>
      </c>
      <c r="O231" s="2">
        <v>95</v>
      </c>
      <c r="P231" s="2" t="s">
        <v>667</v>
      </c>
      <c r="Q231" s="2">
        <v>90</v>
      </c>
      <c r="R231" s="2" t="s">
        <v>668</v>
      </c>
      <c r="S231" s="2">
        <v>90</v>
      </c>
      <c r="T231" s="2" t="s">
        <v>1016</v>
      </c>
      <c r="U231" s="2">
        <v>90</v>
      </c>
      <c r="V231" s="2" t="s">
        <v>263</v>
      </c>
      <c r="W231" s="2">
        <v>98</v>
      </c>
      <c r="X231" s="2">
        <v>1</v>
      </c>
      <c r="Y231" s="2">
        <v>90</v>
      </c>
      <c r="Z231" s="2" t="s">
        <v>1022</v>
      </c>
      <c r="AA231" s="2">
        <v>90</v>
      </c>
      <c r="AB231" s="2" t="s">
        <v>1023</v>
      </c>
      <c r="AC231" s="2">
        <v>90</v>
      </c>
      <c r="AD231" s="2">
        <v>1</v>
      </c>
      <c r="AE231" s="2">
        <v>95</v>
      </c>
      <c r="AF231" s="2" t="s">
        <v>672</v>
      </c>
      <c r="AG231" s="2">
        <v>85</v>
      </c>
      <c r="AH231" s="2" t="s">
        <v>1024</v>
      </c>
      <c r="AI231" s="2">
        <v>92</v>
      </c>
      <c r="AJ231" s="2" t="s">
        <v>350</v>
      </c>
      <c r="AK231" s="2">
        <v>95</v>
      </c>
    </row>
    <row r="232" spans="1:37" x14ac:dyDescent="0.25">
      <c r="A232" s="2" t="s">
        <v>129</v>
      </c>
      <c r="B232" s="2" t="s">
        <v>256</v>
      </c>
      <c r="C232" s="2" t="s">
        <v>9</v>
      </c>
      <c r="D232" s="3">
        <v>46080.530787037038</v>
      </c>
      <c r="E232" s="2">
        <v>93.8</v>
      </c>
      <c r="F232" s="2">
        <v>13</v>
      </c>
      <c r="G232" s="2">
        <v>0</v>
      </c>
      <c r="I232" s="2" t="s">
        <v>1025</v>
      </c>
      <c r="J232" s="2" t="s">
        <v>258</v>
      </c>
      <c r="K232" s="2">
        <v>1</v>
      </c>
      <c r="L232" s="2">
        <v>2501209992</v>
      </c>
      <c r="M232" s="2">
        <v>98</v>
      </c>
      <c r="N232" s="2" t="s">
        <v>1026</v>
      </c>
      <c r="O232" s="2">
        <v>97</v>
      </c>
      <c r="P232" s="2" t="s">
        <v>641</v>
      </c>
      <c r="Q232" s="2">
        <v>97</v>
      </c>
      <c r="R232" s="2" t="s">
        <v>1027</v>
      </c>
      <c r="S232" s="2">
        <v>92</v>
      </c>
      <c r="T232" s="2" t="s">
        <v>1028</v>
      </c>
      <c r="U232" s="2">
        <v>92</v>
      </c>
      <c r="V232" s="2" t="s">
        <v>263</v>
      </c>
      <c r="W232" s="2">
        <v>96</v>
      </c>
      <c r="X232" s="2">
        <v>10</v>
      </c>
      <c r="Y232" s="2">
        <v>95</v>
      </c>
      <c r="Z232" s="2" t="s">
        <v>1029</v>
      </c>
      <c r="AA232" s="2">
        <v>95</v>
      </c>
      <c r="AB232" s="2" t="s">
        <v>1030</v>
      </c>
      <c r="AC232" s="2">
        <v>93</v>
      </c>
      <c r="AD232" s="2">
        <v>11</v>
      </c>
      <c r="AE232" s="2">
        <v>96</v>
      </c>
      <c r="AF232" s="2" t="s">
        <v>379</v>
      </c>
      <c r="AG232" s="2">
        <v>94</v>
      </c>
      <c r="AH232" s="2" t="s">
        <v>1031</v>
      </c>
      <c r="AI232" s="2">
        <v>95</v>
      </c>
      <c r="AJ232" s="2" t="s">
        <v>260</v>
      </c>
      <c r="AK232" s="2">
        <v>96</v>
      </c>
    </row>
    <row r="233" spans="1:37" x14ac:dyDescent="0.25">
      <c r="A233" s="2" t="s">
        <v>114</v>
      </c>
      <c r="C233" s="2" t="s">
        <v>11</v>
      </c>
      <c r="D233" s="3">
        <v>46080.530787037038</v>
      </c>
      <c r="E233" s="2">
        <v>15</v>
      </c>
      <c r="F233" s="2">
        <v>0</v>
      </c>
      <c r="G233" s="2">
        <v>0</v>
      </c>
      <c r="I233" s="2" t="s">
        <v>1032</v>
      </c>
    </row>
    <row r="234" spans="1:37" x14ac:dyDescent="0.25">
      <c r="A234" s="2" t="s">
        <v>182</v>
      </c>
      <c r="B234" s="2" t="s">
        <v>256</v>
      </c>
      <c r="C234" s="2" t="s">
        <v>9</v>
      </c>
      <c r="D234" s="3">
        <v>46080.530787037038</v>
      </c>
      <c r="E234" s="2">
        <v>84.74</v>
      </c>
      <c r="F234" s="2">
        <v>13</v>
      </c>
      <c r="G234" s="2">
        <v>0</v>
      </c>
      <c r="I234" s="2" t="s">
        <v>1033</v>
      </c>
      <c r="J234" s="2" t="s">
        <v>258</v>
      </c>
      <c r="K234" s="2">
        <v>1</v>
      </c>
      <c r="L234" s="2">
        <v>6501017960</v>
      </c>
      <c r="M234" s="2">
        <v>95</v>
      </c>
      <c r="N234" s="2" t="s">
        <v>1034</v>
      </c>
      <c r="O234" s="2">
        <v>92</v>
      </c>
      <c r="P234" s="2" t="s">
        <v>667</v>
      </c>
      <c r="Q234" s="2">
        <v>95</v>
      </c>
      <c r="R234" s="2" t="s">
        <v>668</v>
      </c>
      <c r="S234" s="2">
        <v>85</v>
      </c>
      <c r="T234" s="2" t="s">
        <v>669</v>
      </c>
      <c r="U234" s="2">
        <v>88</v>
      </c>
      <c r="V234" s="2" t="s">
        <v>263</v>
      </c>
      <c r="W234" s="2">
        <v>95</v>
      </c>
      <c r="X234" s="2">
        <v>1</v>
      </c>
      <c r="Y234" s="2">
        <v>80</v>
      </c>
      <c r="Z234" s="2" t="s">
        <v>1035</v>
      </c>
      <c r="AA234" s="2">
        <v>95</v>
      </c>
      <c r="AB234" s="2" t="s">
        <v>1036</v>
      </c>
      <c r="AC234" s="2">
        <v>88</v>
      </c>
      <c r="AD234" s="2">
        <v>1</v>
      </c>
      <c r="AE234" s="2">
        <v>95</v>
      </c>
      <c r="AF234" s="2" t="s">
        <v>672</v>
      </c>
      <c r="AG234" s="2">
        <v>86</v>
      </c>
      <c r="AH234" s="2" t="s">
        <v>1037</v>
      </c>
      <c r="AI234" s="2">
        <v>90</v>
      </c>
      <c r="AJ234" s="2" t="s">
        <v>350</v>
      </c>
      <c r="AK234" s="2">
        <v>95</v>
      </c>
    </row>
    <row r="235" spans="1:37" x14ac:dyDescent="0.25">
      <c r="A235" s="2" t="s">
        <v>133</v>
      </c>
      <c r="B235" s="2" t="s">
        <v>256</v>
      </c>
      <c r="C235" s="2" t="s">
        <v>9</v>
      </c>
      <c r="D235" s="3">
        <v>46080.530787037038</v>
      </c>
      <c r="E235" s="2">
        <v>90.92</v>
      </c>
      <c r="F235" s="2">
        <v>13</v>
      </c>
      <c r="G235" s="2">
        <v>0</v>
      </c>
      <c r="I235" s="2" t="s">
        <v>1038</v>
      </c>
      <c r="J235" s="2" t="s">
        <v>258</v>
      </c>
      <c r="K235" s="2">
        <v>1</v>
      </c>
      <c r="L235" s="2">
        <v>1508015130</v>
      </c>
      <c r="M235" s="2">
        <v>95</v>
      </c>
      <c r="N235" s="2" t="s">
        <v>1039</v>
      </c>
      <c r="O235" s="2">
        <v>98</v>
      </c>
      <c r="P235" s="2" t="s">
        <v>1040</v>
      </c>
      <c r="Q235" s="2">
        <v>98</v>
      </c>
      <c r="R235" s="2" t="s">
        <v>1041</v>
      </c>
      <c r="S235" s="2">
        <v>98</v>
      </c>
      <c r="T235" s="2" t="s">
        <v>1042</v>
      </c>
      <c r="U235" s="2">
        <v>95</v>
      </c>
      <c r="V235" s="2" t="s">
        <v>263</v>
      </c>
      <c r="W235" s="2">
        <v>95</v>
      </c>
      <c r="X235" s="2">
        <v>10</v>
      </c>
      <c r="Y235" s="2">
        <v>90</v>
      </c>
      <c r="Z235" s="2" t="s">
        <v>1043</v>
      </c>
      <c r="AA235" s="2">
        <v>90</v>
      </c>
      <c r="AB235" s="2" t="s">
        <v>1044</v>
      </c>
      <c r="AC235" s="2">
        <v>90</v>
      </c>
      <c r="AD235" s="2">
        <v>25</v>
      </c>
      <c r="AE235" s="2">
        <v>88</v>
      </c>
      <c r="AF235" s="2" t="s">
        <v>1045</v>
      </c>
      <c r="AG235" s="2">
        <v>85</v>
      </c>
      <c r="AH235" s="2" t="s">
        <v>1046</v>
      </c>
      <c r="AI235" s="2">
        <v>90</v>
      </c>
      <c r="AJ235" s="2" t="s">
        <v>1047</v>
      </c>
      <c r="AK235" s="2">
        <v>85</v>
      </c>
    </row>
    <row r="236" spans="1:37" x14ac:dyDescent="0.25">
      <c r="A236" s="2" t="s">
        <v>109</v>
      </c>
      <c r="B236" s="2" t="s">
        <v>256</v>
      </c>
      <c r="C236" s="2" t="s">
        <v>9</v>
      </c>
      <c r="D236" s="3">
        <v>46080.530787037038</v>
      </c>
      <c r="E236" s="2">
        <v>91.03</v>
      </c>
      <c r="F236" s="2">
        <v>13</v>
      </c>
      <c r="G236" s="2">
        <v>0</v>
      </c>
      <c r="I236" s="2" t="s">
        <v>768</v>
      </c>
      <c r="J236" s="2" t="s">
        <v>258</v>
      </c>
      <c r="K236" s="2">
        <v>1</v>
      </c>
      <c r="L236" s="2">
        <v>3505026688</v>
      </c>
      <c r="M236" s="2">
        <v>99</v>
      </c>
      <c r="N236" s="2" t="s">
        <v>1048</v>
      </c>
      <c r="O236" s="2">
        <v>95</v>
      </c>
      <c r="P236" s="2" t="s">
        <v>260</v>
      </c>
      <c r="Q236" s="2">
        <v>95</v>
      </c>
      <c r="R236" s="2" t="s">
        <v>770</v>
      </c>
      <c r="S236" s="2">
        <v>95</v>
      </c>
      <c r="T236" s="2" t="s">
        <v>724</v>
      </c>
      <c r="U236" s="2">
        <v>80</v>
      </c>
      <c r="V236" s="2" t="s">
        <v>263</v>
      </c>
      <c r="W236" s="2">
        <v>95</v>
      </c>
      <c r="X236" s="2">
        <v>1</v>
      </c>
      <c r="Y236" s="2">
        <v>98</v>
      </c>
      <c r="Z236" s="2" t="s">
        <v>1049</v>
      </c>
      <c r="AA236" s="2">
        <v>98</v>
      </c>
      <c r="AB236" s="2" t="s">
        <v>1050</v>
      </c>
      <c r="AC236" s="2">
        <v>95</v>
      </c>
      <c r="AD236" s="2">
        <v>15</v>
      </c>
      <c r="AE236" s="2">
        <v>95</v>
      </c>
      <c r="AF236" s="2" t="s">
        <v>1051</v>
      </c>
      <c r="AG236" s="2">
        <v>50</v>
      </c>
      <c r="AH236" s="2" t="s">
        <v>1052</v>
      </c>
      <c r="AI236" s="2">
        <v>90</v>
      </c>
      <c r="AJ236" s="2" t="s">
        <v>381</v>
      </c>
      <c r="AK236" s="2">
        <v>95</v>
      </c>
    </row>
    <row r="237" spans="1:37" x14ac:dyDescent="0.25">
      <c r="A237" s="2" t="s">
        <v>134</v>
      </c>
      <c r="B237" s="2" t="s">
        <v>256</v>
      </c>
      <c r="C237" s="2" t="s">
        <v>9</v>
      </c>
      <c r="D237" s="3">
        <v>46080.530787037038</v>
      </c>
      <c r="E237" s="2">
        <v>93.11</v>
      </c>
      <c r="F237" s="2">
        <v>26</v>
      </c>
      <c r="G237" s="2">
        <v>0</v>
      </c>
      <c r="I237" s="2" t="s">
        <v>1053</v>
      </c>
      <c r="J237" s="2" t="s">
        <v>872</v>
      </c>
      <c r="K237" s="2">
        <v>1</v>
      </c>
      <c r="L237" s="2">
        <v>2508010181</v>
      </c>
      <c r="M237" s="2">
        <v>98</v>
      </c>
      <c r="N237" s="2" t="s">
        <v>1054</v>
      </c>
      <c r="O237" s="2">
        <v>95</v>
      </c>
      <c r="P237" s="2" t="s">
        <v>667</v>
      </c>
      <c r="Q237" s="2">
        <v>95</v>
      </c>
      <c r="R237" s="2" t="s">
        <v>668</v>
      </c>
      <c r="S237" s="2">
        <v>90</v>
      </c>
      <c r="T237" s="2" t="s">
        <v>1055</v>
      </c>
      <c r="U237" s="2">
        <v>92</v>
      </c>
      <c r="V237" s="2" t="s">
        <v>263</v>
      </c>
      <c r="W237" s="2">
        <v>95</v>
      </c>
      <c r="X237" s="2">
        <v>1</v>
      </c>
      <c r="Y237" s="2">
        <v>90</v>
      </c>
      <c r="Z237" s="2" t="s">
        <v>1056</v>
      </c>
      <c r="AA237" s="2">
        <v>95</v>
      </c>
      <c r="AB237" s="2" t="s">
        <v>1057</v>
      </c>
      <c r="AC237" s="2">
        <v>90</v>
      </c>
      <c r="AD237" s="2">
        <v>1</v>
      </c>
      <c r="AE237" s="2">
        <v>95</v>
      </c>
      <c r="AF237" s="2" t="s">
        <v>672</v>
      </c>
      <c r="AG237" s="2">
        <v>85</v>
      </c>
      <c r="AH237" s="2" t="s">
        <v>1058</v>
      </c>
      <c r="AI237" s="2">
        <v>92</v>
      </c>
      <c r="AJ237" s="2" t="s">
        <v>350</v>
      </c>
      <c r="AK237" s="2">
        <v>95</v>
      </c>
    </row>
    <row r="238" spans="1:37" x14ac:dyDescent="0.25">
      <c r="A238" s="2" t="s">
        <v>134</v>
      </c>
      <c r="B238" s="2" t="s">
        <v>256</v>
      </c>
      <c r="C238" s="2" t="s">
        <v>9</v>
      </c>
      <c r="D238" s="3">
        <v>46080.530787037038</v>
      </c>
      <c r="E238" s="2">
        <v>93.11</v>
      </c>
      <c r="F238" s="2">
        <v>26</v>
      </c>
      <c r="G238" s="2">
        <v>0</v>
      </c>
      <c r="I238" s="2" t="s">
        <v>1053</v>
      </c>
      <c r="J238" s="2" t="s">
        <v>872</v>
      </c>
      <c r="K238" s="2">
        <v>2</v>
      </c>
      <c r="L238" s="2">
        <v>2508010181</v>
      </c>
      <c r="M238" s="2">
        <v>98</v>
      </c>
      <c r="N238" s="2" t="s">
        <v>1054</v>
      </c>
      <c r="O238" s="2">
        <v>95</v>
      </c>
      <c r="P238" s="2" t="s">
        <v>667</v>
      </c>
      <c r="Q238" s="2">
        <v>95</v>
      </c>
      <c r="R238" s="2" t="s">
        <v>668</v>
      </c>
      <c r="S238" s="2">
        <v>90</v>
      </c>
      <c r="T238" s="2" t="s">
        <v>1055</v>
      </c>
      <c r="U238" s="2">
        <v>92</v>
      </c>
      <c r="V238" s="2" t="s">
        <v>263</v>
      </c>
      <c r="W238" s="2">
        <v>95</v>
      </c>
      <c r="X238" s="2">
        <v>2</v>
      </c>
      <c r="Y238" s="2">
        <v>90</v>
      </c>
      <c r="Z238" s="2" t="s">
        <v>1059</v>
      </c>
      <c r="AA238" s="2">
        <v>95</v>
      </c>
      <c r="AB238" s="2" t="s">
        <v>1060</v>
      </c>
      <c r="AC238" s="2">
        <v>90</v>
      </c>
      <c r="AD238" s="2">
        <v>4</v>
      </c>
      <c r="AE238" s="2">
        <v>95</v>
      </c>
      <c r="AF238" s="2" t="s">
        <v>672</v>
      </c>
      <c r="AG238" s="2">
        <v>85</v>
      </c>
      <c r="AH238" s="2" t="s">
        <v>1061</v>
      </c>
      <c r="AI238" s="2">
        <v>92</v>
      </c>
      <c r="AJ238" s="2" t="s">
        <v>350</v>
      </c>
      <c r="AK238" s="2">
        <v>95</v>
      </c>
    </row>
    <row r="239" spans="1:37" x14ac:dyDescent="0.25">
      <c r="A239" s="2" t="s">
        <v>129</v>
      </c>
      <c r="B239" s="2" t="s">
        <v>256</v>
      </c>
      <c r="C239" s="2" t="s">
        <v>9</v>
      </c>
      <c r="D239" s="3">
        <v>46080.530787037038</v>
      </c>
      <c r="E239" s="2">
        <v>66.8</v>
      </c>
      <c r="F239" s="2">
        <v>12</v>
      </c>
      <c r="G239" s="2">
        <v>0</v>
      </c>
      <c r="I239" s="2" t="s">
        <v>1025</v>
      </c>
      <c r="J239" s="2" t="s">
        <v>258</v>
      </c>
      <c r="K239" s="2">
        <v>1</v>
      </c>
      <c r="L239" s="2">
        <v>2501209992</v>
      </c>
      <c r="M239" s="2">
        <v>50</v>
      </c>
      <c r="N239" s="2" t="s">
        <v>1026</v>
      </c>
      <c r="O239" s="2">
        <v>50</v>
      </c>
      <c r="P239" s="2" t="s">
        <v>641</v>
      </c>
      <c r="Q239" s="2">
        <v>50</v>
      </c>
      <c r="R239" s="2" t="s">
        <v>1027</v>
      </c>
      <c r="S239" s="2">
        <v>50</v>
      </c>
      <c r="T239" s="2" t="s">
        <v>1028</v>
      </c>
      <c r="U239" s="2">
        <v>50</v>
      </c>
      <c r="V239" s="2" t="s">
        <v>263</v>
      </c>
      <c r="W239" s="2">
        <v>50</v>
      </c>
      <c r="X239" s="2">
        <v>10</v>
      </c>
      <c r="Y239" s="2">
        <v>50</v>
      </c>
      <c r="Z239" s="2" t="s">
        <v>1029</v>
      </c>
      <c r="AA239" s="2">
        <v>50</v>
      </c>
      <c r="AB239" s="2" t="s">
        <v>1062</v>
      </c>
      <c r="AC239" s="2">
        <v>50</v>
      </c>
      <c r="AD239" s="2">
        <v>11</v>
      </c>
      <c r="AE239" s="2">
        <v>50</v>
      </c>
      <c r="AF239" s="2" t="s">
        <v>379</v>
      </c>
      <c r="AG239" s="2">
        <v>50</v>
      </c>
      <c r="AJ239" s="2" t="s">
        <v>260</v>
      </c>
      <c r="AK239" s="2">
        <v>50</v>
      </c>
    </row>
    <row r="240" spans="1:37" x14ac:dyDescent="0.25">
      <c r="A240" s="2" t="s">
        <v>116</v>
      </c>
      <c r="B240" s="2" t="s">
        <v>256</v>
      </c>
      <c r="C240" s="2" t="s">
        <v>11</v>
      </c>
      <c r="D240" s="3">
        <v>46080.530787037038</v>
      </c>
      <c r="E240" s="2">
        <v>62</v>
      </c>
      <c r="F240" s="2">
        <v>0</v>
      </c>
      <c r="G240" s="2">
        <v>0</v>
      </c>
      <c r="I240" s="2" t="s">
        <v>1063</v>
      </c>
    </row>
    <row r="241" spans="1:37" x14ac:dyDescent="0.25">
      <c r="A241" s="2" t="s">
        <v>143</v>
      </c>
      <c r="B241" s="2" t="s">
        <v>256</v>
      </c>
      <c r="C241" s="2" t="s">
        <v>9</v>
      </c>
      <c r="D241" s="3">
        <v>46080.530787037038</v>
      </c>
      <c r="E241" s="2">
        <v>92.42</v>
      </c>
      <c r="F241" s="2">
        <v>26</v>
      </c>
      <c r="G241" s="2">
        <v>0</v>
      </c>
      <c r="I241" s="2" t="s">
        <v>1064</v>
      </c>
      <c r="J241" s="2" t="s">
        <v>258</v>
      </c>
      <c r="K241" s="2">
        <v>1</v>
      </c>
      <c r="L241" s="2">
        <v>3505026677</v>
      </c>
      <c r="M241" s="2">
        <v>98</v>
      </c>
      <c r="N241" s="2" t="s">
        <v>1065</v>
      </c>
      <c r="O241" s="2">
        <v>95</v>
      </c>
      <c r="P241" s="2" t="s">
        <v>667</v>
      </c>
      <c r="Q241" s="2">
        <v>95</v>
      </c>
      <c r="R241" s="2" t="s">
        <v>1066</v>
      </c>
      <c r="S241" s="2">
        <v>96</v>
      </c>
      <c r="T241" s="2" t="s">
        <v>934</v>
      </c>
      <c r="U241" s="2">
        <v>92</v>
      </c>
      <c r="V241" s="2" t="s">
        <v>263</v>
      </c>
      <c r="W241" s="2">
        <v>90</v>
      </c>
      <c r="X241" s="2">
        <v>1</v>
      </c>
      <c r="Y241" s="2">
        <v>90</v>
      </c>
      <c r="Z241" s="2" t="s">
        <v>1067</v>
      </c>
      <c r="AA241" s="2">
        <v>94</v>
      </c>
      <c r="AB241" s="2" t="s">
        <v>1068</v>
      </c>
      <c r="AC241" s="2">
        <v>92</v>
      </c>
      <c r="AD241" s="2">
        <v>640</v>
      </c>
      <c r="AE241" s="2">
        <v>92</v>
      </c>
      <c r="AF241" s="2" t="s">
        <v>379</v>
      </c>
      <c r="AG241" s="2">
        <v>90</v>
      </c>
      <c r="AH241" s="2" t="s">
        <v>1069</v>
      </c>
      <c r="AI241" s="2">
        <v>85</v>
      </c>
      <c r="AJ241" s="2" t="s">
        <v>350</v>
      </c>
      <c r="AK241" s="2">
        <v>88</v>
      </c>
    </row>
    <row r="242" spans="1:37" x14ac:dyDescent="0.25">
      <c r="A242" s="2" t="s">
        <v>143</v>
      </c>
      <c r="B242" s="2" t="s">
        <v>256</v>
      </c>
      <c r="C242" s="2" t="s">
        <v>9</v>
      </c>
      <c r="D242" s="3">
        <v>46080.530787037038</v>
      </c>
      <c r="E242" s="2">
        <v>92.42</v>
      </c>
      <c r="F242" s="2">
        <v>26</v>
      </c>
      <c r="G242" s="2">
        <v>0</v>
      </c>
      <c r="I242" s="2" t="s">
        <v>1064</v>
      </c>
      <c r="J242" s="2" t="s">
        <v>258</v>
      </c>
      <c r="K242" s="2">
        <v>2</v>
      </c>
      <c r="L242" s="2">
        <v>3505026677</v>
      </c>
      <c r="M242" s="2">
        <v>98</v>
      </c>
      <c r="N242" s="2" t="s">
        <v>1065</v>
      </c>
      <c r="O242" s="2">
        <v>95</v>
      </c>
      <c r="P242" s="2" t="s">
        <v>667</v>
      </c>
      <c r="Q242" s="2">
        <v>95</v>
      </c>
      <c r="R242" s="2" t="s">
        <v>1066</v>
      </c>
      <c r="S242" s="2">
        <v>96</v>
      </c>
      <c r="T242" s="2" t="s">
        <v>934</v>
      </c>
      <c r="U242" s="2">
        <v>92</v>
      </c>
      <c r="V242" s="2" t="s">
        <v>263</v>
      </c>
      <c r="W242" s="2">
        <v>90</v>
      </c>
      <c r="X242" s="2">
        <v>2</v>
      </c>
      <c r="Y242" s="2">
        <v>90</v>
      </c>
      <c r="Z242" s="2" t="s">
        <v>1070</v>
      </c>
      <c r="AA242" s="2">
        <v>94</v>
      </c>
      <c r="AB242" s="2" t="s">
        <v>1071</v>
      </c>
      <c r="AC242" s="2">
        <v>90</v>
      </c>
      <c r="AD242" s="2">
        <v>50</v>
      </c>
      <c r="AE242" s="2">
        <v>92</v>
      </c>
      <c r="AF242" s="2" t="s">
        <v>379</v>
      </c>
      <c r="AG242" s="2">
        <v>90</v>
      </c>
      <c r="AH242" s="2" t="s">
        <v>1072</v>
      </c>
      <c r="AI242" s="2">
        <v>85</v>
      </c>
      <c r="AJ242" s="2" t="s">
        <v>350</v>
      </c>
      <c r="AK242" s="2">
        <v>88</v>
      </c>
    </row>
    <row r="243" spans="1:37" x14ac:dyDescent="0.25">
      <c r="A243" s="2" t="s">
        <v>169</v>
      </c>
      <c r="B243" s="2" t="s">
        <v>256</v>
      </c>
      <c r="C243" s="2" t="s">
        <v>9</v>
      </c>
      <c r="D243" s="3">
        <v>46080.530787037038</v>
      </c>
      <c r="E243" s="2">
        <v>89.11</v>
      </c>
      <c r="F243" s="2">
        <v>13</v>
      </c>
      <c r="G243" s="2">
        <v>0</v>
      </c>
      <c r="I243" s="2" t="s">
        <v>1073</v>
      </c>
      <c r="J243" s="2" t="s">
        <v>258</v>
      </c>
      <c r="K243" s="2">
        <v>1</v>
      </c>
      <c r="L243" s="2">
        <v>1504026582</v>
      </c>
      <c r="M243" s="2">
        <v>95</v>
      </c>
      <c r="N243" s="2" t="s">
        <v>1074</v>
      </c>
      <c r="O243" s="2">
        <v>92</v>
      </c>
      <c r="P243" s="2" t="s">
        <v>667</v>
      </c>
      <c r="Q243" s="2">
        <v>95</v>
      </c>
      <c r="R243" s="2" t="s">
        <v>1066</v>
      </c>
      <c r="S243" s="2">
        <v>90</v>
      </c>
      <c r="T243" s="2" t="s">
        <v>934</v>
      </c>
      <c r="U243" s="2">
        <v>90</v>
      </c>
      <c r="V243" s="2" t="s">
        <v>263</v>
      </c>
      <c r="W243" s="2">
        <v>95</v>
      </c>
      <c r="X243" s="2">
        <v>1</v>
      </c>
      <c r="Y243" s="2">
        <v>80</v>
      </c>
      <c r="Z243" s="2" t="s">
        <v>1075</v>
      </c>
      <c r="AA243" s="2">
        <v>95</v>
      </c>
      <c r="AB243" s="2" t="s">
        <v>1076</v>
      </c>
      <c r="AC243" s="2">
        <v>90</v>
      </c>
      <c r="AD243" s="2">
        <v>600</v>
      </c>
      <c r="AE243" s="2">
        <v>95</v>
      </c>
      <c r="AF243" s="2" t="s">
        <v>379</v>
      </c>
      <c r="AG243" s="2">
        <v>95</v>
      </c>
      <c r="AH243" s="2" t="s">
        <v>1077</v>
      </c>
      <c r="AI243" s="2">
        <v>90</v>
      </c>
      <c r="AJ243" s="2" t="s">
        <v>277</v>
      </c>
      <c r="AK243" s="2">
        <v>95</v>
      </c>
    </row>
    <row r="244" spans="1:37" x14ac:dyDescent="0.25">
      <c r="A244" s="2" t="s">
        <v>116</v>
      </c>
      <c r="C244" s="2" t="s">
        <v>11</v>
      </c>
      <c r="D244" s="3">
        <v>46080.530787037038</v>
      </c>
      <c r="E244" s="2">
        <v>25</v>
      </c>
      <c r="F244" s="2">
        <v>0</v>
      </c>
      <c r="G244" s="2">
        <v>0</v>
      </c>
      <c r="I244" s="2" t="s">
        <v>1063</v>
      </c>
    </row>
    <row r="245" spans="1:37" x14ac:dyDescent="0.25">
      <c r="A245" s="2" t="s">
        <v>119</v>
      </c>
      <c r="B245" s="2" t="s">
        <v>256</v>
      </c>
      <c r="C245" s="2" t="s">
        <v>11</v>
      </c>
      <c r="D245" s="3">
        <v>46080.530787037038</v>
      </c>
      <c r="E245" s="2">
        <v>65</v>
      </c>
      <c r="F245" s="2">
        <v>0</v>
      </c>
      <c r="G245" s="2">
        <v>0</v>
      </c>
      <c r="I245" s="2" t="s">
        <v>674</v>
      </c>
    </row>
    <row r="246" spans="1:37" x14ac:dyDescent="0.25">
      <c r="A246" s="2" t="s">
        <v>161</v>
      </c>
      <c r="B246" s="2" t="s">
        <v>256</v>
      </c>
      <c r="C246" s="2" t="s">
        <v>9</v>
      </c>
      <c r="D246" s="3">
        <v>46080.530787037038</v>
      </c>
      <c r="E246" s="2">
        <v>65.55</v>
      </c>
      <c r="F246" s="2">
        <v>273</v>
      </c>
      <c r="G246" s="2">
        <v>0</v>
      </c>
      <c r="I246" s="2" t="s">
        <v>1078</v>
      </c>
      <c r="J246" s="2" t="s">
        <v>258</v>
      </c>
      <c r="K246" s="2">
        <v>1</v>
      </c>
      <c r="L246" s="2">
        <v>3504015911</v>
      </c>
      <c r="M246" s="2">
        <v>98</v>
      </c>
      <c r="N246" s="2" t="s">
        <v>1079</v>
      </c>
      <c r="O246" s="2">
        <v>95</v>
      </c>
      <c r="P246" s="2" t="s">
        <v>667</v>
      </c>
      <c r="Q246" s="2">
        <v>95</v>
      </c>
      <c r="R246" s="2" t="s">
        <v>1066</v>
      </c>
      <c r="S246" s="2">
        <v>92</v>
      </c>
      <c r="T246" s="2" t="s">
        <v>934</v>
      </c>
      <c r="U246" s="2">
        <v>90</v>
      </c>
      <c r="V246" s="2" t="s">
        <v>263</v>
      </c>
      <c r="W246" s="2">
        <v>95</v>
      </c>
      <c r="X246" s="2">
        <v>1</v>
      </c>
      <c r="Y246" s="2">
        <v>50</v>
      </c>
      <c r="Z246" s="2" t="s">
        <v>1080</v>
      </c>
      <c r="AA246" s="2">
        <v>92</v>
      </c>
      <c r="AB246" s="2" t="s">
        <v>1081</v>
      </c>
      <c r="AC246" s="2">
        <v>90</v>
      </c>
      <c r="AD246" s="2">
        <v>200</v>
      </c>
      <c r="AE246" s="2">
        <v>90</v>
      </c>
      <c r="AF246" s="2" t="s">
        <v>379</v>
      </c>
      <c r="AG246" s="2">
        <v>88</v>
      </c>
      <c r="AH246" s="2" t="s">
        <v>1082</v>
      </c>
      <c r="AI246" s="2">
        <v>90</v>
      </c>
      <c r="AJ246" s="2" t="s">
        <v>277</v>
      </c>
      <c r="AK246" s="2">
        <v>92</v>
      </c>
    </row>
    <row r="247" spans="1:37" x14ac:dyDescent="0.25">
      <c r="A247" s="2" t="s">
        <v>161</v>
      </c>
      <c r="B247" s="2" t="s">
        <v>256</v>
      </c>
      <c r="C247" s="2" t="s">
        <v>9</v>
      </c>
      <c r="D247" s="3">
        <v>46080.530787037038</v>
      </c>
      <c r="E247" s="2">
        <v>65.55</v>
      </c>
      <c r="F247" s="2">
        <v>273</v>
      </c>
      <c r="G247" s="2">
        <v>0</v>
      </c>
      <c r="I247" s="2" t="s">
        <v>1078</v>
      </c>
      <c r="J247" s="2" t="s">
        <v>258</v>
      </c>
      <c r="K247" s="2">
        <v>2</v>
      </c>
      <c r="L247" s="2">
        <v>3504015911</v>
      </c>
      <c r="M247" s="2">
        <v>50</v>
      </c>
      <c r="N247" s="2" t="s">
        <v>1079</v>
      </c>
      <c r="O247" s="2">
        <v>50</v>
      </c>
      <c r="P247" s="2" t="s">
        <v>667</v>
      </c>
      <c r="Q247" s="2">
        <v>50</v>
      </c>
      <c r="R247" s="2" t="s">
        <v>1066</v>
      </c>
      <c r="S247" s="2">
        <v>50</v>
      </c>
      <c r="T247" s="2" t="s">
        <v>934</v>
      </c>
      <c r="U247" s="2">
        <v>50</v>
      </c>
      <c r="V247" s="2" t="s">
        <v>263</v>
      </c>
      <c r="W247" s="2">
        <v>50</v>
      </c>
      <c r="X247" s="2">
        <v>2</v>
      </c>
      <c r="Y247" s="2">
        <v>50</v>
      </c>
      <c r="Z247" s="2" t="s">
        <v>1083</v>
      </c>
      <c r="AA247" s="2">
        <v>50</v>
      </c>
      <c r="AB247" s="2" t="s">
        <v>1084</v>
      </c>
      <c r="AC247" s="2">
        <v>50</v>
      </c>
      <c r="AD247" s="2">
        <v>200</v>
      </c>
      <c r="AE247" s="2">
        <v>50</v>
      </c>
      <c r="AF247" s="2" t="s">
        <v>379</v>
      </c>
      <c r="AG247" s="2">
        <v>50</v>
      </c>
      <c r="AH247" s="2" t="s">
        <v>1085</v>
      </c>
      <c r="AI247" s="2">
        <v>50</v>
      </c>
      <c r="AJ247" s="2" t="s">
        <v>277</v>
      </c>
      <c r="AK247" s="2">
        <v>50</v>
      </c>
    </row>
    <row r="248" spans="1:37" x14ac:dyDescent="0.25">
      <c r="A248" s="2" t="s">
        <v>161</v>
      </c>
      <c r="B248" s="2" t="s">
        <v>256</v>
      </c>
      <c r="C248" s="2" t="s">
        <v>9</v>
      </c>
      <c r="D248" s="3">
        <v>46080.530787037038</v>
      </c>
      <c r="E248" s="2">
        <v>65.55</v>
      </c>
      <c r="F248" s="2">
        <v>273</v>
      </c>
      <c r="G248" s="2">
        <v>0</v>
      </c>
      <c r="I248" s="2" t="s">
        <v>1078</v>
      </c>
      <c r="J248" s="2" t="s">
        <v>258</v>
      </c>
      <c r="K248" s="2">
        <v>3</v>
      </c>
      <c r="L248" s="2">
        <v>3504015911</v>
      </c>
      <c r="M248" s="2">
        <v>50</v>
      </c>
      <c r="N248" s="2" t="s">
        <v>1079</v>
      </c>
      <c r="O248" s="2">
        <v>50</v>
      </c>
      <c r="P248" s="2" t="s">
        <v>667</v>
      </c>
      <c r="Q248" s="2">
        <v>50</v>
      </c>
      <c r="R248" s="2" t="s">
        <v>1066</v>
      </c>
      <c r="S248" s="2">
        <v>50</v>
      </c>
      <c r="T248" s="2" t="s">
        <v>934</v>
      </c>
      <c r="U248" s="2">
        <v>50</v>
      </c>
      <c r="V248" s="2" t="s">
        <v>263</v>
      </c>
      <c r="W248" s="2">
        <v>50</v>
      </c>
      <c r="X248" s="2">
        <v>3</v>
      </c>
      <c r="Y248" s="2">
        <v>50</v>
      </c>
      <c r="Z248" s="2" t="s">
        <v>1086</v>
      </c>
      <c r="AA248" s="2">
        <v>50</v>
      </c>
      <c r="AB248" s="2" t="s">
        <v>1087</v>
      </c>
      <c r="AC248" s="2">
        <v>50</v>
      </c>
      <c r="AD248" s="2">
        <v>200</v>
      </c>
      <c r="AE248" s="2">
        <v>50</v>
      </c>
      <c r="AF248" s="2" t="s">
        <v>379</v>
      </c>
      <c r="AG248" s="2">
        <v>50</v>
      </c>
      <c r="AH248" s="2" t="s">
        <v>1077</v>
      </c>
      <c r="AI248" s="2">
        <v>50</v>
      </c>
      <c r="AJ248" s="2" t="s">
        <v>277</v>
      </c>
      <c r="AK248" s="2">
        <v>50</v>
      </c>
    </row>
    <row r="249" spans="1:37" x14ac:dyDescent="0.25">
      <c r="A249" s="2" t="s">
        <v>161</v>
      </c>
      <c r="B249" s="2" t="s">
        <v>256</v>
      </c>
      <c r="C249" s="2" t="s">
        <v>9</v>
      </c>
      <c r="D249" s="3">
        <v>46080.530787037038</v>
      </c>
      <c r="E249" s="2">
        <v>65.55</v>
      </c>
      <c r="F249" s="2">
        <v>273</v>
      </c>
      <c r="G249" s="2">
        <v>0</v>
      </c>
      <c r="I249" s="2" t="s">
        <v>1078</v>
      </c>
      <c r="J249" s="2" t="s">
        <v>258</v>
      </c>
      <c r="K249" s="2">
        <v>4</v>
      </c>
      <c r="L249" s="2">
        <v>3504015911</v>
      </c>
      <c r="M249" s="2">
        <v>50</v>
      </c>
      <c r="N249" s="2" t="s">
        <v>1079</v>
      </c>
      <c r="O249" s="2">
        <v>50</v>
      </c>
      <c r="P249" s="2" t="s">
        <v>667</v>
      </c>
      <c r="Q249" s="2">
        <v>50</v>
      </c>
      <c r="R249" s="2" t="s">
        <v>1066</v>
      </c>
      <c r="S249" s="2">
        <v>50</v>
      </c>
      <c r="T249" s="2" t="s">
        <v>934</v>
      </c>
      <c r="U249" s="2">
        <v>50</v>
      </c>
      <c r="V249" s="2" t="s">
        <v>263</v>
      </c>
      <c r="W249" s="2">
        <v>50</v>
      </c>
      <c r="X249" s="2">
        <v>4</v>
      </c>
      <c r="Y249" s="2">
        <v>50</v>
      </c>
      <c r="Z249" s="2" t="s">
        <v>1088</v>
      </c>
      <c r="AA249" s="2">
        <v>50</v>
      </c>
      <c r="AB249" s="2" t="s">
        <v>1089</v>
      </c>
      <c r="AC249" s="2">
        <v>50</v>
      </c>
      <c r="AD249" s="2">
        <v>200</v>
      </c>
      <c r="AE249" s="2">
        <v>50</v>
      </c>
      <c r="AF249" s="2" t="s">
        <v>379</v>
      </c>
      <c r="AG249" s="2">
        <v>50</v>
      </c>
      <c r="AH249" s="2" t="s">
        <v>1077</v>
      </c>
      <c r="AI249" s="2">
        <v>50</v>
      </c>
      <c r="AJ249" s="2" t="s">
        <v>277</v>
      </c>
      <c r="AK249" s="2">
        <v>50</v>
      </c>
    </row>
    <row r="250" spans="1:37" x14ac:dyDescent="0.25">
      <c r="A250" s="2" t="s">
        <v>161</v>
      </c>
      <c r="B250" s="2" t="s">
        <v>256</v>
      </c>
      <c r="C250" s="2" t="s">
        <v>9</v>
      </c>
      <c r="D250" s="3">
        <v>46080.530787037038</v>
      </c>
      <c r="E250" s="2">
        <v>65.55</v>
      </c>
      <c r="F250" s="2">
        <v>273</v>
      </c>
      <c r="G250" s="2">
        <v>0</v>
      </c>
      <c r="I250" s="2" t="s">
        <v>1078</v>
      </c>
      <c r="J250" s="2" t="s">
        <v>258</v>
      </c>
      <c r="K250" s="2">
        <v>5</v>
      </c>
      <c r="L250" s="2">
        <v>3504015911</v>
      </c>
      <c r="M250" s="2">
        <v>50</v>
      </c>
      <c r="N250" s="2" t="s">
        <v>1079</v>
      </c>
      <c r="O250" s="2">
        <v>50</v>
      </c>
      <c r="P250" s="2" t="s">
        <v>667</v>
      </c>
      <c r="Q250" s="2">
        <v>50</v>
      </c>
      <c r="R250" s="2" t="s">
        <v>1066</v>
      </c>
      <c r="S250" s="2">
        <v>50</v>
      </c>
      <c r="T250" s="2" t="s">
        <v>934</v>
      </c>
      <c r="U250" s="2">
        <v>50</v>
      </c>
      <c r="V250" s="2" t="s">
        <v>263</v>
      </c>
      <c r="W250" s="2">
        <v>50</v>
      </c>
      <c r="X250" s="2">
        <v>5</v>
      </c>
      <c r="Y250" s="2">
        <v>50</v>
      </c>
      <c r="Z250" s="2" t="s">
        <v>1090</v>
      </c>
      <c r="AA250" s="2">
        <v>50</v>
      </c>
      <c r="AB250" s="2" t="s">
        <v>1091</v>
      </c>
      <c r="AC250" s="2">
        <v>50</v>
      </c>
      <c r="AD250" s="2">
        <v>400</v>
      </c>
      <c r="AE250" s="2">
        <v>50</v>
      </c>
      <c r="AF250" s="2" t="s">
        <v>379</v>
      </c>
      <c r="AG250" s="2">
        <v>50</v>
      </c>
      <c r="AH250" s="2" t="s">
        <v>1077</v>
      </c>
      <c r="AI250" s="2">
        <v>50</v>
      </c>
      <c r="AJ250" s="2" t="s">
        <v>277</v>
      </c>
      <c r="AK250" s="2">
        <v>50</v>
      </c>
    </row>
    <row r="251" spans="1:37" x14ac:dyDescent="0.25">
      <c r="A251" s="2" t="s">
        <v>161</v>
      </c>
      <c r="B251" s="2" t="s">
        <v>256</v>
      </c>
      <c r="C251" s="2" t="s">
        <v>9</v>
      </c>
      <c r="D251" s="3">
        <v>46080.530787037038</v>
      </c>
      <c r="E251" s="2">
        <v>65.55</v>
      </c>
      <c r="F251" s="2">
        <v>273</v>
      </c>
      <c r="G251" s="2">
        <v>0</v>
      </c>
      <c r="I251" s="2" t="s">
        <v>1078</v>
      </c>
      <c r="J251" s="2" t="s">
        <v>258</v>
      </c>
      <c r="K251" s="2">
        <v>6</v>
      </c>
      <c r="L251" s="2">
        <v>3504015911</v>
      </c>
      <c r="M251" s="2">
        <v>50</v>
      </c>
      <c r="N251" s="2" t="s">
        <v>1079</v>
      </c>
      <c r="O251" s="2">
        <v>50</v>
      </c>
      <c r="P251" s="2" t="s">
        <v>667</v>
      </c>
      <c r="Q251" s="2">
        <v>50</v>
      </c>
      <c r="R251" s="2" t="s">
        <v>1066</v>
      </c>
      <c r="S251" s="2">
        <v>50</v>
      </c>
      <c r="T251" s="2" t="s">
        <v>934</v>
      </c>
      <c r="U251" s="2">
        <v>50</v>
      </c>
      <c r="V251" s="2" t="s">
        <v>263</v>
      </c>
      <c r="W251" s="2">
        <v>50</v>
      </c>
      <c r="X251" s="2">
        <v>6</v>
      </c>
      <c r="Y251" s="2">
        <v>50</v>
      </c>
      <c r="Z251" s="2" t="s">
        <v>1092</v>
      </c>
      <c r="AA251" s="2">
        <v>50</v>
      </c>
      <c r="AB251" s="2" t="s">
        <v>1093</v>
      </c>
      <c r="AC251" s="2">
        <v>50</v>
      </c>
      <c r="AD251" s="2">
        <v>400</v>
      </c>
      <c r="AE251" s="2">
        <v>50</v>
      </c>
      <c r="AF251" s="2" t="s">
        <v>379</v>
      </c>
      <c r="AG251" s="2">
        <v>50</v>
      </c>
      <c r="AH251" s="2" t="s">
        <v>1077</v>
      </c>
      <c r="AI251" s="2">
        <v>50</v>
      </c>
      <c r="AJ251" s="2" t="s">
        <v>277</v>
      </c>
      <c r="AK251" s="2">
        <v>50</v>
      </c>
    </row>
    <row r="252" spans="1:37" x14ac:dyDescent="0.25">
      <c r="A252" s="2" t="s">
        <v>161</v>
      </c>
      <c r="B252" s="2" t="s">
        <v>256</v>
      </c>
      <c r="C252" s="2" t="s">
        <v>9</v>
      </c>
      <c r="D252" s="3">
        <v>46080.530787037038</v>
      </c>
      <c r="E252" s="2">
        <v>65.55</v>
      </c>
      <c r="F252" s="2">
        <v>273</v>
      </c>
      <c r="G252" s="2">
        <v>0</v>
      </c>
      <c r="I252" s="2" t="s">
        <v>1078</v>
      </c>
      <c r="J252" s="2" t="s">
        <v>258</v>
      </c>
      <c r="K252" s="2">
        <v>7</v>
      </c>
      <c r="L252" s="2">
        <v>3504015911</v>
      </c>
      <c r="M252" s="2">
        <v>50</v>
      </c>
      <c r="N252" s="2" t="s">
        <v>1079</v>
      </c>
      <c r="O252" s="2">
        <v>50</v>
      </c>
      <c r="P252" s="2" t="s">
        <v>667</v>
      </c>
      <c r="Q252" s="2">
        <v>50</v>
      </c>
      <c r="R252" s="2" t="s">
        <v>1066</v>
      </c>
      <c r="S252" s="2">
        <v>50</v>
      </c>
      <c r="T252" s="2" t="s">
        <v>934</v>
      </c>
      <c r="U252" s="2">
        <v>50</v>
      </c>
      <c r="V252" s="2" t="s">
        <v>263</v>
      </c>
      <c r="W252" s="2">
        <v>50</v>
      </c>
      <c r="X252" s="2">
        <v>7</v>
      </c>
      <c r="Y252" s="2">
        <v>50</v>
      </c>
      <c r="Z252" s="2" t="s">
        <v>1094</v>
      </c>
      <c r="AA252" s="2">
        <v>50</v>
      </c>
      <c r="AB252" s="2" t="s">
        <v>1095</v>
      </c>
      <c r="AC252" s="2">
        <v>50</v>
      </c>
      <c r="AD252" s="2">
        <v>400</v>
      </c>
      <c r="AE252" s="2">
        <v>50</v>
      </c>
      <c r="AF252" s="2" t="s">
        <v>379</v>
      </c>
      <c r="AG252" s="2">
        <v>50</v>
      </c>
      <c r="AH252" s="2" t="s">
        <v>1082</v>
      </c>
      <c r="AI252" s="2">
        <v>50</v>
      </c>
      <c r="AJ252" s="2" t="s">
        <v>277</v>
      </c>
      <c r="AK252" s="2">
        <v>50</v>
      </c>
    </row>
    <row r="253" spans="1:37" x14ac:dyDescent="0.25">
      <c r="A253" s="2" t="s">
        <v>161</v>
      </c>
      <c r="B253" s="2" t="s">
        <v>256</v>
      </c>
      <c r="C253" s="2" t="s">
        <v>9</v>
      </c>
      <c r="D253" s="3">
        <v>46080.530787037038</v>
      </c>
      <c r="E253" s="2">
        <v>65.55</v>
      </c>
      <c r="F253" s="2">
        <v>273</v>
      </c>
      <c r="G253" s="2">
        <v>0</v>
      </c>
      <c r="I253" s="2" t="s">
        <v>1078</v>
      </c>
      <c r="J253" s="2" t="s">
        <v>258</v>
      </c>
      <c r="K253" s="2">
        <v>8</v>
      </c>
      <c r="L253" s="2">
        <v>3504015911</v>
      </c>
      <c r="M253" s="2">
        <v>50</v>
      </c>
      <c r="N253" s="2" t="s">
        <v>1079</v>
      </c>
      <c r="O253" s="2">
        <v>50</v>
      </c>
      <c r="P253" s="2" t="s">
        <v>667</v>
      </c>
      <c r="Q253" s="2">
        <v>50</v>
      </c>
      <c r="R253" s="2" t="s">
        <v>1066</v>
      </c>
      <c r="S253" s="2">
        <v>50</v>
      </c>
      <c r="T253" s="2" t="s">
        <v>934</v>
      </c>
      <c r="U253" s="2">
        <v>50</v>
      </c>
      <c r="V253" s="2" t="s">
        <v>263</v>
      </c>
      <c r="W253" s="2">
        <v>50</v>
      </c>
      <c r="X253" s="2">
        <v>8</v>
      </c>
      <c r="Y253" s="2">
        <v>50</v>
      </c>
      <c r="Z253" s="2" t="s">
        <v>1096</v>
      </c>
      <c r="AA253" s="2">
        <v>50</v>
      </c>
      <c r="AB253" s="2" t="s">
        <v>1097</v>
      </c>
      <c r="AC253" s="2">
        <v>50</v>
      </c>
      <c r="AD253" s="2">
        <v>400</v>
      </c>
      <c r="AE253" s="2">
        <v>50</v>
      </c>
      <c r="AF253" s="2" t="s">
        <v>379</v>
      </c>
      <c r="AG253" s="2">
        <v>50</v>
      </c>
      <c r="AH253" s="2" t="s">
        <v>1082</v>
      </c>
      <c r="AI253" s="2">
        <v>50</v>
      </c>
      <c r="AJ253" s="2" t="s">
        <v>277</v>
      </c>
      <c r="AK253" s="2">
        <v>50</v>
      </c>
    </row>
    <row r="254" spans="1:37" x14ac:dyDescent="0.25">
      <c r="A254" s="2" t="s">
        <v>161</v>
      </c>
      <c r="B254" s="2" t="s">
        <v>256</v>
      </c>
      <c r="C254" s="2" t="s">
        <v>9</v>
      </c>
      <c r="D254" s="3">
        <v>46080.530787037038</v>
      </c>
      <c r="E254" s="2">
        <v>65.55</v>
      </c>
      <c r="F254" s="2">
        <v>273</v>
      </c>
      <c r="G254" s="2">
        <v>0</v>
      </c>
      <c r="I254" s="2" t="s">
        <v>1078</v>
      </c>
      <c r="J254" s="2" t="s">
        <v>258</v>
      </c>
      <c r="K254" s="2">
        <v>9</v>
      </c>
      <c r="L254" s="2">
        <v>3504015911</v>
      </c>
      <c r="M254" s="2">
        <v>50</v>
      </c>
      <c r="N254" s="2" t="s">
        <v>1079</v>
      </c>
      <c r="O254" s="2">
        <v>50</v>
      </c>
      <c r="P254" s="2" t="s">
        <v>667</v>
      </c>
      <c r="Q254" s="2">
        <v>50</v>
      </c>
      <c r="R254" s="2" t="s">
        <v>1066</v>
      </c>
      <c r="S254" s="2">
        <v>50</v>
      </c>
      <c r="T254" s="2" t="s">
        <v>934</v>
      </c>
      <c r="U254" s="2">
        <v>50</v>
      </c>
      <c r="V254" s="2" t="s">
        <v>263</v>
      </c>
      <c r="W254" s="2">
        <v>50</v>
      </c>
      <c r="X254" s="2">
        <v>9</v>
      </c>
      <c r="Y254" s="2">
        <v>50</v>
      </c>
      <c r="Z254" s="2" t="s">
        <v>1098</v>
      </c>
      <c r="AA254" s="2">
        <v>50</v>
      </c>
      <c r="AB254" s="2" t="s">
        <v>1099</v>
      </c>
      <c r="AC254" s="2">
        <v>50</v>
      </c>
      <c r="AD254" s="2">
        <v>200</v>
      </c>
      <c r="AE254" s="2">
        <v>50</v>
      </c>
      <c r="AF254" s="2" t="s">
        <v>379</v>
      </c>
      <c r="AG254" s="2">
        <v>50</v>
      </c>
      <c r="AH254" s="2" t="s">
        <v>1082</v>
      </c>
      <c r="AI254" s="2">
        <v>50</v>
      </c>
      <c r="AJ254" s="2" t="s">
        <v>277</v>
      </c>
      <c r="AK254" s="2">
        <v>50</v>
      </c>
    </row>
    <row r="255" spans="1:37" x14ac:dyDescent="0.25">
      <c r="A255" s="2" t="s">
        <v>161</v>
      </c>
      <c r="B255" s="2" t="s">
        <v>256</v>
      </c>
      <c r="C255" s="2" t="s">
        <v>9</v>
      </c>
      <c r="D255" s="3">
        <v>46080.530787037038</v>
      </c>
      <c r="E255" s="2">
        <v>65.55</v>
      </c>
      <c r="F255" s="2">
        <v>273</v>
      </c>
      <c r="G255" s="2">
        <v>0</v>
      </c>
      <c r="I255" s="2" t="s">
        <v>1078</v>
      </c>
      <c r="J255" s="2" t="s">
        <v>258</v>
      </c>
      <c r="K255" s="2">
        <v>10</v>
      </c>
      <c r="L255" s="2">
        <v>3504015911</v>
      </c>
      <c r="M255" s="2">
        <v>50</v>
      </c>
      <c r="N255" s="2" t="s">
        <v>1079</v>
      </c>
      <c r="O255" s="2">
        <v>50</v>
      </c>
      <c r="P255" s="2" t="s">
        <v>667</v>
      </c>
      <c r="Q255" s="2">
        <v>50</v>
      </c>
      <c r="R255" s="2" t="s">
        <v>1066</v>
      </c>
      <c r="S255" s="2">
        <v>50</v>
      </c>
      <c r="T255" s="2" t="s">
        <v>934</v>
      </c>
      <c r="U255" s="2">
        <v>50</v>
      </c>
      <c r="V255" s="2" t="s">
        <v>263</v>
      </c>
      <c r="W255" s="2">
        <v>50</v>
      </c>
      <c r="X255" s="2">
        <v>10</v>
      </c>
      <c r="Y255" s="2">
        <v>50</v>
      </c>
      <c r="Z255" s="2" t="s">
        <v>1100</v>
      </c>
      <c r="AA255" s="2">
        <v>50</v>
      </c>
      <c r="AB255" s="2" t="s">
        <v>1101</v>
      </c>
      <c r="AC255" s="2">
        <v>50</v>
      </c>
      <c r="AD255" s="2">
        <v>400</v>
      </c>
      <c r="AE255" s="2">
        <v>50</v>
      </c>
      <c r="AF255" s="2" t="s">
        <v>379</v>
      </c>
      <c r="AG255" s="2">
        <v>50</v>
      </c>
      <c r="AH255" s="2" t="s">
        <v>1082</v>
      </c>
      <c r="AI255" s="2">
        <v>50</v>
      </c>
      <c r="AJ255" s="2" t="s">
        <v>277</v>
      </c>
      <c r="AK255" s="2">
        <v>50</v>
      </c>
    </row>
    <row r="256" spans="1:37" x14ac:dyDescent="0.25">
      <c r="A256" s="2" t="s">
        <v>161</v>
      </c>
      <c r="B256" s="2" t="s">
        <v>256</v>
      </c>
      <c r="C256" s="2" t="s">
        <v>9</v>
      </c>
      <c r="D256" s="3">
        <v>46080.530787037038</v>
      </c>
      <c r="E256" s="2">
        <v>65.55</v>
      </c>
      <c r="F256" s="2">
        <v>273</v>
      </c>
      <c r="G256" s="2">
        <v>0</v>
      </c>
      <c r="I256" s="2" t="s">
        <v>1078</v>
      </c>
      <c r="J256" s="2" t="s">
        <v>258</v>
      </c>
      <c r="K256" s="2">
        <v>11</v>
      </c>
      <c r="L256" s="2">
        <v>3504015911</v>
      </c>
      <c r="M256" s="2">
        <v>50</v>
      </c>
      <c r="N256" s="2" t="s">
        <v>1079</v>
      </c>
      <c r="O256" s="2">
        <v>50</v>
      </c>
      <c r="P256" s="2" t="s">
        <v>667</v>
      </c>
      <c r="Q256" s="2">
        <v>50</v>
      </c>
      <c r="R256" s="2" t="s">
        <v>1066</v>
      </c>
      <c r="S256" s="2">
        <v>50</v>
      </c>
      <c r="T256" s="2" t="s">
        <v>934</v>
      </c>
      <c r="U256" s="2">
        <v>50</v>
      </c>
      <c r="V256" s="2" t="s">
        <v>263</v>
      </c>
      <c r="W256" s="2">
        <v>50</v>
      </c>
      <c r="X256" s="2">
        <v>11</v>
      </c>
      <c r="Y256" s="2">
        <v>50</v>
      </c>
      <c r="Z256" s="2" t="s">
        <v>1102</v>
      </c>
      <c r="AA256" s="2">
        <v>50</v>
      </c>
      <c r="AB256" s="2" t="s">
        <v>1103</v>
      </c>
      <c r="AC256" s="2">
        <v>50</v>
      </c>
      <c r="AD256" s="2">
        <v>400</v>
      </c>
      <c r="AE256" s="2">
        <v>50</v>
      </c>
      <c r="AF256" s="2" t="s">
        <v>379</v>
      </c>
      <c r="AG256" s="2">
        <v>50</v>
      </c>
      <c r="AH256" s="2" t="s">
        <v>1082</v>
      </c>
      <c r="AI256" s="2">
        <v>50</v>
      </c>
      <c r="AJ256" s="2" t="s">
        <v>277</v>
      </c>
      <c r="AK256" s="2">
        <v>50</v>
      </c>
    </row>
    <row r="257" spans="1:37" x14ac:dyDescent="0.25">
      <c r="A257" s="2" t="s">
        <v>161</v>
      </c>
      <c r="B257" s="2" t="s">
        <v>256</v>
      </c>
      <c r="C257" s="2" t="s">
        <v>9</v>
      </c>
      <c r="D257" s="3">
        <v>46080.530787037038</v>
      </c>
      <c r="E257" s="2">
        <v>65.55</v>
      </c>
      <c r="F257" s="2">
        <v>273</v>
      </c>
      <c r="G257" s="2">
        <v>0</v>
      </c>
      <c r="I257" s="2" t="s">
        <v>1078</v>
      </c>
      <c r="J257" s="2" t="s">
        <v>258</v>
      </c>
      <c r="K257" s="2">
        <v>12</v>
      </c>
      <c r="L257" s="2">
        <v>3504015911</v>
      </c>
      <c r="M257" s="2">
        <v>50</v>
      </c>
      <c r="N257" s="2" t="s">
        <v>1079</v>
      </c>
      <c r="O257" s="2">
        <v>50</v>
      </c>
      <c r="P257" s="2" t="s">
        <v>667</v>
      </c>
      <c r="Q257" s="2">
        <v>50</v>
      </c>
      <c r="R257" s="2" t="s">
        <v>1066</v>
      </c>
      <c r="S257" s="2">
        <v>50</v>
      </c>
      <c r="T257" s="2" t="s">
        <v>934</v>
      </c>
      <c r="U257" s="2">
        <v>50</v>
      </c>
      <c r="V257" s="2" t="s">
        <v>263</v>
      </c>
      <c r="W257" s="2">
        <v>50</v>
      </c>
      <c r="X257" s="2">
        <v>12</v>
      </c>
      <c r="Y257" s="2">
        <v>50</v>
      </c>
      <c r="Z257" s="2" t="s">
        <v>1104</v>
      </c>
      <c r="AA257" s="2">
        <v>80</v>
      </c>
      <c r="AB257" s="2" t="s">
        <v>1105</v>
      </c>
      <c r="AC257" s="2">
        <v>78</v>
      </c>
      <c r="AD257" s="2">
        <v>150</v>
      </c>
      <c r="AE257" s="2">
        <v>80</v>
      </c>
      <c r="AF257" s="2" t="s">
        <v>379</v>
      </c>
      <c r="AG257" s="2">
        <v>50</v>
      </c>
      <c r="AH257" s="2" t="s">
        <v>1106</v>
      </c>
      <c r="AI257" s="2">
        <v>50</v>
      </c>
      <c r="AJ257" s="2" t="s">
        <v>277</v>
      </c>
      <c r="AK257" s="2">
        <v>50</v>
      </c>
    </row>
    <row r="258" spans="1:37" x14ac:dyDescent="0.25">
      <c r="A258" s="2" t="s">
        <v>161</v>
      </c>
      <c r="B258" s="2" t="s">
        <v>256</v>
      </c>
      <c r="C258" s="2" t="s">
        <v>9</v>
      </c>
      <c r="D258" s="3">
        <v>46080.530787037038</v>
      </c>
      <c r="E258" s="2">
        <v>65.55</v>
      </c>
      <c r="F258" s="2">
        <v>273</v>
      </c>
      <c r="G258" s="2">
        <v>0</v>
      </c>
      <c r="I258" s="2" t="s">
        <v>1078</v>
      </c>
      <c r="J258" s="2" t="s">
        <v>258</v>
      </c>
      <c r="K258" s="2">
        <v>13</v>
      </c>
      <c r="L258" s="2">
        <v>3504015911</v>
      </c>
      <c r="M258" s="2">
        <v>50</v>
      </c>
      <c r="N258" s="2" t="s">
        <v>1079</v>
      </c>
      <c r="O258" s="2">
        <v>50</v>
      </c>
      <c r="P258" s="2" t="s">
        <v>667</v>
      </c>
      <c r="Q258" s="2">
        <v>50</v>
      </c>
      <c r="R258" s="2" t="s">
        <v>1066</v>
      </c>
      <c r="S258" s="2">
        <v>50</v>
      </c>
      <c r="T258" s="2" t="s">
        <v>934</v>
      </c>
      <c r="U258" s="2">
        <v>50</v>
      </c>
      <c r="V258" s="2" t="s">
        <v>263</v>
      </c>
      <c r="W258" s="2">
        <v>50</v>
      </c>
      <c r="X258" s="2">
        <v>13</v>
      </c>
      <c r="Y258" s="2">
        <v>50</v>
      </c>
      <c r="Z258" s="2" t="s">
        <v>1107</v>
      </c>
      <c r="AA258" s="2">
        <v>50</v>
      </c>
      <c r="AB258" s="2" t="s">
        <v>1108</v>
      </c>
      <c r="AC258" s="2">
        <v>50</v>
      </c>
      <c r="AD258" s="2">
        <v>200</v>
      </c>
      <c r="AE258" s="2">
        <v>50</v>
      </c>
      <c r="AF258" s="2" t="s">
        <v>379</v>
      </c>
      <c r="AG258" s="2">
        <v>50</v>
      </c>
      <c r="AH258" s="2" t="s">
        <v>1082</v>
      </c>
      <c r="AI258" s="2">
        <v>50</v>
      </c>
      <c r="AJ258" s="2" t="s">
        <v>277</v>
      </c>
      <c r="AK258" s="2">
        <v>50</v>
      </c>
    </row>
    <row r="259" spans="1:37" x14ac:dyDescent="0.25">
      <c r="A259" s="2" t="s">
        <v>161</v>
      </c>
      <c r="B259" s="2" t="s">
        <v>256</v>
      </c>
      <c r="C259" s="2" t="s">
        <v>9</v>
      </c>
      <c r="D259" s="3">
        <v>46080.530787037038</v>
      </c>
      <c r="E259" s="2">
        <v>65.55</v>
      </c>
      <c r="F259" s="2">
        <v>273</v>
      </c>
      <c r="G259" s="2">
        <v>0</v>
      </c>
      <c r="I259" s="2" t="s">
        <v>1078</v>
      </c>
      <c r="J259" s="2" t="s">
        <v>258</v>
      </c>
      <c r="K259" s="2">
        <v>14</v>
      </c>
      <c r="L259" s="2">
        <v>3504015911</v>
      </c>
      <c r="M259" s="2">
        <v>50</v>
      </c>
      <c r="N259" s="2" t="s">
        <v>1079</v>
      </c>
      <c r="O259" s="2">
        <v>50</v>
      </c>
      <c r="P259" s="2" t="s">
        <v>667</v>
      </c>
      <c r="Q259" s="2">
        <v>50</v>
      </c>
      <c r="R259" s="2" t="s">
        <v>1066</v>
      </c>
      <c r="S259" s="2">
        <v>50</v>
      </c>
      <c r="T259" s="2" t="s">
        <v>934</v>
      </c>
      <c r="U259" s="2">
        <v>50</v>
      </c>
      <c r="V259" s="2" t="s">
        <v>263</v>
      </c>
      <c r="W259" s="2">
        <v>50</v>
      </c>
      <c r="X259" s="2">
        <v>14</v>
      </c>
      <c r="Y259" s="2">
        <v>50</v>
      </c>
      <c r="Z259" s="2" t="s">
        <v>1109</v>
      </c>
      <c r="AA259" s="2">
        <v>50</v>
      </c>
      <c r="AB259" s="2" t="s">
        <v>1110</v>
      </c>
      <c r="AC259" s="2">
        <v>50</v>
      </c>
      <c r="AD259" s="2">
        <v>1280</v>
      </c>
      <c r="AE259" s="2">
        <v>50</v>
      </c>
      <c r="AF259" s="2" t="s">
        <v>379</v>
      </c>
      <c r="AG259" s="2">
        <v>50</v>
      </c>
      <c r="AH259" s="2" t="s">
        <v>1111</v>
      </c>
      <c r="AI259" s="2">
        <v>50</v>
      </c>
      <c r="AJ259" s="2" t="s">
        <v>277</v>
      </c>
      <c r="AK259" s="2">
        <v>50</v>
      </c>
    </row>
    <row r="260" spans="1:37" x14ac:dyDescent="0.25">
      <c r="A260" s="2" t="s">
        <v>161</v>
      </c>
      <c r="B260" s="2" t="s">
        <v>256</v>
      </c>
      <c r="C260" s="2" t="s">
        <v>9</v>
      </c>
      <c r="D260" s="3">
        <v>46080.530787037038</v>
      </c>
      <c r="E260" s="2">
        <v>65.55</v>
      </c>
      <c r="F260" s="2">
        <v>273</v>
      </c>
      <c r="G260" s="2">
        <v>0</v>
      </c>
      <c r="I260" s="2" t="s">
        <v>1078</v>
      </c>
      <c r="J260" s="2" t="s">
        <v>258</v>
      </c>
      <c r="K260" s="2">
        <v>15</v>
      </c>
      <c r="L260" s="2">
        <v>3504015911</v>
      </c>
      <c r="M260" s="2">
        <v>50</v>
      </c>
      <c r="N260" s="2" t="s">
        <v>1079</v>
      </c>
      <c r="O260" s="2">
        <v>50</v>
      </c>
      <c r="P260" s="2" t="s">
        <v>667</v>
      </c>
      <c r="Q260" s="2">
        <v>50</v>
      </c>
      <c r="R260" s="2" t="s">
        <v>1066</v>
      </c>
      <c r="S260" s="2">
        <v>50</v>
      </c>
      <c r="T260" s="2" t="s">
        <v>934</v>
      </c>
      <c r="U260" s="2">
        <v>50</v>
      </c>
      <c r="V260" s="2" t="s">
        <v>263</v>
      </c>
      <c r="W260" s="2">
        <v>50</v>
      </c>
      <c r="X260" s="2">
        <v>15</v>
      </c>
      <c r="Y260" s="2">
        <v>50</v>
      </c>
      <c r="Z260" s="2" t="s">
        <v>1112</v>
      </c>
      <c r="AA260" s="2">
        <v>50</v>
      </c>
      <c r="AB260" s="2" t="s">
        <v>1113</v>
      </c>
      <c r="AC260" s="2">
        <v>50</v>
      </c>
      <c r="AD260" s="2">
        <v>140</v>
      </c>
      <c r="AE260" s="2">
        <v>50</v>
      </c>
      <c r="AF260" s="2" t="s">
        <v>379</v>
      </c>
      <c r="AG260" s="2">
        <v>50</v>
      </c>
      <c r="AH260" s="2" t="s">
        <v>1114</v>
      </c>
      <c r="AI260" s="2">
        <v>85</v>
      </c>
      <c r="AJ260" s="2" t="s">
        <v>277</v>
      </c>
      <c r="AK260" s="2">
        <v>50</v>
      </c>
    </row>
    <row r="261" spans="1:37" x14ac:dyDescent="0.25">
      <c r="A261" s="2" t="s">
        <v>161</v>
      </c>
      <c r="B261" s="2" t="s">
        <v>256</v>
      </c>
      <c r="C261" s="2" t="s">
        <v>9</v>
      </c>
      <c r="D261" s="3">
        <v>46080.530787037038</v>
      </c>
      <c r="E261" s="2">
        <v>65.55</v>
      </c>
      <c r="F261" s="2">
        <v>273</v>
      </c>
      <c r="G261" s="2">
        <v>0</v>
      </c>
      <c r="I261" s="2" t="s">
        <v>1078</v>
      </c>
      <c r="J261" s="2" t="s">
        <v>258</v>
      </c>
      <c r="K261" s="2">
        <v>16</v>
      </c>
      <c r="L261" s="2">
        <v>3504015911</v>
      </c>
      <c r="M261" s="2">
        <v>50</v>
      </c>
      <c r="N261" s="2" t="s">
        <v>1079</v>
      </c>
      <c r="O261" s="2">
        <v>50</v>
      </c>
      <c r="P261" s="2" t="s">
        <v>667</v>
      </c>
      <c r="Q261" s="2">
        <v>50</v>
      </c>
      <c r="R261" s="2" t="s">
        <v>1066</v>
      </c>
      <c r="S261" s="2">
        <v>50</v>
      </c>
      <c r="T261" s="2" t="s">
        <v>934</v>
      </c>
      <c r="U261" s="2">
        <v>50</v>
      </c>
      <c r="V261" s="2" t="s">
        <v>263</v>
      </c>
      <c r="W261" s="2">
        <v>50</v>
      </c>
      <c r="X261" s="2">
        <v>16</v>
      </c>
      <c r="Y261" s="2">
        <v>50</v>
      </c>
      <c r="Z261" s="2" t="s">
        <v>1115</v>
      </c>
      <c r="AA261" s="2">
        <v>50</v>
      </c>
      <c r="AB261" s="2" t="s">
        <v>1116</v>
      </c>
      <c r="AC261" s="2">
        <v>50</v>
      </c>
      <c r="AD261" s="2">
        <v>72</v>
      </c>
      <c r="AE261" s="2">
        <v>50</v>
      </c>
      <c r="AF261" s="2" t="s">
        <v>379</v>
      </c>
      <c r="AG261" s="2">
        <v>50</v>
      </c>
      <c r="AH261" s="2" t="s">
        <v>1117</v>
      </c>
      <c r="AI261" s="2">
        <v>50</v>
      </c>
      <c r="AJ261" s="2" t="s">
        <v>277</v>
      </c>
      <c r="AK261" s="2">
        <v>50</v>
      </c>
    </row>
    <row r="262" spans="1:37" x14ac:dyDescent="0.25">
      <c r="A262" s="2" t="s">
        <v>161</v>
      </c>
      <c r="B262" s="2" t="s">
        <v>256</v>
      </c>
      <c r="C262" s="2" t="s">
        <v>9</v>
      </c>
      <c r="D262" s="3">
        <v>46080.530787037038</v>
      </c>
      <c r="E262" s="2">
        <v>65.55</v>
      </c>
      <c r="F262" s="2">
        <v>273</v>
      </c>
      <c r="G262" s="2">
        <v>0</v>
      </c>
      <c r="I262" s="2" t="s">
        <v>1078</v>
      </c>
      <c r="J262" s="2" t="s">
        <v>258</v>
      </c>
      <c r="K262" s="2">
        <v>17</v>
      </c>
      <c r="L262" s="2">
        <v>3504015911</v>
      </c>
      <c r="M262" s="2">
        <v>50</v>
      </c>
      <c r="N262" s="2" t="s">
        <v>1079</v>
      </c>
      <c r="O262" s="2">
        <v>50</v>
      </c>
      <c r="P262" s="2" t="s">
        <v>667</v>
      </c>
      <c r="Q262" s="2">
        <v>50</v>
      </c>
      <c r="R262" s="2" t="s">
        <v>1066</v>
      </c>
      <c r="S262" s="2">
        <v>50</v>
      </c>
      <c r="T262" s="2" t="s">
        <v>934</v>
      </c>
      <c r="U262" s="2">
        <v>50</v>
      </c>
      <c r="V262" s="2" t="s">
        <v>263</v>
      </c>
      <c r="W262" s="2">
        <v>50</v>
      </c>
      <c r="X262" s="2">
        <v>17</v>
      </c>
      <c r="Y262" s="2">
        <v>50</v>
      </c>
      <c r="Z262" s="2" t="s">
        <v>1118</v>
      </c>
      <c r="AA262" s="2">
        <v>50</v>
      </c>
      <c r="AB262" s="2" t="s">
        <v>1119</v>
      </c>
      <c r="AC262" s="2">
        <v>50</v>
      </c>
      <c r="AD262" s="2">
        <v>2400</v>
      </c>
      <c r="AE262" s="2">
        <v>50</v>
      </c>
      <c r="AF262" s="2" t="s">
        <v>379</v>
      </c>
      <c r="AG262" s="2">
        <v>50</v>
      </c>
      <c r="AH262" s="2" t="s">
        <v>1120</v>
      </c>
      <c r="AI262" s="2">
        <v>50</v>
      </c>
      <c r="AJ262" s="2" t="s">
        <v>277</v>
      </c>
      <c r="AK262" s="2">
        <v>50</v>
      </c>
    </row>
    <row r="263" spans="1:37" x14ac:dyDescent="0.25">
      <c r="A263" s="2" t="s">
        <v>161</v>
      </c>
      <c r="B263" s="2" t="s">
        <v>256</v>
      </c>
      <c r="C263" s="2" t="s">
        <v>9</v>
      </c>
      <c r="D263" s="3">
        <v>46080.530787037038</v>
      </c>
      <c r="E263" s="2">
        <v>65.55</v>
      </c>
      <c r="F263" s="2">
        <v>273</v>
      </c>
      <c r="G263" s="2">
        <v>0</v>
      </c>
      <c r="I263" s="2" t="s">
        <v>1078</v>
      </c>
      <c r="J263" s="2" t="s">
        <v>258</v>
      </c>
      <c r="K263" s="2">
        <v>18</v>
      </c>
      <c r="L263" s="2">
        <v>3504015911</v>
      </c>
      <c r="M263" s="2">
        <v>50</v>
      </c>
      <c r="N263" s="2" t="s">
        <v>1079</v>
      </c>
      <c r="O263" s="2">
        <v>50</v>
      </c>
      <c r="P263" s="2" t="s">
        <v>667</v>
      </c>
      <c r="Q263" s="2">
        <v>50</v>
      </c>
      <c r="R263" s="2" t="s">
        <v>1066</v>
      </c>
      <c r="S263" s="2">
        <v>50</v>
      </c>
      <c r="T263" s="2" t="s">
        <v>934</v>
      </c>
      <c r="U263" s="2">
        <v>50</v>
      </c>
      <c r="V263" s="2" t="s">
        <v>263</v>
      </c>
      <c r="W263" s="2">
        <v>50</v>
      </c>
      <c r="X263" s="2">
        <v>18</v>
      </c>
      <c r="Y263" s="2">
        <v>50</v>
      </c>
      <c r="Z263" s="2" t="s">
        <v>1121</v>
      </c>
      <c r="AA263" s="2">
        <v>50</v>
      </c>
      <c r="AB263" s="2" t="s">
        <v>1122</v>
      </c>
      <c r="AC263" s="2">
        <v>50</v>
      </c>
      <c r="AD263" s="2">
        <v>32400</v>
      </c>
      <c r="AE263" s="2">
        <v>50</v>
      </c>
      <c r="AF263" s="2" t="s">
        <v>379</v>
      </c>
      <c r="AG263" s="2">
        <v>50</v>
      </c>
      <c r="AH263" s="2" t="s">
        <v>1123</v>
      </c>
      <c r="AI263" s="2">
        <v>50</v>
      </c>
      <c r="AJ263" s="2" t="s">
        <v>277</v>
      </c>
      <c r="AK263" s="2">
        <v>50</v>
      </c>
    </row>
    <row r="264" spans="1:37" x14ac:dyDescent="0.25">
      <c r="A264" s="2" t="s">
        <v>161</v>
      </c>
      <c r="B264" s="2" t="s">
        <v>256</v>
      </c>
      <c r="C264" s="2" t="s">
        <v>9</v>
      </c>
      <c r="D264" s="3">
        <v>46080.530787037038</v>
      </c>
      <c r="E264" s="2">
        <v>65.55</v>
      </c>
      <c r="F264" s="2">
        <v>273</v>
      </c>
      <c r="G264" s="2">
        <v>0</v>
      </c>
      <c r="I264" s="2" t="s">
        <v>1078</v>
      </c>
      <c r="J264" s="2" t="s">
        <v>258</v>
      </c>
      <c r="K264" s="2">
        <v>19</v>
      </c>
      <c r="L264" s="2">
        <v>3504015911</v>
      </c>
      <c r="M264" s="2">
        <v>50</v>
      </c>
      <c r="N264" s="2" t="s">
        <v>1079</v>
      </c>
      <c r="O264" s="2">
        <v>50</v>
      </c>
      <c r="P264" s="2" t="s">
        <v>667</v>
      </c>
      <c r="Q264" s="2">
        <v>50</v>
      </c>
      <c r="R264" s="2" t="s">
        <v>1066</v>
      </c>
      <c r="S264" s="2">
        <v>50</v>
      </c>
      <c r="T264" s="2" t="s">
        <v>934</v>
      </c>
      <c r="U264" s="2">
        <v>50</v>
      </c>
      <c r="V264" s="2" t="s">
        <v>263</v>
      </c>
      <c r="W264" s="2">
        <v>50</v>
      </c>
      <c r="X264" s="2">
        <v>19</v>
      </c>
      <c r="Y264" s="2">
        <v>50</v>
      </c>
      <c r="Z264" s="2" t="s">
        <v>1124</v>
      </c>
      <c r="AA264" s="2">
        <v>50</v>
      </c>
      <c r="AB264" s="2" t="s">
        <v>1125</v>
      </c>
      <c r="AC264" s="2">
        <v>50</v>
      </c>
      <c r="AD264" s="2">
        <v>2000</v>
      </c>
      <c r="AE264" s="2">
        <v>88</v>
      </c>
      <c r="AF264" s="2" t="s">
        <v>379</v>
      </c>
      <c r="AG264" s="2">
        <v>50</v>
      </c>
      <c r="AH264" s="2" t="s">
        <v>1126</v>
      </c>
      <c r="AI264" s="2">
        <v>50</v>
      </c>
      <c r="AJ264" s="2" t="s">
        <v>277</v>
      </c>
      <c r="AK264" s="2">
        <v>50</v>
      </c>
    </row>
    <row r="265" spans="1:37" x14ac:dyDescent="0.25">
      <c r="A265" s="2" t="s">
        <v>161</v>
      </c>
      <c r="B265" s="2" t="s">
        <v>256</v>
      </c>
      <c r="C265" s="2" t="s">
        <v>9</v>
      </c>
      <c r="D265" s="3">
        <v>46080.530787037038</v>
      </c>
      <c r="E265" s="2">
        <v>65.55</v>
      </c>
      <c r="F265" s="2">
        <v>273</v>
      </c>
      <c r="G265" s="2">
        <v>0</v>
      </c>
      <c r="I265" s="2" t="s">
        <v>1078</v>
      </c>
      <c r="J265" s="2" t="s">
        <v>258</v>
      </c>
      <c r="K265" s="2">
        <v>20</v>
      </c>
      <c r="L265" s="2">
        <v>3504015911</v>
      </c>
      <c r="M265" s="2">
        <v>50</v>
      </c>
      <c r="N265" s="2" t="s">
        <v>1079</v>
      </c>
      <c r="O265" s="2">
        <v>50</v>
      </c>
      <c r="P265" s="2" t="s">
        <v>667</v>
      </c>
      <c r="Q265" s="2">
        <v>50</v>
      </c>
      <c r="R265" s="2" t="s">
        <v>1066</v>
      </c>
      <c r="S265" s="2">
        <v>50</v>
      </c>
      <c r="T265" s="2" t="s">
        <v>934</v>
      </c>
      <c r="U265" s="2">
        <v>50</v>
      </c>
      <c r="V265" s="2" t="s">
        <v>263</v>
      </c>
      <c r="W265" s="2">
        <v>50</v>
      </c>
      <c r="X265" s="2">
        <v>20</v>
      </c>
      <c r="Y265" s="2">
        <v>50</v>
      </c>
      <c r="Z265" s="2" t="s">
        <v>1127</v>
      </c>
      <c r="AA265" s="2">
        <v>50</v>
      </c>
      <c r="AB265" s="2" t="s">
        <v>1128</v>
      </c>
      <c r="AC265" s="2">
        <v>50</v>
      </c>
      <c r="AD265" s="2">
        <v>2880</v>
      </c>
      <c r="AE265" s="2">
        <v>85</v>
      </c>
      <c r="AF265" s="2" t="s">
        <v>379</v>
      </c>
      <c r="AG265" s="2">
        <v>50</v>
      </c>
      <c r="AH265" s="2" t="s">
        <v>1129</v>
      </c>
      <c r="AI265" s="2">
        <v>50</v>
      </c>
      <c r="AJ265" s="2" t="s">
        <v>277</v>
      </c>
      <c r="AK265" s="2">
        <v>50</v>
      </c>
    </row>
    <row r="266" spans="1:37" x14ac:dyDescent="0.25">
      <c r="A266" s="2" t="s">
        <v>161</v>
      </c>
      <c r="B266" s="2" t="s">
        <v>256</v>
      </c>
      <c r="C266" s="2" t="s">
        <v>9</v>
      </c>
      <c r="D266" s="3">
        <v>46080.530787037038</v>
      </c>
      <c r="E266" s="2">
        <v>65.55</v>
      </c>
      <c r="F266" s="2">
        <v>273</v>
      </c>
      <c r="G266" s="2">
        <v>0</v>
      </c>
      <c r="I266" s="2" t="s">
        <v>1078</v>
      </c>
      <c r="J266" s="2" t="s">
        <v>258</v>
      </c>
      <c r="K266" s="2">
        <v>21</v>
      </c>
      <c r="L266" s="2">
        <v>3504015911</v>
      </c>
      <c r="M266" s="2">
        <v>50</v>
      </c>
      <c r="N266" s="2" t="s">
        <v>1079</v>
      </c>
      <c r="O266" s="2">
        <v>50</v>
      </c>
      <c r="P266" s="2" t="s">
        <v>667</v>
      </c>
      <c r="Q266" s="2">
        <v>50</v>
      </c>
      <c r="R266" s="2" t="s">
        <v>1066</v>
      </c>
      <c r="S266" s="2">
        <v>50</v>
      </c>
      <c r="T266" s="2" t="s">
        <v>934</v>
      </c>
      <c r="U266" s="2">
        <v>50</v>
      </c>
      <c r="V266" s="2" t="s">
        <v>263</v>
      </c>
      <c r="W266" s="2">
        <v>50</v>
      </c>
      <c r="X266" s="2">
        <v>21</v>
      </c>
      <c r="Y266" s="2">
        <v>50</v>
      </c>
      <c r="Z266" s="2" t="s">
        <v>1130</v>
      </c>
      <c r="AA266" s="2">
        <v>50</v>
      </c>
      <c r="AB266" s="2" t="s">
        <v>1131</v>
      </c>
      <c r="AC266" s="2">
        <v>50</v>
      </c>
      <c r="AD266" s="2">
        <v>960</v>
      </c>
      <c r="AE266" s="2">
        <v>50</v>
      </c>
      <c r="AF266" s="2" t="s">
        <v>379</v>
      </c>
      <c r="AG266" s="2">
        <v>50</v>
      </c>
      <c r="AH266" s="2" t="s">
        <v>1132</v>
      </c>
      <c r="AI266" s="2">
        <v>50</v>
      </c>
      <c r="AJ266" s="2" t="s">
        <v>277</v>
      </c>
      <c r="AK266" s="2">
        <v>50</v>
      </c>
    </row>
    <row r="267" spans="1:37" x14ac:dyDescent="0.25">
      <c r="A267" s="2" t="s">
        <v>116</v>
      </c>
      <c r="C267" s="2" t="s">
        <v>11</v>
      </c>
      <c r="D267" s="3">
        <v>46080.530787037038</v>
      </c>
      <c r="E267" s="2">
        <v>28</v>
      </c>
      <c r="F267" s="2">
        <v>0</v>
      </c>
      <c r="G267" s="2">
        <v>0</v>
      </c>
      <c r="I267" s="2" t="s">
        <v>1063</v>
      </c>
    </row>
    <row r="268" spans="1:37" x14ac:dyDescent="0.25">
      <c r="A268" s="2" t="s">
        <v>132</v>
      </c>
      <c r="B268" s="2" t="s">
        <v>256</v>
      </c>
      <c r="C268" s="2" t="s">
        <v>9</v>
      </c>
      <c r="D268" s="3">
        <v>46080.530787037038</v>
      </c>
      <c r="E268" s="2">
        <v>65.2</v>
      </c>
      <c r="F268" s="2">
        <v>13</v>
      </c>
      <c r="G268" s="2">
        <v>0</v>
      </c>
      <c r="I268" s="2" t="s">
        <v>1133</v>
      </c>
      <c r="J268" s="2" t="s">
        <v>258</v>
      </c>
      <c r="K268" s="2">
        <v>1</v>
      </c>
      <c r="L268" s="2">
        <v>1501037327</v>
      </c>
      <c r="M268" s="2">
        <v>50</v>
      </c>
      <c r="N268" s="2" t="s">
        <v>1134</v>
      </c>
      <c r="O268" s="2">
        <v>50</v>
      </c>
      <c r="P268" s="2" t="s">
        <v>667</v>
      </c>
      <c r="Q268" s="2">
        <v>50</v>
      </c>
      <c r="R268" s="2" t="s">
        <v>1135</v>
      </c>
      <c r="S268" s="2">
        <v>50</v>
      </c>
      <c r="T268" s="2" t="s">
        <v>1136</v>
      </c>
      <c r="U268" s="2">
        <v>50</v>
      </c>
      <c r="V268" s="2" t="s">
        <v>263</v>
      </c>
      <c r="W268" s="2">
        <v>50</v>
      </c>
      <c r="X268" s="2">
        <v>1</v>
      </c>
      <c r="Y268" s="2">
        <v>50</v>
      </c>
      <c r="Z268" s="2" t="s">
        <v>1137</v>
      </c>
      <c r="AA268" s="2">
        <v>50</v>
      </c>
      <c r="AB268" s="2" t="s">
        <v>1138</v>
      </c>
      <c r="AC268" s="2">
        <v>50</v>
      </c>
      <c r="AD268" s="2">
        <v>12</v>
      </c>
      <c r="AE268" s="2">
        <v>50</v>
      </c>
      <c r="AF268" s="2" t="s">
        <v>379</v>
      </c>
      <c r="AG268" s="2">
        <v>50</v>
      </c>
      <c r="AH268" s="2" t="s">
        <v>1139</v>
      </c>
      <c r="AI268" s="2">
        <v>50</v>
      </c>
      <c r="AJ268" s="2" t="s">
        <v>350</v>
      </c>
      <c r="AK268" s="2">
        <v>50</v>
      </c>
    </row>
    <row r="269" spans="1:37" x14ac:dyDescent="0.25">
      <c r="A269" s="2" t="s">
        <v>164</v>
      </c>
      <c r="C269" s="2" t="s">
        <v>11</v>
      </c>
      <c r="D269" s="3">
        <v>46080.530787037038</v>
      </c>
      <c r="E269" s="2">
        <v>25</v>
      </c>
      <c r="F269" s="2">
        <v>0</v>
      </c>
      <c r="G269" s="2">
        <v>0</v>
      </c>
      <c r="I269" s="2" t="s">
        <v>1140</v>
      </c>
    </row>
    <row r="270" spans="1:37" x14ac:dyDescent="0.25">
      <c r="A270" s="2" t="s">
        <v>121</v>
      </c>
      <c r="B270" s="2" t="s">
        <v>256</v>
      </c>
      <c r="C270" s="2" t="s">
        <v>11</v>
      </c>
      <c r="D270" s="3">
        <v>46080.530763888892</v>
      </c>
      <c r="E270" s="2">
        <v>60</v>
      </c>
      <c r="F270" s="2">
        <v>0</v>
      </c>
      <c r="G270" s="2">
        <v>0</v>
      </c>
      <c r="I270" s="2" t="s">
        <v>645</v>
      </c>
    </row>
    <row r="271" spans="1:37" x14ac:dyDescent="0.25">
      <c r="A271" s="2" t="s">
        <v>121</v>
      </c>
      <c r="C271" s="2" t="s">
        <v>11</v>
      </c>
      <c r="D271" s="3">
        <v>46080.530763888892</v>
      </c>
      <c r="E271" s="2">
        <v>22</v>
      </c>
      <c r="F271" s="2">
        <v>0</v>
      </c>
      <c r="G271" s="2">
        <v>0</v>
      </c>
      <c r="I271" s="2" t="s">
        <v>645</v>
      </c>
    </row>
    <row r="272" spans="1:37" x14ac:dyDescent="0.25">
      <c r="A272" s="2" t="s">
        <v>174</v>
      </c>
      <c r="B272" s="2" t="s">
        <v>256</v>
      </c>
      <c r="C272" s="2" t="s">
        <v>9</v>
      </c>
      <c r="D272" s="3">
        <v>46080.530763888892</v>
      </c>
      <c r="E272" s="2">
        <v>76.81</v>
      </c>
      <c r="F272" s="2">
        <v>78</v>
      </c>
      <c r="G272" s="2">
        <v>0</v>
      </c>
      <c r="I272" s="2" t="s">
        <v>1141</v>
      </c>
      <c r="J272" s="2" t="s">
        <v>258</v>
      </c>
      <c r="K272" s="2">
        <v>1</v>
      </c>
      <c r="L272" s="2">
        <v>3504015927</v>
      </c>
      <c r="M272" s="2">
        <v>98</v>
      </c>
      <c r="N272" s="2" t="s">
        <v>1142</v>
      </c>
      <c r="O272" s="2">
        <v>98</v>
      </c>
      <c r="P272" s="2" t="s">
        <v>260</v>
      </c>
      <c r="Q272" s="2">
        <v>95</v>
      </c>
      <c r="R272" s="2" t="s">
        <v>271</v>
      </c>
      <c r="S272" s="2">
        <v>95</v>
      </c>
      <c r="T272" s="2" t="s">
        <v>272</v>
      </c>
      <c r="U272" s="2">
        <v>90</v>
      </c>
      <c r="V272" s="2" t="s">
        <v>263</v>
      </c>
      <c r="W272" s="2">
        <v>95</v>
      </c>
      <c r="X272" s="2">
        <v>1</v>
      </c>
      <c r="Y272" s="2">
        <v>95</v>
      </c>
      <c r="Z272" s="2" t="s">
        <v>1143</v>
      </c>
      <c r="AA272" s="2">
        <v>95</v>
      </c>
      <c r="AB272" s="2" t="s">
        <v>1144</v>
      </c>
      <c r="AC272" s="2">
        <v>90</v>
      </c>
      <c r="AD272" s="2">
        <v>10</v>
      </c>
      <c r="AE272" s="2">
        <v>95</v>
      </c>
      <c r="AF272" s="2" t="s">
        <v>275</v>
      </c>
      <c r="AG272" s="2">
        <v>90</v>
      </c>
      <c r="AH272" s="2" t="s">
        <v>1145</v>
      </c>
      <c r="AI272" s="2">
        <v>95</v>
      </c>
      <c r="AJ272" s="2" t="s">
        <v>381</v>
      </c>
      <c r="AK272" s="2">
        <v>96</v>
      </c>
    </row>
    <row r="273" spans="1:37" x14ac:dyDescent="0.25">
      <c r="A273" s="2" t="s">
        <v>174</v>
      </c>
      <c r="B273" s="2" t="s">
        <v>256</v>
      </c>
      <c r="C273" s="2" t="s">
        <v>9</v>
      </c>
      <c r="D273" s="3">
        <v>46080.530763888892</v>
      </c>
      <c r="E273" s="2">
        <v>76.81</v>
      </c>
      <c r="F273" s="2">
        <v>78</v>
      </c>
      <c r="G273" s="2">
        <v>0</v>
      </c>
      <c r="I273" s="2" t="s">
        <v>1141</v>
      </c>
      <c r="J273" s="2" t="s">
        <v>258</v>
      </c>
      <c r="K273" s="2">
        <v>2</v>
      </c>
      <c r="L273" s="2">
        <v>3504015927</v>
      </c>
      <c r="M273" s="2">
        <v>50</v>
      </c>
      <c r="N273" s="2" t="s">
        <v>1142</v>
      </c>
      <c r="O273" s="2">
        <v>50</v>
      </c>
      <c r="P273" s="2" t="s">
        <v>260</v>
      </c>
      <c r="Q273" s="2">
        <v>50</v>
      </c>
      <c r="R273" s="2" t="s">
        <v>271</v>
      </c>
      <c r="S273" s="2">
        <v>50</v>
      </c>
      <c r="T273" s="2" t="s">
        <v>272</v>
      </c>
      <c r="U273" s="2">
        <v>50</v>
      </c>
      <c r="V273" s="2" t="s">
        <v>263</v>
      </c>
      <c r="W273" s="2">
        <v>50</v>
      </c>
      <c r="X273" s="2">
        <v>2</v>
      </c>
      <c r="Y273" s="2">
        <v>50</v>
      </c>
      <c r="Z273" s="2" t="s">
        <v>1146</v>
      </c>
      <c r="AA273" s="2">
        <v>95</v>
      </c>
      <c r="AB273" s="2" t="s">
        <v>1147</v>
      </c>
      <c r="AC273" s="2">
        <v>90</v>
      </c>
      <c r="AD273" s="2">
        <v>2</v>
      </c>
      <c r="AE273" s="2">
        <v>95</v>
      </c>
      <c r="AF273" s="2" t="s">
        <v>275</v>
      </c>
      <c r="AG273" s="2">
        <v>90</v>
      </c>
      <c r="AH273" s="2" t="s">
        <v>1148</v>
      </c>
      <c r="AI273" s="2">
        <v>95</v>
      </c>
      <c r="AJ273" s="2" t="s">
        <v>381</v>
      </c>
      <c r="AK273" s="2">
        <v>50</v>
      </c>
    </row>
    <row r="274" spans="1:37" x14ac:dyDescent="0.25">
      <c r="A274" s="2" t="s">
        <v>174</v>
      </c>
      <c r="B274" s="2" t="s">
        <v>256</v>
      </c>
      <c r="C274" s="2" t="s">
        <v>9</v>
      </c>
      <c r="D274" s="3">
        <v>46080.530763888892</v>
      </c>
      <c r="E274" s="2">
        <v>76.81</v>
      </c>
      <c r="F274" s="2">
        <v>78</v>
      </c>
      <c r="G274" s="2">
        <v>0</v>
      </c>
      <c r="I274" s="2" t="s">
        <v>1141</v>
      </c>
      <c r="J274" s="2" t="s">
        <v>258</v>
      </c>
      <c r="K274" s="2">
        <v>3</v>
      </c>
      <c r="L274" s="2">
        <v>3504015927</v>
      </c>
      <c r="M274" s="2">
        <v>50</v>
      </c>
      <c r="N274" s="2" t="s">
        <v>1142</v>
      </c>
      <c r="O274" s="2">
        <v>50</v>
      </c>
      <c r="P274" s="2" t="s">
        <v>260</v>
      </c>
      <c r="Q274" s="2">
        <v>50</v>
      </c>
      <c r="R274" s="2" t="s">
        <v>271</v>
      </c>
      <c r="S274" s="2">
        <v>50</v>
      </c>
      <c r="T274" s="2" t="s">
        <v>272</v>
      </c>
      <c r="U274" s="2">
        <v>50</v>
      </c>
      <c r="V274" s="2" t="s">
        <v>263</v>
      </c>
      <c r="W274" s="2">
        <v>50</v>
      </c>
      <c r="X274" s="2">
        <v>3</v>
      </c>
      <c r="Y274" s="2">
        <v>50</v>
      </c>
      <c r="Z274" s="2" t="s">
        <v>682</v>
      </c>
      <c r="AA274" s="2">
        <v>95</v>
      </c>
      <c r="AB274" s="2" t="s">
        <v>683</v>
      </c>
      <c r="AC274" s="2">
        <v>90</v>
      </c>
      <c r="AD274" s="2">
        <v>2</v>
      </c>
      <c r="AE274" s="2">
        <v>95</v>
      </c>
      <c r="AF274" s="2" t="s">
        <v>275</v>
      </c>
      <c r="AG274" s="2">
        <v>90</v>
      </c>
      <c r="AH274" s="2" t="s">
        <v>684</v>
      </c>
      <c r="AI274" s="2">
        <v>95</v>
      </c>
      <c r="AJ274" s="2" t="s">
        <v>381</v>
      </c>
      <c r="AK274" s="2">
        <v>50</v>
      </c>
    </row>
    <row r="275" spans="1:37" x14ac:dyDescent="0.25">
      <c r="A275" s="2" t="s">
        <v>174</v>
      </c>
      <c r="B275" s="2" t="s">
        <v>256</v>
      </c>
      <c r="C275" s="2" t="s">
        <v>9</v>
      </c>
      <c r="D275" s="3">
        <v>46080.530763888892</v>
      </c>
      <c r="E275" s="2">
        <v>76.81</v>
      </c>
      <c r="F275" s="2">
        <v>78</v>
      </c>
      <c r="G275" s="2">
        <v>0</v>
      </c>
      <c r="I275" s="2" t="s">
        <v>1141</v>
      </c>
      <c r="J275" s="2" t="s">
        <v>258</v>
      </c>
      <c r="K275" s="2">
        <v>4</v>
      </c>
      <c r="L275" s="2">
        <v>3504015927</v>
      </c>
      <c r="M275" s="2">
        <v>50</v>
      </c>
      <c r="N275" s="2" t="s">
        <v>1142</v>
      </c>
      <c r="O275" s="2">
        <v>50</v>
      </c>
      <c r="P275" s="2" t="s">
        <v>260</v>
      </c>
      <c r="Q275" s="2">
        <v>50</v>
      </c>
      <c r="R275" s="2" t="s">
        <v>271</v>
      </c>
      <c r="S275" s="2">
        <v>50</v>
      </c>
      <c r="T275" s="2" t="s">
        <v>272</v>
      </c>
      <c r="U275" s="2">
        <v>50</v>
      </c>
      <c r="V275" s="2" t="s">
        <v>263</v>
      </c>
      <c r="W275" s="2">
        <v>50</v>
      </c>
      <c r="X275" s="2">
        <v>4</v>
      </c>
      <c r="Y275" s="2">
        <v>50</v>
      </c>
      <c r="Z275" s="2" t="s">
        <v>685</v>
      </c>
      <c r="AA275" s="2">
        <v>95</v>
      </c>
      <c r="AB275" s="2" t="s">
        <v>1149</v>
      </c>
      <c r="AC275" s="2">
        <v>90</v>
      </c>
      <c r="AD275" s="2">
        <v>9</v>
      </c>
      <c r="AE275" s="2">
        <v>95</v>
      </c>
      <c r="AF275" s="2" t="s">
        <v>275</v>
      </c>
      <c r="AG275" s="2">
        <v>90</v>
      </c>
      <c r="AH275" s="2" t="s">
        <v>1150</v>
      </c>
      <c r="AI275" s="2">
        <v>95</v>
      </c>
      <c r="AJ275" s="2" t="s">
        <v>381</v>
      </c>
      <c r="AK275" s="2">
        <v>50</v>
      </c>
    </row>
    <row r="276" spans="1:37" x14ac:dyDescent="0.25">
      <c r="A276" s="2" t="s">
        <v>174</v>
      </c>
      <c r="B276" s="2" t="s">
        <v>256</v>
      </c>
      <c r="C276" s="2" t="s">
        <v>9</v>
      </c>
      <c r="D276" s="3">
        <v>46080.530763888892</v>
      </c>
      <c r="E276" s="2">
        <v>76.81</v>
      </c>
      <c r="F276" s="2">
        <v>78</v>
      </c>
      <c r="G276" s="2">
        <v>0</v>
      </c>
      <c r="I276" s="2" t="s">
        <v>1141</v>
      </c>
      <c r="J276" s="2" t="s">
        <v>258</v>
      </c>
      <c r="K276" s="2">
        <v>5</v>
      </c>
      <c r="L276" s="2">
        <v>3504015927</v>
      </c>
      <c r="M276" s="2">
        <v>50</v>
      </c>
      <c r="N276" s="2" t="s">
        <v>1142</v>
      </c>
      <c r="O276" s="2">
        <v>50</v>
      </c>
      <c r="P276" s="2" t="s">
        <v>260</v>
      </c>
      <c r="Q276" s="2">
        <v>50</v>
      </c>
      <c r="R276" s="2" t="s">
        <v>271</v>
      </c>
      <c r="S276" s="2">
        <v>50</v>
      </c>
      <c r="T276" s="2" t="s">
        <v>272</v>
      </c>
      <c r="U276" s="2">
        <v>50</v>
      </c>
      <c r="V276" s="2" t="s">
        <v>263</v>
      </c>
      <c r="W276" s="2">
        <v>50</v>
      </c>
      <c r="X276" s="2">
        <v>5</v>
      </c>
      <c r="Y276" s="2">
        <v>50</v>
      </c>
      <c r="Z276" s="2" t="s">
        <v>1151</v>
      </c>
      <c r="AA276" s="2">
        <v>95</v>
      </c>
      <c r="AB276" s="2" t="s">
        <v>1152</v>
      </c>
      <c r="AC276" s="2">
        <v>90</v>
      </c>
      <c r="AD276" s="2">
        <v>28</v>
      </c>
      <c r="AE276" s="2">
        <v>95</v>
      </c>
      <c r="AF276" s="2" t="s">
        <v>275</v>
      </c>
      <c r="AG276" s="2">
        <v>90</v>
      </c>
      <c r="AH276" s="2" t="s">
        <v>1153</v>
      </c>
      <c r="AI276" s="2">
        <v>95</v>
      </c>
      <c r="AJ276" s="2" t="s">
        <v>381</v>
      </c>
      <c r="AK276" s="2">
        <v>50</v>
      </c>
    </row>
    <row r="277" spans="1:37" x14ac:dyDescent="0.25">
      <c r="A277" s="2" t="s">
        <v>174</v>
      </c>
      <c r="B277" s="2" t="s">
        <v>256</v>
      </c>
      <c r="C277" s="2" t="s">
        <v>9</v>
      </c>
      <c r="D277" s="3">
        <v>46080.530763888892</v>
      </c>
      <c r="E277" s="2">
        <v>76.81</v>
      </c>
      <c r="F277" s="2">
        <v>78</v>
      </c>
      <c r="G277" s="2">
        <v>0</v>
      </c>
      <c r="I277" s="2" t="s">
        <v>1141</v>
      </c>
      <c r="J277" s="2" t="s">
        <v>258</v>
      </c>
      <c r="K277" s="2">
        <v>6</v>
      </c>
      <c r="L277" s="2">
        <v>3504015927</v>
      </c>
      <c r="M277" s="2">
        <v>50</v>
      </c>
      <c r="N277" s="2" t="s">
        <v>1142</v>
      </c>
      <c r="O277" s="2">
        <v>50</v>
      </c>
      <c r="P277" s="2" t="s">
        <v>260</v>
      </c>
      <c r="Q277" s="2">
        <v>50</v>
      </c>
      <c r="R277" s="2" t="s">
        <v>271</v>
      </c>
      <c r="S277" s="2">
        <v>50</v>
      </c>
      <c r="T277" s="2" t="s">
        <v>272</v>
      </c>
      <c r="U277" s="2">
        <v>50</v>
      </c>
      <c r="V277" s="2" t="s">
        <v>263</v>
      </c>
      <c r="W277" s="2">
        <v>50</v>
      </c>
      <c r="X277" s="2">
        <v>6</v>
      </c>
      <c r="Y277" s="2">
        <v>50</v>
      </c>
      <c r="Z277" s="2" t="s">
        <v>331</v>
      </c>
      <c r="AA277" s="2">
        <v>88</v>
      </c>
      <c r="AB277" s="2" t="s">
        <v>332</v>
      </c>
      <c r="AC277" s="2">
        <v>88</v>
      </c>
      <c r="AD277" s="2">
        <v>10</v>
      </c>
      <c r="AE277" s="2">
        <v>92</v>
      </c>
      <c r="AF277" s="2" t="s">
        <v>1154</v>
      </c>
      <c r="AG277" s="2">
        <v>70</v>
      </c>
      <c r="AH277" s="2" t="s">
        <v>1155</v>
      </c>
      <c r="AI277" s="2">
        <v>92</v>
      </c>
      <c r="AJ277" s="2" t="s">
        <v>381</v>
      </c>
      <c r="AK277" s="2">
        <v>50</v>
      </c>
    </row>
    <row r="278" spans="1:37" x14ac:dyDescent="0.25">
      <c r="A278" s="2" t="s">
        <v>115</v>
      </c>
      <c r="C278" s="2" t="s">
        <v>11</v>
      </c>
      <c r="D278" s="3">
        <v>46080.530763888892</v>
      </c>
      <c r="E278" s="2">
        <v>25</v>
      </c>
      <c r="F278" s="2">
        <v>0</v>
      </c>
      <c r="G278" s="2">
        <v>0</v>
      </c>
      <c r="I278" s="2" t="s">
        <v>1156</v>
      </c>
    </row>
    <row r="279" spans="1:37" x14ac:dyDescent="0.25">
      <c r="A279" s="2" t="s">
        <v>112</v>
      </c>
      <c r="B279" s="2" t="s">
        <v>256</v>
      </c>
      <c r="C279" s="2" t="s">
        <v>9</v>
      </c>
      <c r="D279" s="3">
        <v>46080.530763888892</v>
      </c>
      <c r="E279" s="2">
        <v>71.010000000000005</v>
      </c>
      <c r="F279" s="2">
        <v>156</v>
      </c>
      <c r="G279" s="2">
        <v>0</v>
      </c>
      <c r="I279" s="2" t="s">
        <v>1157</v>
      </c>
      <c r="J279" s="2" t="s">
        <v>258</v>
      </c>
      <c r="K279" s="2">
        <v>1</v>
      </c>
      <c r="L279" s="2">
        <v>3507009728</v>
      </c>
      <c r="M279" s="2">
        <v>50</v>
      </c>
      <c r="N279" s="2" t="s">
        <v>1158</v>
      </c>
      <c r="O279" s="2">
        <v>50</v>
      </c>
      <c r="P279" s="2" t="s">
        <v>260</v>
      </c>
      <c r="Q279" s="2">
        <v>50</v>
      </c>
      <c r="R279" s="2" t="s">
        <v>271</v>
      </c>
      <c r="S279" s="2">
        <v>50</v>
      </c>
      <c r="T279" s="2" t="s">
        <v>272</v>
      </c>
      <c r="U279" s="2">
        <v>50</v>
      </c>
      <c r="V279" s="2" t="s">
        <v>263</v>
      </c>
      <c r="W279" s="2">
        <v>50</v>
      </c>
      <c r="X279" s="2">
        <v>1</v>
      </c>
      <c r="Y279" s="2">
        <v>50</v>
      </c>
      <c r="Z279" s="2" t="s">
        <v>1159</v>
      </c>
      <c r="AA279" s="2">
        <v>95</v>
      </c>
      <c r="AB279" s="2" t="s">
        <v>1160</v>
      </c>
      <c r="AC279" s="2">
        <v>88</v>
      </c>
      <c r="AD279" s="2">
        <v>1</v>
      </c>
      <c r="AE279" s="2">
        <v>96</v>
      </c>
      <c r="AF279" s="2" t="s">
        <v>275</v>
      </c>
      <c r="AG279" s="2">
        <v>95</v>
      </c>
      <c r="AH279" s="2" t="s">
        <v>1161</v>
      </c>
      <c r="AI279" s="2">
        <v>94</v>
      </c>
      <c r="AJ279" s="2" t="s">
        <v>277</v>
      </c>
      <c r="AK279" s="2">
        <v>50</v>
      </c>
    </row>
    <row r="280" spans="1:37" x14ac:dyDescent="0.25">
      <c r="A280" s="2" t="s">
        <v>112</v>
      </c>
      <c r="B280" s="2" t="s">
        <v>256</v>
      </c>
      <c r="C280" s="2" t="s">
        <v>9</v>
      </c>
      <c r="D280" s="3">
        <v>46080.530763888892</v>
      </c>
      <c r="E280" s="2">
        <v>71.010000000000005</v>
      </c>
      <c r="F280" s="2">
        <v>156</v>
      </c>
      <c r="G280" s="2">
        <v>0</v>
      </c>
      <c r="I280" s="2" t="s">
        <v>1157</v>
      </c>
      <c r="J280" s="2" t="s">
        <v>258</v>
      </c>
      <c r="K280" s="2">
        <v>2</v>
      </c>
      <c r="L280" s="2">
        <v>3507009728</v>
      </c>
      <c r="M280" s="2">
        <v>50</v>
      </c>
      <c r="N280" s="2" t="s">
        <v>1158</v>
      </c>
      <c r="O280" s="2">
        <v>50</v>
      </c>
      <c r="P280" s="2" t="s">
        <v>260</v>
      </c>
      <c r="Q280" s="2">
        <v>50</v>
      </c>
      <c r="R280" s="2" t="s">
        <v>271</v>
      </c>
      <c r="S280" s="2">
        <v>50</v>
      </c>
      <c r="T280" s="2" t="s">
        <v>272</v>
      </c>
      <c r="U280" s="2">
        <v>50</v>
      </c>
      <c r="V280" s="2" t="s">
        <v>263</v>
      </c>
      <c r="W280" s="2">
        <v>50</v>
      </c>
      <c r="X280" s="2">
        <v>2</v>
      </c>
      <c r="Y280" s="2">
        <v>50</v>
      </c>
      <c r="Z280" s="2" t="s">
        <v>1162</v>
      </c>
      <c r="AA280" s="2">
        <v>95</v>
      </c>
      <c r="AB280" s="2" t="s">
        <v>1163</v>
      </c>
      <c r="AC280" s="2">
        <v>88</v>
      </c>
      <c r="AD280" s="2">
        <v>3</v>
      </c>
      <c r="AE280" s="2">
        <v>96</v>
      </c>
      <c r="AF280" s="2" t="s">
        <v>275</v>
      </c>
      <c r="AG280" s="2">
        <v>95</v>
      </c>
      <c r="AH280" s="2" t="s">
        <v>1164</v>
      </c>
      <c r="AI280" s="2">
        <v>94</v>
      </c>
      <c r="AJ280" s="2" t="s">
        <v>277</v>
      </c>
      <c r="AK280" s="2">
        <v>50</v>
      </c>
    </row>
    <row r="281" spans="1:37" x14ac:dyDescent="0.25">
      <c r="A281" s="2" t="s">
        <v>112</v>
      </c>
      <c r="B281" s="2" t="s">
        <v>256</v>
      </c>
      <c r="C281" s="2" t="s">
        <v>9</v>
      </c>
      <c r="D281" s="3">
        <v>46080.530763888892</v>
      </c>
      <c r="E281" s="2">
        <v>71.010000000000005</v>
      </c>
      <c r="F281" s="2">
        <v>156</v>
      </c>
      <c r="G281" s="2">
        <v>0</v>
      </c>
      <c r="I281" s="2" t="s">
        <v>1157</v>
      </c>
      <c r="J281" s="2" t="s">
        <v>258</v>
      </c>
      <c r="K281" s="2">
        <v>3</v>
      </c>
      <c r="L281" s="2">
        <v>3507009728</v>
      </c>
      <c r="M281" s="2">
        <v>50</v>
      </c>
      <c r="N281" s="2" t="s">
        <v>1158</v>
      </c>
      <c r="O281" s="2">
        <v>50</v>
      </c>
      <c r="P281" s="2" t="s">
        <v>260</v>
      </c>
      <c r="Q281" s="2">
        <v>50</v>
      </c>
      <c r="R281" s="2" t="s">
        <v>271</v>
      </c>
      <c r="S281" s="2">
        <v>50</v>
      </c>
      <c r="T281" s="2" t="s">
        <v>272</v>
      </c>
      <c r="U281" s="2">
        <v>50</v>
      </c>
      <c r="V281" s="2" t="s">
        <v>263</v>
      </c>
      <c r="W281" s="2">
        <v>50</v>
      </c>
      <c r="X281" s="2">
        <v>3</v>
      </c>
      <c r="Y281" s="2">
        <v>50</v>
      </c>
      <c r="Z281" s="2" t="s">
        <v>1165</v>
      </c>
      <c r="AA281" s="2">
        <v>95</v>
      </c>
      <c r="AB281" s="2" t="s">
        <v>1166</v>
      </c>
      <c r="AC281" s="2">
        <v>90</v>
      </c>
      <c r="AD281" s="2">
        <v>22</v>
      </c>
      <c r="AE281" s="2">
        <v>96</v>
      </c>
      <c r="AF281" s="2" t="s">
        <v>275</v>
      </c>
      <c r="AG281" s="2">
        <v>95</v>
      </c>
      <c r="AH281" s="2" t="s">
        <v>1167</v>
      </c>
      <c r="AI281" s="2">
        <v>94</v>
      </c>
      <c r="AJ281" s="2" t="s">
        <v>277</v>
      </c>
      <c r="AK281" s="2">
        <v>50</v>
      </c>
    </row>
    <row r="282" spans="1:37" x14ac:dyDescent="0.25">
      <c r="A282" s="2" t="s">
        <v>112</v>
      </c>
      <c r="B282" s="2" t="s">
        <v>256</v>
      </c>
      <c r="C282" s="2" t="s">
        <v>9</v>
      </c>
      <c r="D282" s="3">
        <v>46080.530763888892</v>
      </c>
      <c r="E282" s="2">
        <v>71.010000000000005</v>
      </c>
      <c r="F282" s="2">
        <v>156</v>
      </c>
      <c r="G282" s="2">
        <v>0</v>
      </c>
      <c r="I282" s="2" t="s">
        <v>1157</v>
      </c>
      <c r="J282" s="2" t="s">
        <v>258</v>
      </c>
      <c r="K282" s="2">
        <v>4</v>
      </c>
      <c r="L282" s="2">
        <v>3507009728</v>
      </c>
      <c r="M282" s="2">
        <v>50</v>
      </c>
      <c r="N282" s="2" t="s">
        <v>1158</v>
      </c>
      <c r="O282" s="2">
        <v>50</v>
      </c>
      <c r="P282" s="2" t="s">
        <v>260</v>
      </c>
      <c r="Q282" s="2">
        <v>50</v>
      </c>
      <c r="R282" s="2" t="s">
        <v>271</v>
      </c>
      <c r="S282" s="2">
        <v>50</v>
      </c>
      <c r="T282" s="2" t="s">
        <v>272</v>
      </c>
      <c r="U282" s="2">
        <v>50</v>
      </c>
      <c r="V282" s="2" t="s">
        <v>263</v>
      </c>
      <c r="W282" s="2">
        <v>50</v>
      </c>
      <c r="X282" s="2">
        <v>4</v>
      </c>
      <c r="Y282" s="2">
        <v>50</v>
      </c>
      <c r="Z282" s="2" t="s">
        <v>1168</v>
      </c>
      <c r="AA282" s="2">
        <v>95</v>
      </c>
      <c r="AB282" s="2" t="s">
        <v>1169</v>
      </c>
      <c r="AC282" s="2">
        <v>90</v>
      </c>
      <c r="AD282" s="2">
        <v>6</v>
      </c>
      <c r="AE282" s="2">
        <v>95</v>
      </c>
      <c r="AF282" s="2" t="s">
        <v>275</v>
      </c>
      <c r="AG282" s="2">
        <v>95</v>
      </c>
      <c r="AH282" s="2" t="s">
        <v>1170</v>
      </c>
      <c r="AI282" s="2">
        <v>94</v>
      </c>
      <c r="AJ282" s="2" t="s">
        <v>277</v>
      </c>
      <c r="AK282" s="2">
        <v>50</v>
      </c>
    </row>
    <row r="283" spans="1:37" x14ac:dyDescent="0.25">
      <c r="A283" s="2" t="s">
        <v>112</v>
      </c>
      <c r="B283" s="2" t="s">
        <v>256</v>
      </c>
      <c r="C283" s="2" t="s">
        <v>9</v>
      </c>
      <c r="D283" s="3">
        <v>46080.530763888892</v>
      </c>
      <c r="E283" s="2">
        <v>71.010000000000005</v>
      </c>
      <c r="F283" s="2">
        <v>156</v>
      </c>
      <c r="G283" s="2">
        <v>0</v>
      </c>
      <c r="I283" s="2" t="s">
        <v>1157</v>
      </c>
      <c r="J283" s="2" t="s">
        <v>258</v>
      </c>
      <c r="K283" s="2">
        <v>5</v>
      </c>
      <c r="L283" s="2">
        <v>3507009728</v>
      </c>
      <c r="M283" s="2">
        <v>50</v>
      </c>
      <c r="N283" s="2" t="s">
        <v>1158</v>
      </c>
      <c r="O283" s="2">
        <v>50</v>
      </c>
      <c r="P283" s="2" t="s">
        <v>260</v>
      </c>
      <c r="Q283" s="2">
        <v>50</v>
      </c>
      <c r="R283" s="2" t="s">
        <v>271</v>
      </c>
      <c r="S283" s="2">
        <v>50</v>
      </c>
      <c r="T283" s="2" t="s">
        <v>272</v>
      </c>
      <c r="U283" s="2">
        <v>50</v>
      </c>
      <c r="V283" s="2" t="s">
        <v>263</v>
      </c>
      <c r="W283" s="2">
        <v>50</v>
      </c>
      <c r="X283" s="2">
        <v>5</v>
      </c>
      <c r="Y283" s="2">
        <v>50</v>
      </c>
      <c r="Z283" s="2" t="s">
        <v>1171</v>
      </c>
      <c r="AA283" s="2">
        <v>95</v>
      </c>
      <c r="AB283" s="2" t="s">
        <v>1172</v>
      </c>
      <c r="AC283" s="2">
        <v>90</v>
      </c>
      <c r="AD283" s="2">
        <v>1</v>
      </c>
      <c r="AE283" s="2">
        <v>96</v>
      </c>
      <c r="AF283" s="2" t="s">
        <v>275</v>
      </c>
      <c r="AG283" s="2">
        <v>95</v>
      </c>
      <c r="AH283" s="2" t="s">
        <v>1173</v>
      </c>
      <c r="AI283" s="2">
        <v>94</v>
      </c>
      <c r="AJ283" s="2" t="s">
        <v>277</v>
      </c>
      <c r="AK283" s="2">
        <v>50</v>
      </c>
    </row>
    <row r="284" spans="1:37" x14ac:dyDescent="0.25">
      <c r="A284" s="2" t="s">
        <v>112</v>
      </c>
      <c r="B284" s="2" t="s">
        <v>256</v>
      </c>
      <c r="C284" s="2" t="s">
        <v>9</v>
      </c>
      <c r="D284" s="3">
        <v>46080.530763888892</v>
      </c>
      <c r="E284" s="2">
        <v>71.010000000000005</v>
      </c>
      <c r="F284" s="2">
        <v>156</v>
      </c>
      <c r="G284" s="2">
        <v>0</v>
      </c>
      <c r="I284" s="2" t="s">
        <v>1157</v>
      </c>
      <c r="J284" s="2" t="s">
        <v>258</v>
      </c>
      <c r="K284" s="2">
        <v>6</v>
      </c>
      <c r="L284" s="2">
        <v>3507009728</v>
      </c>
      <c r="M284" s="2">
        <v>50</v>
      </c>
      <c r="N284" s="2" t="s">
        <v>1158</v>
      </c>
      <c r="O284" s="2">
        <v>50</v>
      </c>
      <c r="P284" s="2" t="s">
        <v>260</v>
      </c>
      <c r="Q284" s="2">
        <v>50</v>
      </c>
      <c r="R284" s="2" t="s">
        <v>271</v>
      </c>
      <c r="S284" s="2">
        <v>50</v>
      </c>
      <c r="T284" s="2" t="s">
        <v>272</v>
      </c>
      <c r="U284" s="2">
        <v>50</v>
      </c>
      <c r="V284" s="2" t="s">
        <v>263</v>
      </c>
      <c r="W284" s="2">
        <v>50</v>
      </c>
      <c r="X284" s="2">
        <v>6</v>
      </c>
      <c r="Y284" s="2">
        <v>50</v>
      </c>
      <c r="Z284" s="2" t="s">
        <v>1174</v>
      </c>
      <c r="AA284" s="2">
        <v>88</v>
      </c>
      <c r="AB284" s="2" t="s">
        <v>1175</v>
      </c>
      <c r="AC284" s="2">
        <v>86</v>
      </c>
      <c r="AD284" s="2">
        <v>2</v>
      </c>
      <c r="AE284" s="2">
        <v>95</v>
      </c>
      <c r="AF284" s="2" t="s">
        <v>275</v>
      </c>
      <c r="AG284" s="2">
        <v>95</v>
      </c>
      <c r="AH284" s="2" t="s">
        <v>1176</v>
      </c>
      <c r="AI284" s="2">
        <v>92</v>
      </c>
      <c r="AJ284" s="2" t="s">
        <v>277</v>
      </c>
      <c r="AK284" s="2">
        <v>50</v>
      </c>
    </row>
    <row r="285" spans="1:37" x14ac:dyDescent="0.25">
      <c r="A285" s="2" t="s">
        <v>112</v>
      </c>
      <c r="B285" s="2" t="s">
        <v>256</v>
      </c>
      <c r="C285" s="2" t="s">
        <v>9</v>
      </c>
      <c r="D285" s="3">
        <v>46080.530763888892</v>
      </c>
      <c r="E285" s="2">
        <v>71.010000000000005</v>
      </c>
      <c r="F285" s="2">
        <v>156</v>
      </c>
      <c r="G285" s="2">
        <v>0</v>
      </c>
      <c r="I285" s="2" t="s">
        <v>1157</v>
      </c>
      <c r="J285" s="2" t="s">
        <v>258</v>
      </c>
      <c r="K285" s="2">
        <v>7</v>
      </c>
      <c r="L285" s="2">
        <v>3507009728</v>
      </c>
      <c r="M285" s="2">
        <v>50</v>
      </c>
      <c r="N285" s="2" t="s">
        <v>1158</v>
      </c>
      <c r="O285" s="2">
        <v>50</v>
      </c>
      <c r="P285" s="2" t="s">
        <v>260</v>
      </c>
      <c r="Q285" s="2">
        <v>50</v>
      </c>
      <c r="R285" s="2" t="s">
        <v>271</v>
      </c>
      <c r="S285" s="2">
        <v>50</v>
      </c>
      <c r="T285" s="2" t="s">
        <v>272</v>
      </c>
      <c r="U285" s="2">
        <v>50</v>
      </c>
      <c r="V285" s="2" t="s">
        <v>263</v>
      </c>
      <c r="W285" s="2">
        <v>50</v>
      </c>
      <c r="X285" s="2">
        <v>7</v>
      </c>
      <c r="Y285" s="2">
        <v>50</v>
      </c>
      <c r="Z285" s="2" t="s">
        <v>1177</v>
      </c>
      <c r="AA285" s="2">
        <v>95</v>
      </c>
      <c r="AB285" s="2" t="s">
        <v>1178</v>
      </c>
      <c r="AC285" s="2">
        <v>88</v>
      </c>
      <c r="AD285" s="2">
        <v>192</v>
      </c>
      <c r="AE285" s="2">
        <v>95</v>
      </c>
      <c r="AF285" s="2" t="s">
        <v>337</v>
      </c>
      <c r="AG285" s="2">
        <v>95</v>
      </c>
      <c r="AH285" s="2" t="s">
        <v>1179</v>
      </c>
      <c r="AI285" s="2">
        <v>93</v>
      </c>
      <c r="AJ285" s="2" t="s">
        <v>277</v>
      </c>
      <c r="AK285" s="2">
        <v>50</v>
      </c>
    </row>
    <row r="286" spans="1:37" x14ac:dyDescent="0.25">
      <c r="A286" s="2" t="s">
        <v>112</v>
      </c>
      <c r="B286" s="2" t="s">
        <v>256</v>
      </c>
      <c r="C286" s="2" t="s">
        <v>9</v>
      </c>
      <c r="D286" s="3">
        <v>46080.530763888892</v>
      </c>
      <c r="E286" s="2">
        <v>71.010000000000005</v>
      </c>
      <c r="F286" s="2">
        <v>156</v>
      </c>
      <c r="G286" s="2">
        <v>0</v>
      </c>
      <c r="I286" s="2" t="s">
        <v>1157</v>
      </c>
      <c r="J286" s="2" t="s">
        <v>258</v>
      </c>
      <c r="K286" s="2">
        <v>8</v>
      </c>
      <c r="L286" s="2">
        <v>3507009728</v>
      </c>
      <c r="M286" s="2">
        <v>50</v>
      </c>
      <c r="N286" s="2" t="s">
        <v>1158</v>
      </c>
      <c r="O286" s="2">
        <v>50</v>
      </c>
      <c r="P286" s="2" t="s">
        <v>260</v>
      </c>
      <c r="Q286" s="2">
        <v>50</v>
      </c>
      <c r="R286" s="2" t="s">
        <v>271</v>
      </c>
      <c r="S286" s="2">
        <v>50</v>
      </c>
      <c r="T286" s="2" t="s">
        <v>272</v>
      </c>
      <c r="U286" s="2">
        <v>50</v>
      </c>
      <c r="V286" s="2" t="s">
        <v>263</v>
      </c>
      <c r="W286" s="2">
        <v>50</v>
      </c>
      <c r="X286" s="2">
        <v>8</v>
      </c>
      <c r="Y286" s="2">
        <v>50</v>
      </c>
      <c r="Z286" s="2" t="s">
        <v>1180</v>
      </c>
      <c r="AA286" s="2">
        <v>95</v>
      </c>
      <c r="AB286" s="2" t="s">
        <v>1181</v>
      </c>
      <c r="AC286" s="2">
        <v>88</v>
      </c>
      <c r="AD286" s="2">
        <v>1</v>
      </c>
      <c r="AE286" s="2">
        <v>95</v>
      </c>
      <c r="AF286" s="2" t="s">
        <v>275</v>
      </c>
      <c r="AG286" s="2">
        <v>95</v>
      </c>
      <c r="AH286" s="2" t="s">
        <v>1182</v>
      </c>
      <c r="AI286" s="2">
        <v>93</v>
      </c>
      <c r="AJ286" s="2" t="s">
        <v>277</v>
      </c>
      <c r="AK286" s="2">
        <v>50</v>
      </c>
    </row>
    <row r="287" spans="1:37" x14ac:dyDescent="0.25">
      <c r="A287" s="2" t="s">
        <v>112</v>
      </c>
      <c r="B287" s="2" t="s">
        <v>256</v>
      </c>
      <c r="C287" s="2" t="s">
        <v>9</v>
      </c>
      <c r="D287" s="3">
        <v>46080.530763888892</v>
      </c>
      <c r="E287" s="2">
        <v>71.010000000000005</v>
      </c>
      <c r="F287" s="2">
        <v>156</v>
      </c>
      <c r="G287" s="2">
        <v>0</v>
      </c>
      <c r="I287" s="2" t="s">
        <v>1157</v>
      </c>
      <c r="J287" s="2" t="s">
        <v>258</v>
      </c>
      <c r="K287" s="2">
        <v>9</v>
      </c>
      <c r="L287" s="2">
        <v>3507009728</v>
      </c>
      <c r="M287" s="2">
        <v>50</v>
      </c>
      <c r="N287" s="2" t="s">
        <v>1158</v>
      </c>
      <c r="O287" s="2">
        <v>50</v>
      </c>
      <c r="P287" s="2" t="s">
        <v>260</v>
      </c>
      <c r="Q287" s="2">
        <v>50</v>
      </c>
      <c r="R287" s="2" t="s">
        <v>271</v>
      </c>
      <c r="S287" s="2">
        <v>50</v>
      </c>
      <c r="T287" s="2" t="s">
        <v>272</v>
      </c>
      <c r="U287" s="2">
        <v>50</v>
      </c>
      <c r="V287" s="2" t="s">
        <v>263</v>
      </c>
      <c r="W287" s="2">
        <v>50</v>
      </c>
      <c r="X287" s="2">
        <v>9</v>
      </c>
      <c r="Y287" s="2">
        <v>50</v>
      </c>
      <c r="Z287" s="2" t="s">
        <v>1183</v>
      </c>
      <c r="AA287" s="2">
        <v>95</v>
      </c>
      <c r="AB287" s="2" t="s">
        <v>1184</v>
      </c>
      <c r="AC287" s="2">
        <v>88</v>
      </c>
      <c r="AD287" s="2">
        <v>1</v>
      </c>
      <c r="AE287" s="2">
        <v>95</v>
      </c>
      <c r="AF287" s="2" t="s">
        <v>275</v>
      </c>
      <c r="AG287" s="2">
        <v>95</v>
      </c>
      <c r="AH287" s="2" t="s">
        <v>1185</v>
      </c>
      <c r="AI287" s="2">
        <v>93</v>
      </c>
      <c r="AJ287" s="2" t="s">
        <v>277</v>
      </c>
      <c r="AK287" s="2">
        <v>50</v>
      </c>
    </row>
    <row r="288" spans="1:37" x14ac:dyDescent="0.25">
      <c r="A288" s="2" t="s">
        <v>112</v>
      </c>
      <c r="B288" s="2" t="s">
        <v>256</v>
      </c>
      <c r="C288" s="2" t="s">
        <v>9</v>
      </c>
      <c r="D288" s="3">
        <v>46080.530763888892</v>
      </c>
      <c r="E288" s="2">
        <v>71.010000000000005</v>
      </c>
      <c r="F288" s="2">
        <v>156</v>
      </c>
      <c r="G288" s="2">
        <v>0</v>
      </c>
      <c r="I288" s="2" t="s">
        <v>1157</v>
      </c>
      <c r="J288" s="2" t="s">
        <v>258</v>
      </c>
      <c r="K288" s="2">
        <v>10</v>
      </c>
      <c r="L288" s="2">
        <v>3507009728</v>
      </c>
      <c r="M288" s="2">
        <v>50</v>
      </c>
      <c r="N288" s="2" t="s">
        <v>1158</v>
      </c>
      <c r="O288" s="2">
        <v>50</v>
      </c>
      <c r="P288" s="2" t="s">
        <v>260</v>
      </c>
      <c r="Q288" s="2">
        <v>50</v>
      </c>
      <c r="R288" s="2" t="s">
        <v>271</v>
      </c>
      <c r="S288" s="2">
        <v>50</v>
      </c>
      <c r="T288" s="2" t="s">
        <v>272</v>
      </c>
      <c r="U288" s="2">
        <v>50</v>
      </c>
      <c r="V288" s="2" t="s">
        <v>263</v>
      </c>
      <c r="W288" s="2">
        <v>50</v>
      </c>
      <c r="X288" s="2">
        <v>10</v>
      </c>
      <c r="Y288" s="2">
        <v>50</v>
      </c>
      <c r="Z288" s="2" t="s">
        <v>297</v>
      </c>
      <c r="AA288" s="2">
        <v>95</v>
      </c>
      <c r="AB288" s="2" t="s">
        <v>1186</v>
      </c>
      <c r="AC288" s="2">
        <v>88</v>
      </c>
      <c r="AD288" s="2">
        <v>1</v>
      </c>
      <c r="AE288" s="2">
        <v>95</v>
      </c>
      <c r="AF288" s="2" t="s">
        <v>275</v>
      </c>
      <c r="AG288" s="2">
        <v>95</v>
      </c>
      <c r="AH288" s="2" t="s">
        <v>1187</v>
      </c>
      <c r="AI288" s="2">
        <v>93</v>
      </c>
      <c r="AJ288" s="2" t="s">
        <v>277</v>
      </c>
      <c r="AK288" s="2">
        <v>50</v>
      </c>
    </row>
    <row r="289" spans="1:37" x14ac:dyDescent="0.25">
      <c r="A289" s="2" t="s">
        <v>112</v>
      </c>
      <c r="B289" s="2" t="s">
        <v>256</v>
      </c>
      <c r="C289" s="2" t="s">
        <v>9</v>
      </c>
      <c r="D289" s="3">
        <v>46080.530763888892</v>
      </c>
      <c r="E289" s="2">
        <v>71.010000000000005</v>
      </c>
      <c r="F289" s="2">
        <v>156</v>
      </c>
      <c r="G289" s="2">
        <v>0</v>
      </c>
      <c r="I289" s="2" t="s">
        <v>1157</v>
      </c>
      <c r="J289" s="2" t="s">
        <v>258</v>
      </c>
      <c r="K289" s="2">
        <v>11</v>
      </c>
      <c r="L289" s="2">
        <v>3507009728</v>
      </c>
      <c r="M289" s="2">
        <v>50</v>
      </c>
      <c r="N289" s="2" t="s">
        <v>1158</v>
      </c>
      <c r="O289" s="2">
        <v>50</v>
      </c>
      <c r="P289" s="2" t="s">
        <v>260</v>
      </c>
      <c r="Q289" s="2">
        <v>50</v>
      </c>
      <c r="R289" s="2" t="s">
        <v>271</v>
      </c>
      <c r="S289" s="2">
        <v>50</v>
      </c>
      <c r="T289" s="2" t="s">
        <v>272</v>
      </c>
      <c r="U289" s="2">
        <v>50</v>
      </c>
      <c r="V289" s="2" t="s">
        <v>263</v>
      </c>
      <c r="W289" s="2">
        <v>50</v>
      </c>
      <c r="X289" s="2">
        <v>11</v>
      </c>
      <c r="Y289" s="2">
        <v>50</v>
      </c>
      <c r="Z289" s="2" t="s">
        <v>1188</v>
      </c>
      <c r="AA289" s="2">
        <v>95</v>
      </c>
      <c r="AB289" s="2" t="s">
        <v>1189</v>
      </c>
      <c r="AC289" s="2">
        <v>88</v>
      </c>
      <c r="AD289" s="2">
        <v>4</v>
      </c>
      <c r="AE289" s="2">
        <v>95</v>
      </c>
      <c r="AF289" s="2" t="s">
        <v>275</v>
      </c>
      <c r="AG289" s="2">
        <v>95</v>
      </c>
      <c r="AH289" s="2" t="s">
        <v>1190</v>
      </c>
      <c r="AI289" s="2">
        <v>93</v>
      </c>
      <c r="AJ289" s="2" t="s">
        <v>277</v>
      </c>
      <c r="AK289" s="2">
        <v>50</v>
      </c>
    </row>
    <row r="290" spans="1:37" x14ac:dyDescent="0.25">
      <c r="A290" s="2" t="s">
        <v>112</v>
      </c>
      <c r="B290" s="2" t="s">
        <v>256</v>
      </c>
      <c r="C290" s="2" t="s">
        <v>9</v>
      </c>
      <c r="D290" s="3">
        <v>46080.530763888892</v>
      </c>
      <c r="E290" s="2">
        <v>71.010000000000005</v>
      </c>
      <c r="F290" s="2">
        <v>156</v>
      </c>
      <c r="G290" s="2">
        <v>0</v>
      </c>
      <c r="I290" s="2" t="s">
        <v>1157</v>
      </c>
      <c r="J290" s="2" t="s">
        <v>258</v>
      </c>
      <c r="K290" s="2">
        <v>12</v>
      </c>
      <c r="L290" s="2">
        <v>3507009728</v>
      </c>
      <c r="M290" s="2">
        <v>50</v>
      </c>
      <c r="N290" s="2" t="s">
        <v>1158</v>
      </c>
      <c r="O290" s="2">
        <v>50</v>
      </c>
      <c r="P290" s="2" t="s">
        <v>260</v>
      </c>
      <c r="Q290" s="2">
        <v>50</v>
      </c>
      <c r="R290" s="2" t="s">
        <v>271</v>
      </c>
      <c r="S290" s="2">
        <v>50</v>
      </c>
      <c r="T290" s="2" t="s">
        <v>272</v>
      </c>
      <c r="U290" s="2">
        <v>50</v>
      </c>
      <c r="V290" s="2" t="s">
        <v>263</v>
      </c>
      <c r="W290" s="2">
        <v>50</v>
      </c>
      <c r="X290" s="2">
        <v>12</v>
      </c>
      <c r="Y290" s="2">
        <v>50</v>
      </c>
      <c r="Z290" s="2" t="s">
        <v>1191</v>
      </c>
      <c r="AA290" s="2">
        <v>95</v>
      </c>
      <c r="AB290" s="2" t="s">
        <v>1192</v>
      </c>
      <c r="AC290" s="2">
        <v>88</v>
      </c>
      <c r="AD290" s="2">
        <v>1</v>
      </c>
      <c r="AE290" s="2">
        <v>95</v>
      </c>
      <c r="AF290" s="2" t="s">
        <v>275</v>
      </c>
      <c r="AG290" s="2">
        <v>95</v>
      </c>
      <c r="AH290" s="2" t="s">
        <v>1193</v>
      </c>
      <c r="AI290" s="2">
        <v>93</v>
      </c>
      <c r="AJ290" s="2" t="s">
        <v>277</v>
      </c>
      <c r="AK290" s="2">
        <v>50</v>
      </c>
    </row>
    <row r="291" spans="1:37" x14ac:dyDescent="0.25">
      <c r="A291" s="2" t="s">
        <v>173</v>
      </c>
      <c r="C291" s="2" t="s">
        <v>11</v>
      </c>
      <c r="D291" s="3">
        <v>46080.530763888892</v>
      </c>
      <c r="E291" s="2">
        <v>28</v>
      </c>
      <c r="F291" s="2">
        <v>0</v>
      </c>
      <c r="G291" s="2">
        <v>0</v>
      </c>
      <c r="I291" s="2" t="s">
        <v>1194</v>
      </c>
    </row>
    <row r="292" spans="1:37" x14ac:dyDescent="0.25">
      <c r="A292" s="2" t="s">
        <v>108</v>
      </c>
      <c r="B292" s="2" t="s">
        <v>256</v>
      </c>
      <c r="C292" s="2" t="s">
        <v>9</v>
      </c>
      <c r="D292" s="3">
        <v>46080.530763888892</v>
      </c>
      <c r="E292" s="2">
        <v>87.42</v>
      </c>
      <c r="F292" s="2">
        <v>78</v>
      </c>
      <c r="G292" s="2">
        <v>7</v>
      </c>
      <c r="I292" s="2" t="s">
        <v>1195</v>
      </c>
      <c r="J292" s="2" t="s">
        <v>258</v>
      </c>
      <c r="K292" s="2">
        <v>1</v>
      </c>
      <c r="M292" s="2">
        <v>10</v>
      </c>
      <c r="N292" s="2" t="s">
        <v>1196</v>
      </c>
      <c r="O292" s="2">
        <v>92</v>
      </c>
      <c r="P292" s="2" t="s">
        <v>260</v>
      </c>
      <c r="Q292" s="2">
        <v>95</v>
      </c>
      <c r="R292" s="2" t="s">
        <v>631</v>
      </c>
      <c r="S292" s="2">
        <v>95</v>
      </c>
      <c r="T292" s="2" t="s">
        <v>632</v>
      </c>
      <c r="U292" s="2">
        <v>95</v>
      </c>
      <c r="V292" s="2" t="s">
        <v>263</v>
      </c>
      <c r="W292" s="2">
        <v>90</v>
      </c>
      <c r="X292" s="2">
        <v>1</v>
      </c>
      <c r="Y292" s="2">
        <v>95</v>
      </c>
      <c r="Z292" s="2" t="s">
        <v>1197</v>
      </c>
      <c r="AA292" s="2">
        <v>85</v>
      </c>
      <c r="AB292" s="2" t="s">
        <v>1198</v>
      </c>
      <c r="AC292" s="2">
        <v>90</v>
      </c>
      <c r="AD292" s="2">
        <v>7</v>
      </c>
      <c r="AE292" s="2">
        <v>96</v>
      </c>
      <c r="AF292" s="2" t="s">
        <v>635</v>
      </c>
      <c r="AG292" s="2">
        <v>92</v>
      </c>
      <c r="AH292" s="2" t="s">
        <v>1199</v>
      </c>
      <c r="AI292" s="2">
        <v>90</v>
      </c>
      <c r="AJ292" s="2" t="s">
        <v>277</v>
      </c>
      <c r="AK292" s="2">
        <v>92</v>
      </c>
    </row>
    <row r="293" spans="1:37" x14ac:dyDescent="0.25">
      <c r="A293" s="2" t="s">
        <v>108</v>
      </c>
      <c r="B293" s="2" t="s">
        <v>256</v>
      </c>
      <c r="C293" s="2" t="s">
        <v>9</v>
      </c>
      <c r="D293" s="3">
        <v>46080.530763888892</v>
      </c>
      <c r="E293" s="2">
        <v>87.42</v>
      </c>
      <c r="F293" s="2">
        <v>78</v>
      </c>
      <c r="G293" s="2">
        <v>7</v>
      </c>
      <c r="I293" s="2" t="s">
        <v>1195</v>
      </c>
      <c r="J293" s="2" t="s">
        <v>258</v>
      </c>
      <c r="K293" s="2">
        <v>2</v>
      </c>
      <c r="M293" s="2">
        <v>10</v>
      </c>
      <c r="N293" s="2" t="s">
        <v>1196</v>
      </c>
      <c r="O293" s="2">
        <v>92</v>
      </c>
      <c r="P293" s="2" t="s">
        <v>260</v>
      </c>
      <c r="Q293" s="2">
        <v>95</v>
      </c>
      <c r="R293" s="2" t="s">
        <v>631</v>
      </c>
      <c r="S293" s="2">
        <v>95</v>
      </c>
      <c r="T293" s="2" t="s">
        <v>632</v>
      </c>
      <c r="U293" s="2">
        <v>95</v>
      </c>
      <c r="V293" s="2" t="s">
        <v>263</v>
      </c>
      <c r="W293" s="2">
        <v>90</v>
      </c>
      <c r="X293" s="2">
        <v>2</v>
      </c>
      <c r="Y293" s="2">
        <v>95</v>
      </c>
      <c r="Z293" s="2" t="s">
        <v>1200</v>
      </c>
      <c r="AA293" s="2">
        <v>82</v>
      </c>
      <c r="AB293" s="2" t="s">
        <v>1201</v>
      </c>
      <c r="AC293" s="2">
        <v>88</v>
      </c>
      <c r="AD293" s="2">
        <v>3</v>
      </c>
      <c r="AE293" s="2">
        <v>96</v>
      </c>
      <c r="AF293" s="2" t="s">
        <v>1202</v>
      </c>
      <c r="AG293" s="2">
        <v>92</v>
      </c>
      <c r="AH293" s="2" t="s">
        <v>1203</v>
      </c>
      <c r="AI293" s="2">
        <v>90</v>
      </c>
      <c r="AJ293" s="2" t="s">
        <v>277</v>
      </c>
      <c r="AK293" s="2">
        <v>92</v>
      </c>
    </row>
    <row r="294" spans="1:37" x14ac:dyDescent="0.25">
      <c r="A294" s="2" t="s">
        <v>108</v>
      </c>
      <c r="B294" s="2" t="s">
        <v>256</v>
      </c>
      <c r="C294" s="2" t="s">
        <v>9</v>
      </c>
      <c r="D294" s="3">
        <v>46080.530763888892</v>
      </c>
      <c r="E294" s="2">
        <v>87.42</v>
      </c>
      <c r="F294" s="2">
        <v>78</v>
      </c>
      <c r="G294" s="2">
        <v>7</v>
      </c>
      <c r="I294" s="2" t="s">
        <v>1195</v>
      </c>
      <c r="J294" s="2" t="s">
        <v>258</v>
      </c>
      <c r="K294" s="2">
        <v>3</v>
      </c>
      <c r="M294" s="2">
        <v>10</v>
      </c>
      <c r="N294" s="2" t="s">
        <v>1196</v>
      </c>
      <c r="O294" s="2">
        <v>92</v>
      </c>
      <c r="P294" s="2" t="s">
        <v>260</v>
      </c>
      <c r="Q294" s="2">
        <v>95</v>
      </c>
      <c r="R294" s="2" t="s">
        <v>631</v>
      </c>
      <c r="S294" s="2">
        <v>95</v>
      </c>
      <c r="T294" s="2" t="s">
        <v>632</v>
      </c>
      <c r="U294" s="2">
        <v>95</v>
      </c>
      <c r="V294" s="2" t="s">
        <v>263</v>
      </c>
      <c r="W294" s="2">
        <v>90</v>
      </c>
      <c r="X294" s="2">
        <v>3</v>
      </c>
      <c r="Y294" s="2">
        <v>95</v>
      </c>
      <c r="Z294" s="2" t="s">
        <v>1204</v>
      </c>
      <c r="AA294" s="2">
        <v>88</v>
      </c>
      <c r="AB294" s="2" t="s">
        <v>1205</v>
      </c>
      <c r="AC294" s="2">
        <v>88</v>
      </c>
      <c r="AD294" s="2">
        <v>1</v>
      </c>
      <c r="AE294" s="2">
        <v>96</v>
      </c>
      <c r="AF294" s="2" t="s">
        <v>1206</v>
      </c>
      <c r="AG294" s="2">
        <v>92</v>
      </c>
      <c r="AH294" s="2" t="s">
        <v>1207</v>
      </c>
      <c r="AI294" s="2">
        <v>92</v>
      </c>
      <c r="AJ294" s="2" t="s">
        <v>277</v>
      </c>
      <c r="AK294" s="2">
        <v>92</v>
      </c>
    </row>
    <row r="295" spans="1:37" x14ac:dyDescent="0.25">
      <c r="A295" s="2" t="s">
        <v>108</v>
      </c>
      <c r="B295" s="2" t="s">
        <v>256</v>
      </c>
      <c r="C295" s="2" t="s">
        <v>9</v>
      </c>
      <c r="D295" s="3">
        <v>46080.530763888892</v>
      </c>
      <c r="E295" s="2">
        <v>87.42</v>
      </c>
      <c r="F295" s="2">
        <v>78</v>
      </c>
      <c r="G295" s="2">
        <v>7</v>
      </c>
      <c r="I295" s="2" t="s">
        <v>1195</v>
      </c>
      <c r="J295" s="2" t="s">
        <v>258</v>
      </c>
      <c r="K295" s="2">
        <v>4</v>
      </c>
      <c r="M295" s="2">
        <v>10</v>
      </c>
      <c r="N295" s="2" t="s">
        <v>1196</v>
      </c>
      <c r="O295" s="2">
        <v>92</v>
      </c>
      <c r="P295" s="2" t="s">
        <v>260</v>
      </c>
      <c r="Q295" s="2">
        <v>95</v>
      </c>
      <c r="R295" s="2" t="s">
        <v>631</v>
      </c>
      <c r="S295" s="2">
        <v>95</v>
      </c>
      <c r="T295" s="2" t="s">
        <v>632</v>
      </c>
      <c r="U295" s="2">
        <v>95</v>
      </c>
      <c r="V295" s="2" t="s">
        <v>263</v>
      </c>
      <c r="W295" s="2">
        <v>90</v>
      </c>
      <c r="X295" s="2">
        <v>4</v>
      </c>
      <c r="Y295" s="2">
        <v>95</v>
      </c>
      <c r="Z295" s="2" t="s">
        <v>1208</v>
      </c>
      <c r="AA295" s="2">
        <v>86</v>
      </c>
      <c r="AB295" s="2" t="s">
        <v>1209</v>
      </c>
      <c r="AC295" s="2">
        <v>88</v>
      </c>
      <c r="AD295" s="2">
        <v>3</v>
      </c>
      <c r="AE295" s="2">
        <v>96</v>
      </c>
      <c r="AF295" s="2" t="s">
        <v>635</v>
      </c>
      <c r="AG295" s="2">
        <v>92</v>
      </c>
      <c r="AH295" s="2" t="s">
        <v>1210</v>
      </c>
      <c r="AI295" s="2">
        <v>90</v>
      </c>
      <c r="AJ295" s="2" t="s">
        <v>277</v>
      </c>
      <c r="AK295" s="2">
        <v>92</v>
      </c>
    </row>
    <row r="296" spans="1:37" x14ac:dyDescent="0.25">
      <c r="A296" s="2" t="s">
        <v>108</v>
      </c>
      <c r="B296" s="2" t="s">
        <v>256</v>
      </c>
      <c r="C296" s="2" t="s">
        <v>9</v>
      </c>
      <c r="D296" s="3">
        <v>46080.530763888892</v>
      </c>
      <c r="E296" s="2">
        <v>87.42</v>
      </c>
      <c r="F296" s="2">
        <v>78</v>
      </c>
      <c r="G296" s="2">
        <v>7</v>
      </c>
      <c r="I296" s="2" t="s">
        <v>1195</v>
      </c>
      <c r="J296" s="2" t="s">
        <v>258</v>
      </c>
      <c r="K296" s="2">
        <v>5</v>
      </c>
      <c r="M296" s="2">
        <v>10</v>
      </c>
      <c r="N296" s="2" t="s">
        <v>1196</v>
      </c>
      <c r="O296" s="2">
        <v>92</v>
      </c>
      <c r="P296" s="2" t="s">
        <v>260</v>
      </c>
      <c r="Q296" s="2">
        <v>95</v>
      </c>
      <c r="R296" s="2" t="s">
        <v>631</v>
      </c>
      <c r="S296" s="2">
        <v>95</v>
      </c>
      <c r="T296" s="2" t="s">
        <v>632</v>
      </c>
      <c r="U296" s="2">
        <v>95</v>
      </c>
      <c r="V296" s="2" t="s">
        <v>263</v>
      </c>
      <c r="W296" s="2">
        <v>90</v>
      </c>
      <c r="X296" s="2">
        <v>5</v>
      </c>
      <c r="Y296" s="2">
        <v>95</v>
      </c>
      <c r="Z296" s="2" t="s">
        <v>1211</v>
      </c>
      <c r="AA296" s="2">
        <v>86</v>
      </c>
      <c r="AB296" s="2" t="s">
        <v>1212</v>
      </c>
      <c r="AC296" s="2">
        <v>88</v>
      </c>
      <c r="AD296" s="2">
        <v>1</v>
      </c>
      <c r="AE296" s="2">
        <v>96</v>
      </c>
      <c r="AF296" s="2" t="s">
        <v>1202</v>
      </c>
      <c r="AG296" s="2">
        <v>92</v>
      </c>
      <c r="AH296" s="2" t="s">
        <v>1213</v>
      </c>
      <c r="AI296" s="2">
        <v>90</v>
      </c>
      <c r="AJ296" s="2" t="s">
        <v>277</v>
      </c>
      <c r="AK296" s="2">
        <v>92</v>
      </c>
    </row>
    <row r="297" spans="1:37" x14ac:dyDescent="0.25">
      <c r="A297" s="2" t="s">
        <v>108</v>
      </c>
      <c r="B297" s="2" t="s">
        <v>256</v>
      </c>
      <c r="C297" s="2" t="s">
        <v>9</v>
      </c>
      <c r="D297" s="3">
        <v>46080.530763888892</v>
      </c>
      <c r="E297" s="2">
        <v>87.42</v>
      </c>
      <c r="F297" s="2">
        <v>78</v>
      </c>
      <c r="G297" s="2">
        <v>7</v>
      </c>
      <c r="I297" s="2" t="s">
        <v>1195</v>
      </c>
      <c r="J297" s="2" t="s">
        <v>258</v>
      </c>
      <c r="K297" s="2">
        <v>6</v>
      </c>
      <c r="M297" s="2">
        <v>10</v>
      </c>
      <c r="N297" s="2" t="s">
        <v>1196</v>
      </c>
      <c r="O297" s="2">
        <v>92</v>
      </c>
      <c r="P297" s="2" t="s">
        <v>260</v>
      </c>
      <c r="Q297" s="2">
        <v>95</v>
      </c>
      <c r="R297" s="2" t="s">
        <v>631</v>
      </c>
      <c r="S297" s="2">
        <v>95</v>
      </c>
      <c r="T297" s="2" t="s">
        <v>632</v>
      </c>
      <c r="U297" s="2">
        <v>95</v>
      </c>
      <c r="V297" s="2" t="s">
        <v>263</v>
      </c>
      <c r="W297" s="2">
        <v>90</v>
      </c>
      <c r="X297" s="2">
        <v>6</v>
      </c>
      <c r="Y297" s="2">
        <v>95</v>
      </c>
      <c r="Z297" s="2" t="s">
        <v>1214</v>
      </c>
      <c r="AA297" s="2">
        <v>86</v>
      </c>
      <c r="AB297" s="2" t="s">
        <v>1215</v>
      </c>
      <c r="AC297" s="2">
        <v>88</v>
      </c>
      <c r="AD297" s="2">
        <v>1</v>
      </c>
      <c r="AE297" s="2">
        <v>96</v>
      </c>
      <c r="AF297" s="2" t="s">
        <v>1202</v>
      </c>
      <c r="AG297" s="2">
        <v>92</v>
      </c>
      <c r="AH297" s="2" t="s">
        <v>1216</v>
      </c>
      <c r="AI297" s="2">
        <v>90</v>
      </c>
      <c r="AK297" s="2">
        <v>12</v>
      </c>
    </row>
    <row r="298" spans="1:37" x14ac:dyDescent="0.25">
      <c r="A298" s="2" t="s">
        <v>127</v>
      </c>
      <c r="B298" s="2" t="s">
        <v>256</v>
      </c>
      <c r="C298" s="2" t="s">
        <v>9</v>
      </c>
      <c r="D298" s="3">
        <v>46080.530763888892</v>
      </c>
      <c r="E298" s="2">
        <v>83.65</v>
      </c>
      <c r="F298" s="2">
        <v>13</v>
      </c>
      <c r="G298" s="2">
        <v>2</v>
      </c>
      <c r="I298" s="2" t="s">
        <v>1217</v>
      </c>
      <c r="J298" s="2" t="s">
        <v>258</v>
      </c>
      <c r="K298" s="2">
        <v>1</v>
      </c>
      <c r="L298" s="2">
        <v>167913009</v>
      </c>
      <c r="M298" s="2">
        <v>85</v>
      </c>
      <c r="N298" s="2" t="s">
        <v>1218</v>
      </c>
      <c r="O298" s="2">
        <v>90</v>
      </c>
      <c r="P298" s="2" t="s">
        <v>260</v>
      </c>
      <c r="Q298" s="2">
        <v>95</v>
      </c>
      <c r="R298" s="2" t="s">
        <v>716</v>
      </c>
      <c r="S298" s="2">
        <v>95</v>
      </c>
      <c r="T298" s="2" t="s">
        <v>724</v>
      </c>
      <c r="U298" s="2">
        <v>95</v>
      </c>
      <c r="V298" s="2" t="s">
        <v>263</v>
      </c>
      <c r="W298" s="2">
        <v>95</v>
      </c>
      <c r="X298" s="2">
        <v>1</v>
      </c>
      <c r="Y298" s="2">
        <v>95</v>
      </c>
      <c r="Z298" s="2" t="s">
        <v>1219</v>
      </c>
      <c r="AA298" s="2">
        <v>70</v>
      </c>
      <c r="AB298" s="2" t="s">
        <v>1220</v>
      </c>
      <c r="AC298" s="2">
        <v>90</v>
      </c>
      <c r="AD298" s="2">
        <v>1</v>
      </c>
      <c r="AE298" s="2">
        <v>95</v>
      </c>
      <c r="AG298" s="2">
        <v>15</v>
      </c>
      <c r="AH298" s="2" t="s">
        <v>1221</v>
      </c>
      <c r="AI298" s="2">
        <v>90</v>
      </c>
      <c r="AK298" s="2">
        <v>10</v>
      </c>
    </row>
    <row r="299" spans="1:37" x14ac:dyDescent="0.25">
      <c r="A299" s="2" t="s">
        <v>156</v>
      </c>
      <c r="B299" s="2" t="s">
        <v>256</v>
      </c>
      <c r="C299" s="2" t="s">
        <v>9</v>
      </c>
      <c r="D299" s="3">
        <v>46080.530763888892</v>
      </c>
      <c r="E299" s="2">
        <v>93.11</v>
      </c>
      <c r="F299" s="2">
        <v>39</v>
      </c>
      <c r="G299" s="2">
        <v>0</v>
      </c>
      <c r="I299" s="2" t="s">
        <v>1222</v>
      </c>
      <c r="J299" s="2" t="s">
        <v>258</v>
      </c>
      <c r="K299" s="2">
        <v>1</v>
      </c>
      <c r="L299" s="2">
        <v>3501022503</v>
      </c>
      <c r="M299" s="2">
        <v>98</v>
      </c>
      <c r="N299" s="2" t="s">
        <v>1223</v>
      </c>
      <c r="O299" s="2">
        <v>98</v>
      </c>
      <c r="P299" s="2" t="s">
        <v>260</v>
      </c>
      <c r="Q299" s="2">
        <v>96</v>
      </c>
      <c r="R299" s="2" t="s">
        <v>1224</v>
      </c>
      <c r="S299" s="2">
        <v>92</v>
      </c>
      <c r="T299" s="2" t="s">
        <v>1225</v>
      </c>
      <c r="U299" s="2">
        <v>88</v>
      </c>
      <c r="V299" s="2" t="s">
        <v>263</v>
      </c>
      <c r="W299" s="2">
        <v>96</v>
      </c>
      <c r="X299" s="2">
        <v>10</v>
      </c>
      <c r="Y299" s="2">
        <v>98</v>
      </c>
      <c r="Z299" s="2" t="s">
        <v>1226</v>
      </c>
      <c r="AA299" s="2">
        <v>96</v>
      </c>
      <c r="AB299" s="2" t="s">
        <v>1227</v>
      </c>
      <c r="AC299" s="2">
        <v>90</v>
      </c>
      <c r="AD299" s="2">
        <v>400</v>
      </c>
      <c r="AE299" s="2">
        <v>96</v>
      </c>
      <c r="AF299" s="2" t="s">
        <v>346</v>
      </c>
      <c r="AG299" s="2">
        <v>92</v>
      </c>
      <c r="AH299" s="2" t="s">
        <v>1228</v>
      </c>
      <c r="AI299" s="2">
        <v>96</v>
      </c>
      <c r="AJ299" s="2" t="s">
        <v>268</v>
      </c>
      <c r="AK299" s="2">
        <v>90</v>
      </c>
    </row>
    <row r="300" spans="1:37" x14ac:dyDescent="0.25">
      <c r="A300" s="2" t="s">
        <v>156</v>
      </c>
      <c r="B300" s="2" t="s">
        <v>256</v>
      </c>
      <c r="C300" s="2" t="s">
        <v>9</v>
      </c>
      <c r="D300" s="3">
        <v>46080.530763888892</v>
      </c>
      <c r="E300" s="2">
        <v>93.11</v>
      </c>
      <c r="F300" s="2">
        <v>39</v>
      </c>
      <c r="G300" s="2">
        <v>0</v>
      </c>
      <c r="I300" s="2" t="s">
        <v>1222</v>
      </c>
      <c r="J300" s="2" t="s">
        <v>258</v>
      </c>
      <c r="K300" s="2">
        <v>2</v>
      </c>
      <c r="L300" s="2">
        <v>3501022503</v>
      </c>
      <c r="M300" s="2">
        <v>98</v>
      </c>
      <c r="N300" s="2" t="s">
        <v>1223</v>
      </c>
      <c r="O300" s="2">
        <v>98</v>
      </c>
      <c r="P300" s="2" t="s">
        <v>260</v>
      </c>
      <c r="Q300" s="2">
        <v>96</v>
      </c>
      <c r="R300" s="2" t="s">
        <v>1224</v>
      </c>
      <c r="S300" s="2">
        <v>92</v>
      </c>
      <c r="T300" s="2" t="s">
        <v>1225</v>
      </c>
      <c r="U300" s="2">
        <v>88</v>
      </c>
      <c r="V300" s="2" t="s">
        <v>263</v>
      </c>
      <c r="W300" s="2">
        <v>96</v>
      </c>
      <c r="X300" s="2">
        <v>20</v>
      </c>
      <c r="Y300" s="2">
        <v>98</v>
      </c>
      <c r="Z300" s="2" t="s">
        <v>1229</v>
      </c>
      <c r="AA300" s="2">
        <v>96</v>
      </c>
      <c r="AB300" s="2" t="s">
        <v>1230</v>
      </c>
      <c r="AC300" s="2">
        <v>90</v>
      </c>
      <c r="AD300" s="2">
        <v>192</v>
      </c>
      <c r="AE300" s="2">
        <v>96</v>
      </c>
      <c r="AF300" s="2" t="s">
        <v>346</v>
      </c>
      <c r="AG300" s="2">
        <v>92</v>
      </c>
      <c r="AH300" s="2" t="s">
        <v>1231</v>
      </c>
      <c r="AI300" s="2">
        <v>96</v>
      </c>
      <c r="AJ300" s="2" t="s">
        <v>268</v>
      </c>
      <c r="AK300" s="2">
        <v>90</v>
      </c>
    </row>
    <row r="301" spans="1:37" x14ac:dyDescent="0.25">
      <c r="A301" s="2" t="s">
        <v>156</v>
      </c>
      <c r="B301" s="2" t="s">
        <v>256</v>
      </c>
      <c r="C301" s="2" t="s">
        <v>9</v>
      </c>
      <c r="D301" s="3">
        <v>46080.530763888892</v>
      </c>
      <c r="E301" s="2">
        <v>93.11</v>
      </c>
      <c r="F301" s="2">
        <v>39</v>
      </c>
      <c r="G301" s="2">
        <v>0</v>
      </c>
      <c r="I301" s="2" t="s">
        <v>1222</v>
      </c>
      <c r="J301" s="2" t="s">
        <v>258</v>
      </c>
      <c r="K301" s="2">
        <v>3</v>
      </c>
      <c r="L301" s="2">
        <v>3501022503</v>
      </c>
      <c r="M301" s="2">
        <v>98</v>
      </c>
      <c r="N301" s="2" t="s">
        <v>1223</v>
      </c>
      <c r="O301" s="2">
        <v>98</v>
      </c>
      <c r="P301" s="2" t="s">
        <v>260</v>
      </c>
      <c r="Q301" s="2">
        <v>96</v>
      </c>
      <c r="R301" s="2" t="s">
        <v>1224</v>
      </c>
      <c r="S301" s="2">
        <v>92</v>
      </c>
      <c r="T301" s="2" t="s">
        <v>1225</v>
      </c>
      <c r="U301" s="2">
        <v>88</v>
      </c>
      <c r="V301" s="2" t="s">
        <v>263</v>
      </c>
      <c r="W301" s="2">
        <v>96</v>
      </c>
      <c r="X301" s="2">
        <v>30</v>
      </c>
      <c r="Y301" s="2">
        <v>98</v>
      </c>
      <c r="Z301" s="2" t="s">
        <v>1232</v>
      </c>
      <c r="AA301" s="2">
        <v>96</v>
      </c>
      <c r="AB301" s="2" t="s">
        <v>1233</v>
      </c>
      <c r="AC301" s="2">
        <v>90</v>
      </c>
      <c r="AD301" s="2">
        <v>144</v>
      </c>
      <c r="AE301" s="2">
        <v>96</v>
      </c>
      <c r="AF301" s="2" t="s">
        <v>346</v>
      </c>
      <c r="AG301" s="2">
        <v>92</v>
      </c>
      <c r="AH301" s="2" t="s">
        <v>1234</v>
      </c>
      <c r="AI301" s="2">
        <v>96</v>
      </c>
      <c r="AJ301" s="2" t="s">
        <v>268</v>
      </c>
      <c r="AK301" s="2">
        <v>90</v>
      </c>
    </row>
    <row r="302" spans="1:37" x14ac:dyDescent="0.25">
      <c r="A302" s="2" t="s">
        <v>106</v>
      </c>
      <c r="B302" s="2" t="s">
        <v>256</v>
      </c>
      <c r="C302" s="2" t="s">
        <v>9</v>
      </c>
      <c r="D302" s="3">
        <v>46080.530763888892</v>
      </c>
      <c r="E302" s="2">
        <v>87.12</v>
      </c>
      <c r="F302" s="2">
        <v>26</v>
      </c>
      <c r="G302" s="2">
        <v>2</v>
      </c>
      <c r="I302" s="2" t="s">
        <v>1235</v>
      </c>
      <c r="J302" s="2" t="s">
        <v>258</v>
      </c>
      <c r="K302" s="2">
        <v>1</v>
      </c>
      <c r="L302" s="2">
        <v>2507017044</v>
      </c>
      <c r="M302" s="2">
        <v>95</v>
      </c>
      <c r="N302" s="2" t="s">
        <v>1236</v>
      </c>
      <c r="O302" s="2">
        <v>95</v>
      </c>
      <c r="P302" s="2" t="s">
        <v>260</v>
      </c>
      <c r="Q302" s="2">
        <v>95</v>
      </c>
      <c r="R302" s="2" t="s">
        <v>642</v>
      </c>
      <c r="S302" s="2">
        <v>90</v>
      </c>
      <c r="T302" s="2" t="s">
        <v>376</v>
      </c>
      <c r="U302" s="2">
        <v>90</v>
      </c>
      <c r="V302" s="2" t="s">
        <v>263</v>
      </c>
      <c r="W302" s="2">
        <v>95</v>
      </c>
      <c r="X302" s="2">
        <v>10</v>
      </c>
      <c r="Y302" s="2">
        <v>95</v>
      </c>
      <c r="Z302" s="2" t="s">
        <v>1237</v>
      </c>
      <c r="AA302" s="2">
        <v>95</v>
      </c>
      <c r="AB302" s="2" t="s">
        <v>1238</v>
      </c>
      <c r="AC302" s="2">
        <v>95</v>
      </c>
      <c r="AD302" s="2">
        <v>75</v>
      </c>
      <c r="AE302" s="2">
        <v>85</v>
      </c>
      <c r="AF302" s="2" t="s">
        <v>1239</v>
      </c>
      <c r="AG302" s="2">
        <v>90</v>
      </c>
      <c r="AH302" s="2" t="s">
        <v>1240</v>
      </c>
      <c r="AI302" s="2">
        <v>95</v>
      </c>
      <c r="AK302" s="2">
        <v>40</v>
      </c>
    </row>
    <row r="303" spans="1:37" x14ac:dyDescent="0.25">
      <c r="A303" s="2" t="s">
        <v>106</v>
      </c>
      <c r="B303" s="2" t="s">
        <v>256</v>
      </c>
      <c r="C303" s="2" t="s">
        <v>9</v>
      </c>
      <c r="D303" s="3">
        <v>46080.530763888892</v>
      </c>
      <c r="E303" s="2">
        <v>87.12</v>
      </c>
      <c r="F303" s="2">
        <v>26</v>
      </c>
      <c r="G303" s="2">
        <v>2</v>
      </c>
      <c r="I303" s="2" t="s">
        <v>1235</v>
      </c>
      <c r="J303" s="2" t="s">
        <v>258</v>
      </c>
      <c r="K303" s="2">
        <v>2</v>
      </c>
      <c r="L303" s="2">
        <v>2507017044</v>
      </c>
      <c r="M303" s="2">
        <v>95</v>
      </c>
      <c r="N303" s="2" t="s">
        <v>1236</v>
      </c>
      <c r="O303" s="2">
        <v>95</v>
      </c>
      <c r="P303" s="2" t="s">
        <v>260</v>
      </c>
      <c r="Q303" s="2">
        <v>95</v>
      </c>
      <c r="R303" s="2" t="s">
        <v>642</v>
      </c>
      <c r="S303" s="2">
        <v>90</v>
      </c>
      <c r="T303" s="2" t="s">
        <v>376</v>
      </c>
      <c r="U303" s="2">
        <v>90</v>
      </c>
      <c r="V303" s="2" t="s">
        <v>263</v>
      </c>
      <c r="W303" s="2">
        <v>95</v>
      </c>
      <c r="X303" s="2">
        <v>20</v>
      </c>
      <c r="Y303" s="2">
        <v>95</v>
      </c>
      <c r="Z303" s="2" t="s">
        <v>1241</v>
      </c>
      <c r="AA303" s="2">
        <v>95</v>
      </c>
      <c r="AB303" s="2" t="s">
        <v>1242</v>
      </c>
      <c r="AC303" s="2">
        <v>95</v>
      </c>
      <c r="AD303" s="2">
        <v>30</v>
      </c>
      <c r="AE303" s="2">
        <v>85</v>
      </c>
      <c r="AF303" s="2" t="s">
        <v>1239</v>
      </c>
      <c r="AG303" s="2">
        <v>90</v>
      </c>
      <c r="AH303" s="2" t="s">
        <v>1243</v>
      </c>
      <c r="AI303" s="2">
        <v>95</v>
      </c>
      <c r="AK303" s="2">
        <v>40</v>
      </c>
    </row>
    <row r="304" spans="1:37" x14ac:dyDescent="0.25">
      <c r="A304" s="2" t="s">
        <v>170</v>
      </c>
      <c r="B304" s="2" t="s">
        <v>256</v>
      </c>
      <c r="C304" s="2" t="s">
        <v>9</v>
      </c>
      <c r="D304" s="3">
        <v>46080.530763888892</v>
      </c>
      <c r="E304" s="2">
        <v>87.82</v>
      </c>
      <c r="F304" s="2">
        <v>13</v>
      </c>
      <c r="G304" s="2">
        <v>1</v>
      </c>
      <c r="I304" s="2" t="s">
        <v>1244</v>
      </c>
      <c r="J304" s="2" t="s">
        <v>258</v>
      </c>
      <c r="K304" s="2">
        <v>1</v>
      </c>
      <c r="L304" s="2">
        <v>2505040799</v>
      </c>
      <c r="M304" s="2">
        <v>98</v>
      </c>
      <c r="N304" s="2" t="s">
        <v>1245</v>
      </c>
      <c r="O304" s="2">
        <v>98</v>
      </c>
      <c r="P304" s="2" t="s">
        <v>260</v>
      </c>
      <c r="Q304" s="2">
        <v>98</v>
      </c>
      <c r="R304" s="2" t="s">
        <v>642</v>
      </c>
      <c r="S304" s="2">
        <v>95</v>
      </c>
      <c r="T304" s="2" t="s">
        <v>376</v>
      </c>
      <c r="U304" s="2">
        <v>95</v>
      </c>
      <c r="V304" s="2" t="s">
        <v>263</v>
      </c>
      <c r="W304" s="2">
        <v>95</v>
      </c>
      <c r="X304" s="2">
        <v>10</v>
      </c>
      <c r="Y304" s="2">
        <v>95</v>
      </c>
      <c r="Z304" s="2" t="s">
        <v>1246</v>
      </c>
      <c r="AA304" s="2">
        <v>95</v>
      </c>
      <c r="AB304" s="2" t="s">
        <v>1247</v>
      </c>
      <c r="AC304" s="2">
        <v>90</v>
      </c>
      <c r="AD304" s="2">
        <v>168</v>
      </c>
      <c r="AE304" s="2">
        <v>95</v>
      </c>
      <c r="AF304" s="2" t="s">
        <v>379</v>
      </c>
      <c r="AG304" s="2">
        <v>90</v>
      </c>
      <c r="AH304" s="2" t="s">
        <v>1248</v>
      </c>
      <c r="AI304" s="2">
        <v>90</v>
      </c>
      <c r="AK304" s="2">
        <v>10</v>
      </c>
    </row>
    <row r="305" spans="1:37" x14ac:dyDescent="0.25">
      <c r="A305" s="2" t="s">
        <v>167</v>
      </c>
      <c r="B305" s="2" t="s">
        <v>256</v>
      </c>
      <c r="C305" s="2" t="s">
        <v>9</v>
      </c>
      <c r="D305" s="3">
        <v>46080.530763888892</v>
      </c>
      <c r="E305" s="2">
        <v>93.11</v>
      </c>
      <c r="F305" s="2">
        <v>26</v>
      </c>
      <c r="G305" s="2">
        <v>0</v>
      </c>
      <c r="I305" s="2" t="s">
        <v>1249</v>
      </c>
      <c r="J305" s="2" t="s">
        <v>258</v>
      </c>
      <c r="K305" s="2">
        <v>1</v>
      </c>
      <c r="L305" s="2">
        <v>3505026678</v>
      </c>
      <c r="M305" s="2">
        <v>98</v>
      </c>
      <c r="N305" s="2" t="s">
        <v>1250</v>
      </c>
      <c r="O305" s="2">
        <v>98</v>
      </c>
      <c r="P305" s="2" t="s">
        <v>667</v>
      </c>
      <c r="Q305" s="2">
        <v>95</v>
      </c>
      <c r="R305" s="2" t="s">
        <v>642</v>
      </c>
      <c r="S305" s="2">
        <v>92</v>
      </c>
      <c r="T305" s="2" t="s">
        <v>376</v>
      </c>
      <c r="U305" s="2">
        <v>92</v>
      </c>
      <c r="V305" s="2" t="s">
        <v>263</v>
      </c>
      <c r="W305" s="2">
        <v>99</v>
      </c>
      <c r="X305" s="2">
        <v>10</v>
      </c>
      <c r="Y305" s="2">
        <v>96</v>
      </c>
      <c r="Z305" s="2" t="s">
        <v>1251</v>
      </c>
      <c r="AA305" s="2">
        <v>95</v>
      </c>
      <c r="AB305" s="2" t="s">
        <v>1252</v>
      </c>
      <c r="AC305" s="2">
        <v>88</v>
      </c>
      <c r="AD305" s="2">
        <v>2</v>
      </c>
      <c r="AE305" s="2">
        <v>96</v>
      </c>
      <c r="AF305" s="2" t="s">
        <v>379</v>
      </c>
      <c r="AG305" s="2">
        <v>90</v>
      </c>
      <c r="AH305" s="2" t="s">
        <v>1253</v>
      </c>
      <c r="AI305" s="2">
        <v>93</v>
      </c>
      <c r="AJ305" s="2" t="s">
        <v>381</v>
      </c>
      <c r="AK305" s="2">
        <v>97</v>
      </c>
    </row>
    <row r="306" spans="1:37" x14ac:dyDescent="0.25">
      <c r="A306" s="2" t="s">
        <v>167</v>
      </c>
      <c r="B306" s="2" t="s">
        <v>256</v>
      </c>
      <c r="C306" s="2" t="s">
        <v>9</v>
      </c>
      <c r="D306" s="3">
        <v>46080.530763888892</v>
      </c>
      <c r="E306" s="2">
        <v>93.11</v>
      </c>
      <c r="F306" s="2">
        <v>26</v>
      </c>
      <c r="G306" s="2">
        <v>0</v>
      </c>
      <c r="I306" s="2" t="s">
        <v>1249</v>
      </c>
      <c r="J306" s="2" t="s">
        <v>258</v>
      </c>
      <c r="K306" s="2">
        <v>2</v>
      </c>
      <c r="L306" s="2">
        <v>3505026678</v>
      </c>
      <c r="M306" s="2">
        <v>98</v>
      </c>
      <c r="N306" s="2" t="s">
        <v>1250</v>
      </c>
      <c r="O306" s="2">
        <v>98</v>
      </c>
      <c r="P306" s="2" t="s">
        <v>667</v>
      </c>
      <c r="Q306" s="2">
        <v>95</v>
      </c>
      <c r="R306" s="2" t="s">
        <v>642</v>
      </c>
      <c r="S306" s="2">
        <v>92</v>
      </c>
      <c r="T306" s="2" t="s">
        <v>376</v>
      </c>
      <c r="U306" s="2">
        <v>92</v>
      </c>
      <c r="V306" s="2" t="s">
        <v>263</v>
      </c>
      <c r="W306" s="2">
        <v>99</v>
      </c>
      <c r="X306" s="2">
        <v>20</v>
      </c>
      <c r="Y306" s="2">
        <v>96</v>
      </c>
      <c r="Z306" s="2" t="s">
        <v>1254</v>
      </c>
      <c r="AA306" s="2">
        <v>95</v>
      </c>
      <c r="AB306" s="2" t="s">
        <v>1255</v>
      </c>
      <c r="AC306" s="2">
        <v>86</v>
      </c>
      <c r="AD306" s="2">
        <v>80</v>
      </c>
      <c r="AE306" s="2">
        <v>95</v>
      </c>
      <c r="AF306" s="2" t="s">
        <v>432</v>
      </c>
      <c r="AG306" s="2">
        <v>90</v>
      </c>
      <c r="AH306" s="2" t="s">
        <v>1256</v>
      </c>
      <c r="AI306" s="2">
        <v>92</v>
      </c>
      <c r="AJ306" s="2" t="s">
        <v>381</v>
      </c>
      <c r="AK306" s="2">
        <v>97</v>
      </c>
    </row>
    <row r="307" spans="1:37" x14ac:dyDescent="0.25">
      <c r="A307" s="2" t="s">
        <v>163</v>
      </c>
      <c r="B307" s="2" t="s">
        <v>256</v>
      </c>
      <c r="C307" s="2" t="s">
        <v>9</v>
      </c>
      <c r="D307" s="3">
        <v>46080.530763888892</v>
      </c>
      <c r="E307" s="2">
        <v>85.23</v>
      </c>
      <c r="F307" s="2">
        <v>13</v>
      </c>
      <c r="G307" s="2">
        <v>1</v>
      </c>
      <c r="I307" s="2" t="s">
        <v>1257</v>
      </c>
      <c r="J307" s="2" t="s">
        <v>258</v>
      </c>
      <c r="K307" s="2">
        <v>1</v>
      </c>
      <c r="L307" s="2">
        <v>6507004831</v>
      </c>
      <c r="M307" s="2">
        <v>95</v>
      </c>
      <c r="N307" s="2" t="s">
        <v>1258</v>
      </c>
      <c r="O307" s="2">
        <v>95</v>
      </c>
      <c r="P307" s="2" t="s">
        <v>260</v>
      </c>
      <c r="Q307" s="2">
        <v>95</v>
      </c>
      <c r="R307" s="2" t="s">
        <v>642</v>
      </c>
      <c r="S307" s="2">
        <v>95</v>
      </c>
      <c r="T307" s="2" t="s">
        <v>376</v>
      </c>
      <c r="U307" s="2">
        <v>90</v>
      </c>
      <c r="V307" s="2" t="s">
        <v>263</v>
      </c>
      <c r="W307" s="2">
        <v>95</v>
      </c>
      <c r="X307" s="2">
        <v>10</v>
      </c>
      <c r="Y307" s="2">
        <v>92</v>
      </c>
      <c r="Z307" s="2" t="s">
        <v>1259</v>
      </c>
      <c r="AA307" s="2">
        <v>95</v>
      </c>
      <c r="AB307" s="2" t="s">
        <v>1260</v>
      </c>
      <c r="AC307" s="2">
        <v>90</v>
      </c>
      <c r="AD307" s="2">
        <v>1</v>
      </c>
      <c r="AE307" s="2">
        <v>90</v>
      </c>
      <c r="AF307" s="2" t="s">
        <v>432</v>
      </c>
      <c r="AG307" s="2">
        <v>85</v>
      </c>
      <c r="AH307" s="2" t="s">
        <v>1261</v>
      </c>
      <c r="AI307" s="2">
        <v>88</v>
      </c>
      <c r="AK307" s="2">
        <v>10</v>
      </c>
    </row>
    <row r="308" spans="1:37" x14ac:dyDescent="0.25">
      <c r="A308" s="2" t="s">
        <v>140</v>
      </c>
      <c r="B308" s="2" t="s">
        <v>256</v>
      </c>
      <c r="C308" s="2" t="s">
        <v>9</v>
      </c>
      <c r="D308" s="3">
        <v>46080.530763888892</v>
      </c>
      <c r="E308" s="2">
        <v>76.66</v>
      </c>
      <c r="F308" s="2">
        <v>13</v>
      </c>
      <c r="G308" s="2">
        <v>2</v>
      </c>
      <c r="I308" s="2" t="s">
        <v>1262</v>
      </c>
      <c r="J308" s="2" t="s">
        <v>258</v>
      </c>
      <c r="K308" s="2">
        <v>1</v>
      </c>
      <c r="L308" s="2">
        <v>2505040801</v>
      </c>
      <c r="M308" s="2">
        <v>95</v>
      </c>
      <c r="N308" s="2" t="s">
        <v>1263</v>
      </c>
      <c r="O308" s="2">
        <v>95</v>
      </c>
      <c r="P308" s="2" t="s">
        <v>260</v>
      </c>
      <c r="Q308" s="2">
        <v>95</v>
      </c>
      <c r="R308" s="2" t="s">
        <v>1264</v>
      </c>
      <c r="S308" s="2">
        <v>85</v>
      </c>
      <c r="T308" s="2" t="s">
        <v>1265</v>
      </c>
      <c r="U308" s="2">
        <v>90</v>
      </c>
      <c r="W308" s="2">
        <v>10</v>
      </c>
      <c r="X308" s="2">
        <v>1</v>
      </c>
      <c r="Y308" s="2">
        <v>80</v>
      </c>
      <c r="Z308" s="2" t="s">
        <v>1266</v>
      </c>
      <c r="AA308" s="2">
        <v>85</v>
      </c>
      <c r="AB308" s="2" t="s">
        <v>1267</v>
      </c>
      <c r="AC308" s="2">
        <v>80</v>
      </c>
      <c r="AD308" s="2">
        <v>12</v>
      </c>
      <c r="AE308" s="2">
        <v>95</v>
      </c>
      <c r="AF308" s="2" t="s">
        <v>1268</v>
      </c>
      <c r="AG308" s="2">
        <v>90</v>
      </c>
      <c r="AI308" s="2">
        <v>5</v>
      </c>
      <c r="AJ308" s="2" t="s">
        <v>277</v>
      </c>
      <c r="AK308" s="2">
        <v>95</v>
      </c>
    </row>
    <row r="309" spans="1:37" x14ac:dyDescent="0.25">
      <c r="A309" s="2" t="s">
        <v>175</v>
      </c>
      <c r="B309" s="2" t="s">
        <v>256</v>
      </c>
      <c r="C309" s="2" t="s">
        <v>9</v>
      </c>
      <c r="D309" s="3">
        <v>46080.530763888892</v>
      </c>
      <c r="E309" s="2">
        <v>73.55</v>
      </c>
      <c r="F309" s="2">
        <v>52</v>
      </c>
      <c r="G309" s="2">
        <v>11</v>
      </c>
      <c r="I309" s="2" t="s">
        <v>1269</v>
      </c>
      <c r="J309" s="2" t="s">
        <v>258</v>
      </c>
      <c r="K309" s="2">
        <v>1</v>
      </c>
      <c r="L309" s="2">
        <v>1504026606</v>
      </c>
      <c r="M309" s="2">
        <v>98</v>
      </c>
      <c r="N309" s="2" t="s">
        <v>1270</v>
      </c>
      <c r="O309" s="2">
        <v>95</v>
      </c>
      <c r="P309" s="2" t="s">
        <v>260</v>
      </c>
      <c r="Q309" s="2">
        <v>95</v>
      </c>
      <c r="R309" s="2" t="s">
        <v>1271</v>
      </c>
      <c r="S309" s="2">
        <v>85</v>
      </c>
      <c r="T309" s="2" t="s">
        <v>1272</v>
      </c>
      <c r="U309" s="2">
        <v>90</v>
      </c>
      <c r="W309" s="2">
        <v>10</v>
      </c>
      <c r="X309" s="2">
        <v>1</v>
      </c>
      <c r="Y309" s="2">
        <v>90</v>
      </c>
      <c r="Z309" s="2" t="s">
        <v>1273</v>
      </c>
      <c r="AA309" s="2">
        <v>90</v>
      </c>
      <c r="AB309" s="2" t="s">
        <v>1274</v>
      </c>
      <c r="AC309" s="2">
        <v>85</v>
      </c>
      <c r="AD309" s="2">
        <v>3</v>
      </c>
      <c r="AE309" s="2">
        <v>95</v>
      </c>
      <c r="AF309" s="2" t="s">
        <v>1275</v>
      </c>
      <c r="AG309" s="2">
        <v>70</v>
      </c>
      <c r="AI309" s="2">
        <v>10</v>
      </c>
      <c r="AJ309" s="2" t="s">
        <v>381</v>
      </c>
      <c r="AK309" s="2">
        <v>95</v>
      </c>
    </row>
    <row r="310" spans="1:37" x14ac:dyDescent="0.25">
      <c r="A310" s="2" t="s">
        <v>175</v>
      </c>
      <c r="B310" s="2" t="s">
        <v>256</v>
      </c>
      <c r="C310" s="2" t="s">
        <v>9</v>
      </c>
      <c r="D310" s="3">
        <v>46080.530763888892</v>
      </c>
      <c r="E310" s="2">
        <v>73.55</v>
      </c>
      <c r="F310" s="2">
        <v>52</v>
      </c>
      <c r="G310" s="2">
        <v>11</v>
      </c>
      <c r="I310" s="2" t="s">
        <v>1269</v>
      </c>
      <c r="J310" s="2" t="s">
        <v>258</v>
      </c>
      <c r="K310" s="2">
        <v>2</v>
      </c>
      <c r="L310" s="2">
        <v>3504015556</v>
      </c>
      <c r="M310" s="2">
        <v>92</v>
      </c>
      <c r="N310" s="2" t="s">
        <v>1276</v>
      </c>
      <c r="O310" s="2">
        <v>90</v>
      </c>
      <c r="P310" s="2" t="s">
        <v>1277</v>
      </c>
      <c r="Q310" s="2">
        <v>92</v>
      </c>
      <c r="R310" s="2" t="s">
        <v>1271</v>
      </c>
      <c r="S310" s="2">
        <v>85</v>
      </c>
      <c r="T310" s="2" t="s">
        <v>1272</v>
      </c>
      <c r="U310" s="2">
        <v>90</v>
      </c>
      <c r="W310" s="2">
        <v>10</v>
      </c>
      <c r="X310" s="2">
        <v>2</v>
      </c>
      <c r="Y310" s="2">
        <v>80</v>
      </c>
      <c r="Z310" s="2" t="s">
        <v>1278</v>
      </c>
      <c r="AA310" s="2">
        <v>88</v>
      </c>
      <c r="AB310" s="2" t="s">
        <v>1279</v>
      </c>
      <c r="AC310" s="2">
        <v>88</v>
      </c>
      <c r="AD310" s="2">
        <v>4</v>
      </c>
      <c r="AE310" s="2">
        <v>95</v>
      </c>
      <c r="AF310" s="2" t="s">
        <v>1280</v>
      </c>
      <c r="AG310" s="2">
        <v>90</v>
      </c>
      <c r="AI310" s="2">
        <v>10</v>
      </c>
      <c r="AK310" s="2">
        <v>20</v>
      </c>
    </row>
    <row r="311" spans="1:37" x14ac:dyDescent="0.25">
      <c r="A311" s="2" t="s">
        <v>175</v>
      </c>
      <c r="B311" s="2" t="s">
        <v>256</v>
      </c>
      <c r="C311" s="2" t="s">
        <v>9</v>
      </c>
      <c r="D311" s="3">
        <v>46080.530763888892</v>
      </c>
      <c r="E311" s="2">
        <v>73.55</v>
      </c>
      <c r="F311" s="2">
        <v>52</v>
      </c>
      <c r="G311" s="2">
        <v>11</v>
      </c>
      <c r="I311" s="2" t="s">
        <v>1269</v>
      </c>
      <c r="J311" s="2" t="s">
        <v>258</v>
      </c>
      <c r="K311" s="2">
        <v>3</v>
      </c>
      <c r="L311" s="2">
        <v>3504015596</v>
      </c>
      <c r="M311" s="2">
        <v>92</v>
      </c>
      <c r="N311" s="2" t="s">
        <v>1281</v>
      </c>
      <c r="O311" s="2">
        <v>90</v>
      </c>
      <c r="P311" s="2" t="s">
        <v>1282</v>
      </c>
      <c r="Q311" s="2">
        <v>92</v>
      </c>
      <c r="R311" s="2" t="s">
        <v>1271</v>
      </c>
      <c r="S311" s="2">
        <v>85</v>
      </c>
      <c r="T311" s="2" t="s">
        <v>1272</v>
      </c>
      <c r="U311" s="2">
        <v>90</v>
      </c>
      <c r="W311" s="2">
        <v>10</v>
      </c>
      <c r="X311" s="2">
        <v>3</v>
      </c>
      <c r="Y311" s="2">
        <v>80</v>
      </c>
      <c r="Z311" s="2" t="s">
        <v>1278</v>
      </c>
      <c r="AA311" s="2">
        <v>88</v>
      </c>
      <c r="AB311" s="2" t="s">
        <v>1279</v>
      </c>
      <c r="AC311" s="2">
        <v>88</v>
      </c>
      <c r="AD311" s="2">
        <v>8</v>
      </c>
      <c r="AE311" s="2">
        <v>95</v>
      </c>
      <c r="AF311" s="2" t="s">
        <v>1280</v>
      </c>
      <c r="AG311" s="2">
        <v>90</v>
      </c>
      <c r="AI311" s="2">
        <v>10</v>
      </c>
      <c r="AK311" s="2">
        <v>20</v>
      </c>
    </row>
    <row r="312" spans="1:37" x14ac:dyDescent="0.25">
      <c r="A312" s="2" t="s">
        <v>175</v>
      </c>
      <c r="B312" s="2" t="s">
        <v>256</v>
      </c>
      <c r="C312" s="2" t="s">
        <v>9</v>
      </c>
      <c r="D312" s="3">
        <v>46080.530763888892</v>
      </c>
      <c r="E312" s="2">
        <v>73.55</v>
      </c>
      <c r="F312" s="2">
        <v>52</v>
      </c>
      <c r="G312" s="2">
        <v>11</v>
      </c>
      <c r="I312" s="2" t="s">
        <v>1269</v>
      </c>
      <c r="J312" s="2" t="s">
        <v>258</v>
      </c>
      <c r="K312" s="2">
        <v>4</v>
      </c>
      <c r="L312" s="2">
        <v>3504015597</v>
      </c>
      <c r="M312" s="2">
        <v>92</v>
      </c>
      <c r="N312" s="2" t="s">
        <v>1283</v>
      </c>
      <c r="O312" s="2">
        <v>90</v>
      </c>
      <c r="P312" s="2" t="s">
        <v>1284</v>
      </c>
      <c r="Q312" s="2">
        <v>92</v>
      </c>
      <c r="R312" s="2" t="s">
        <v>1271</v>
      </c>
      <c r="S312" s="2">
        <v>85</v>
      </c>
      <c r="T312" s="2" t="s">
        <v>1272</v>
      </c>
      <c r="U312" s="2">
        <v>90</v>
      </c>
      <c r="W312" s="2">
        <v>10</v>
      </c>
      <c r="X312" s="2">
        <v>4</v>
      </c>
      <c r="Y312" s="2">
        <v>80</v>
      </c>
      <c r="Z312" s="2" t="s">
        <v>1278</v>
      </c>
      <c r="AA312" s="2">
        <v>88</v>
      </c>
      <c r="AB312" s="2" t="s">
        <v>1279</v>
      </c>
      <c r="AC312" s="2">
        <v>88</v>
      </c>
      <c r="AD312" s="2">
        <v>7</v>
      </c>
      <c r="AE312" s="2">
        <v>95</v>
      </c>
      <c r="AF312" s="2" t="s">
        <v>1280</v>
      </c>
      <c r="AG312" s="2">
        <v>90</v>
      </c>
      <c r="AI312" s="2">
        <v>10</v>
      </c>
      <c r="AK312" s="2">
        <v>20</v>
      </c>
    </row>
    <row r="313" spans="1:37" x14ac:dyDescent="0.25">
      <c r="A313" s="2" t="s">
        <v>138</v>
      </c>
      <c r="B313" s="2" t="s">
        <v>256</v>
      </c>
      <c r="C313" s="2" t="s">
        <v>9</v>
      </c>
      <c r="D313" s="3">
        <v>46080.530763888892</v>
      </c>
      <c r="E313" s="2">
        <v>70.010000000000005</v>
      </c>
      <c r="F313" s="2">
        <v>151</v>
      </c>
      <c r="G313" s="2">
        <v>1</v>
      </c>
      <c r="I313" s="2" t="s">
        <v>1285</v>
      </c>
      <c r="J313" s="2" t="s">
        <v>258</v>
      </c>
      <c r="K313" s="2">
        <v>1</v>
      </c>
      <c r="L313" s="2">
        <v>3505026679</v>
      </c>
      <c r="M313" s="2">
        <v>98</v>
      </c>
      <c r="N313" s="2" t="s">
        <v>1286</v>
      </c>
      <c r="O313" s="2">
        <v>92</v>
      </c>
      <c r="P313" s="2" t="s">
        <v>260</v>
      </c>
      <c r="Q313" s="2">
        <v>95</v>
      </c>
      <c r="R313" s="2" t="s">
        <v>342</v>
      </c>
      <c r="S313" s="2">
        <v>50</v>
      </c>
      <c r="T313" s="2" t="s">
        <v>1287</v>
      </c>
      <c r="U313" s="2">
        <v>50</v>
      </c>
      <c r="V313" s="2" t="s">
        <v>263</v>
      </c>
      <c r="W313" s="2">
        <v>50</v>
      </c>
      <c r="X313" s="2">
        <v>10</v>
      </c>
      <c r="Y313" s="2">
        <v>50</v>
      </c>
      <c r="Z313" s="2" t="s">
        <v>1288</v>
      </c>
      <c r="AA313" s="2">
        <v>95</v>
      </c>
      <c r="AB313" s="2" t="s">
        <v>1289</v>
      </c>
      <c r="AC313" s="2">
        <v>50</v>
      </c>
      <c r="AD313" s="2">
        <v>832</v>
      </c>
      <c r="AE313" s="2">
        <v>92</v>
      </c>
      <c r="AF313" s="2" t="s">
        <v>346</v>
      </c>
      <c r="AG313" s="2">
        <v>50</v>
      </c>
      <c r="AI313" s="2">
        <v>20</v>
      </c>
    </row>
    <row r="314" spans="1:37" x14ac:dyDescent="0.25">
      <c r="A314" s="2" t="s">
        <v>138</v>
      </c>
      <c r="B314" s="2" t="s">
        <v>256</v>
      </c>
      <c r="C314" s="2" t="s">
        <v>9</v>
      </c>
      <c r="D314" s="3">
        <v>46080.530763888892</v>
      </c>
      <c r="E314" s="2">
        <v>70.010000000000005</v>
      </c>
      <c r="F314" s="2">
        <v>151</v>
      </c>
      <c r="G314" s="2">
        <v>1</v>
      </c>
      <c r="I314" s="2" t="s">
        <v>1285</v>
      </c>
      <c r="J314" s="2" t="s">
        <v>258</v>
      </c>
      <c r="K314" s="2">
        <v>2</v>
      </c>
      <c r="L314" s="2">
        <v>3505026679</v>
      </c>
      <c r="M314" s="2">
        <v>98</v>
      </c>
      <c r="N314" s="2" t="s">
        <v>1286</v>
      </c>
      <c r="O314" s="2">
        <v>50</v>
      </c>
      <c r="P314" s="2" t="s">
        <v>260</v>
      </c>
      <c r="Q314" s="2">
        <v>50</v>
      </c>
      <c r="R314" s="2" t="s">
        <v>342</v>
      </c>
      <c r="S314" s="2">
        <v>50</v>
      </c>
      <c r="T314" s="2" t="s">
        <v>1287</v>
      </c>
      <c r="U314" s="2">
        <v>50</v>
      </c>
      <c r="V314" s="2" t="s">
        <v>263</v>
      </c>
      <c r="W314" s="2">
        <v>50</v>
      </c>
      <c r="X314" s="2">
        <v>20</v>
      </c>
      <c r="Y314" s="2">
        <v>50</v>
      </c>
      <c r="Z314" s="2" t="s">
        <v>1290</v>
      </c>
      <c r="AA314" s="2">
        <v>95</v>
      </c>
      <c r="AB314" s="2" t="s">
        <v>1291</v>
      </c>
      <c r="AC314" s="2">
        <v>50</v>
      </c>
      <c r="AD314" s="2">
        <v>200</v>
      </c>
      <c r="AE314" s="2">
        <v>92</v>
      </c>
      <c r="AF314" s="2" t="s">
        <v>346</v>
      </c>
      <c r="AG314" s="2">
        <v>50</v>
      </c>
    </row>
    <row r="315" spans="1:37" x14ac:dyDescent="0.25">
      <c r="A315" s="2" t="s">
        <v>138</v>
      </c>
      <c r="B315" s="2" t="s">
        <v>256</v>
      </c>
      <c r="C315" s="2" t="s">
        <v>9</v>
      </c>
      <c r="D315" s="3">
        <v>46080.530763888892</v>
      </c>
      <c r="E315" s="2">
        <v>70.010000000000005</v>
      </c>
      <c r="F315" s="2">
        <v>151</v>
      </c>
      <c r="G315" s="2">
        <v>1</v>
      </c>
      <c r="I315" s="2" t="s">
        <v>1285</v>
      </c>
      <c r="J315" s="2" t="s">
        <v>258</v>
      </c>
      <c r="K315" s="2">
        <v>3</v>
      </c>
      <c r="L315" s="2">
        <v>3505026679</v>
      </c>
      <c r="M315" s="2">
        <v>50</v>
      </c>
      <c r="N315" s="2" t="s">
        <v>1292</v>
      </c>
      <c r="O315" s="2">
        <v>92</v>
      </c>
      <c r="P315" s="2" t="s">
        <v>260</v>
      </c>
      <c r="Q315" s="2">
        <v>50</v>
      </c>
      <c r="R315" s="2" t="s">
        <v>342</v>
      </c>
      <c r="S315" s="2">
        <v>50</v>
      </c>
      <c r="T315" s="2" t="s">
        <v>1293</v>
      </c>
      <c r="U315" s="2">
        <v>50</v>
      </c>
      <c r="V315" s="2" t="s">
        <v>263</v>
      </c>
      <c r="W315" s="2">
        <v>50</v>
      </c>
      <c r="X315" s="2">
        <v>10</v>
      </c>
      <c r="Y315" s="2">
        <v>50</v>
      </c>
      <c r="Z315" s="2" t="s">
        <v>1294</v>
      </c>
      <c r="AA315" s="2">
        <v>96</v>
      </c>
      <c r="AB315" s="2" t="s">
        <v>1295</v>
      </c>
      <c r="AC315" s="2">
        <v>50</v>
      </c>
      <c r="AD315" s="2">
        <v>80</v>
      </c>
      <c r="AE315" s="2">
        <v>50</v>
      </c>
      <c r="AF315" s="2" t="s">
        <v>346</v>
      </c>
      <c r="AG315" s="2">
        <v>50</v>
      </c>
      <c r="AH315" s="2" t="s">
        <v>1296</v>
      </c>
      <c r="AI315" s="2">
        <v>95</v>
      </c>
    </row>
    <row r="316" spans="1:37" x14ac:dyDescent="0.25">
      <c r="A316" s="2" t="s">
        <v>138</v>
      </c>
      <c r="B316" s="2" t="s">
        <v>256</v>
      </c>
      <c r="C316" s="2" t="s">
        <v>9</v>
      </c>
      <c r="D316" s="3">
        <v>46080.530763888892</v>
      </c>
      <c r="E316" s="2">
        <v>70.010000000000005</v>
      </c>
      <c r="F316" s="2">
        <v>151</v>
      </c>
      <c r="G316" s="2">
        <v>1</v>
      </c>
      <c r="I316" s="2" t="s">
        <v>1285</v>
      </c>
      <c r="J316" s="2" t="s">
        <v>258</v>
      </c>
      <c r="K316" s="2">
        <v>4</v>
      </c>
      <c r="L316" s="2">
        <v>3505026679</v>
      </c>
      <c r="M316" s="2">
        <v>50</v>
      </c>
      <c r="N316" s="2" t="s">
        <v>1292</v>
      </c>
      <c r="O316" s="2">
        <v>50</v>
      </c>
      <c r="P316" s="2" t="s">
        <v>260</v>
      </c>
      <c r="Q316" s="2">
        <v>50</v>
      </c>
      <c r="R316" s="2" t="s">
        <v>342</v>
      </c>
      <c r="S316" s="2">
        <v>50</v>
      </c>
      <c r="T316" s="2" t="s">
        <v>1293</v>
      </c>
      <c r="U316" s="2">
        <v>50</v>
      </c>
      <c r="V316" s="2" t="s">
        <v>263</v>
      </c>
      <c r="W316" s="2">
        <v>50</v>
      </c>
      <c r="X316" s="2">
        <v>20</v>
      </c>
      <c r="Y316" s="2">
        <v>50</v>
      </c>
      <c r="Z316" s="2" t="s">
        <v>1297</v>
      </c>
      <c r="AA316" s="2">
        <v>96</v>
      </c>
      <c r="AB316" s="2" t="s">
        <v>1298</v>
      </c>
      <c r="AC316" s="2">
        <v>50</v>
      </c>
      <c r="AD316" s="2">
        <v>1040</v>
      </c>
      <c r="AE316" s="2">
        <v>50</v>
      </c>
      <c r="AF316" s="2" t="s">
        <v>346</v>
      </c>
      <c r="AG316" s="2">
        <v>50</v>
      </c>
      <c r="AH316" s="2" t="s">
        <v>292</v>
      </c>
      <c r="AI316" s="2">
        <v>95</v>
      </c>
    </row>
    <row r="317" spans="1:37" x14ac:dyDescent="0.25">
      <c r="A317" s="2" t="s">
        <v>138</v>
      </c>
      <c r="B317" s="2" t="s">
        <v>256</v>
      </c>
      <c r="C317" s="2" t="s">
        <v>9</v>
      </c>
      <c r="D317" s="3">
        <v>46080.530763888892</v>
      </c>
      <c r="E317" s="2">
        <v>70.010000000000005</v>
      </c>
      <c r="F317" s="2">
        <v>151</v>
      </c>
      <c r="G317" s="2">
        <v>1</v>
      </c>
      <c r="I317" s="2" t="s">
        <v>1285</v>
      </c>
      <c r="J317" s="2" t="s">
        <v>258</v>
      </c>
      <c r="K317" s="2">
        <v>5</v>
      </c>
      <c r="L317" s="2">
        <v>3505026679</v>
      </c>
      <c r="M317" s="2">
        <v>50</v>
      </c>
      <c r="N317" s="2" t="s">
        <v>1299</v>
      </c>
      <c r="O317" s="2">
        <v>50</v>
      </c>
      <c r="P317" s="2" t="s">
        <v>260</v>
      </c>
      <c r="Q317" s="2">
        <v>50</v>
      </c>
      <c r="R317" s="2" t="s">
        <v>342</v>
      </c>
      <c r="S317" s="2">
        <v>50</v>
      </c>
      <c r="T317" s="2" t="s">
        <v>1300</v>
      </c>
      <c r="U317" s="2">
        <v>50</v>
      </c>
      <c r="V317" s="2" t="s">
        <v>263</v>
      </c>
      <c r="W317" s="2">
        <v>50</v>
      </c>
      <c r="X317" s="2">
        <v>10</v>
      </c>
      <c r="Y317" s="2">
        <v>50</v>
      </c>
      <c r="Z317" s="2" t="s">
        <v>1301</v>
      </c>
      <c r="AA317" s="2">
        <v>96</v>
      </c>
      <c r="AB317" s="2" t="s">
        <v>1302</v>
      </c>
      <c r="AC317" s="2">
        <v>50</v>
      </c>
      <c r="AD317" s="2">
        <v>400</v>
      </c>
      <c r="AE317" s="2">
        <v>50</v>
      </c>
      <c r="AF317" s="2" t="s">
        <v>346</v>
      </c>
      <c r="AG317" s="2">
        <v>50</v>
      </c>
      <c r="AH317" s="2" t="s">
        <v>1303</v>
      </c>
      <c r="AI317" s="2">
        <v>95</v>
      </c>
    </row>
    <row r="318" spans="1:37" x14ac:dyDescent="0.25">
      <c r="A318" s="2" t="s">
        <v>138</v>
      </c>
      <c r="B318" s="2" t="s">
        <v>256</v>
      </c>
      <c r="C318" s="2" t="s">
        <v>9</v>
      </c>
      <c r="D318" s="3">
        <v>46080.530763888892</v>
      </c>
      <c r="E318" s="2">
        <v>70.010000000000005</v>
      </c>
      <c r="F318" s="2">
        <v>151</v>
      </c>
      <c r="G318" s="2">
        <v>1</v>
      </c>
      <c r="I318" s="2" t="s">
        <v>1285</v>
      </c>
      <c r="J318" s="2" t="s">
        <v>258</v>
      </c>
      <c r="K318" s="2">
        <v>6</v>
      </c>
      <c r="L318" s="2">
        <v>3505026679</v>
      </c>
      <c r="M318" s="2">
        <v>50</v>
      </c>
      <c r="N318" s="2" t="s">
        <v>1299</v>
      </c>
      <c r="O318" s="2">
        <v>50</v>
      </c>
      <c r="P318" s="2" t="s">
        <v>260</v>
      </c>
      <c r="Q318" s="2">
        <v>50</v>
      </c>
      <c r="R318" s="2" t="s">
        <v>342</v>
      </c>
      <c r="S318" s="2">
        <v>50</v>
      </c>
      <c r="T318" s="2" t="s">
        <v>1300</v>
      </c>
      <c r="U318" s="2">
        <v>50</v>
      </c>
      <c r="V318" s="2" t="s">
        <v>263</v>
      </c>
      <c r="W318" s="2">
        <v>50</v>
      </c>
      <c r="X318" s="2">
        <v>20</v>
      </c>
      <c r="Y318" s="2">
        <v>50</v>
      </c>
      <c r="Z318" s="2" t="s">
        <v>1304</v>
      </c>
      <c r="AA318" s="2">
        <v>95</v>
      </c>
      <c r="AB318" s="2" t="s">
        <v>1305</v>
      </c>
      <c r="AC318" s="2">
        <v>50</v>
      </c>
      <c r="AD318" s="2">
        <v>200</v>
      </c>
      <c r="AE318" s="2">
        <v>50</v>
      </c>
      <c r="AF318" s="2" t="s">
        <v>346</v>
      </c>
      <c r="AG318" s="2">
        <v>50</v>
      </c>
      <c r="AH318" s="2" t="s">
        <v>1306</v>
      </c>
      <c r="AI318" s="2">
        <v>95</v>
      </c>
    </row>
    <row r="319" spans="1:37" x14ac:dyDescent="0.25">
      <c r="A319" s="2" t="s">
        <v>138</v>
      </c>
      <c r="B319" s="2" t="s">
        <v>256</v>
      </c>
      <c r="C319" s="2" t="s">
        <v>9</v>
      </c>
      <c r="D319" s="3">
        <v>46080.530763888892</v>
      </c>
      <c r="E319" s="2">
        <v>70.010000000000005</v>
      </c>
      <c r="F319" s="2">
        <v>151</v>
      </c>
      <c r="G319" s="2">
        <v>1</v>
      </c>
      <c r="I319" s="2" t="s">
        <v>1285</v>
      </c>
      <c r="J319" s="2" t="s">
        <v>258</v>
      </c>
      <c r="K319" s="2">
        <v>7</v>
      </c>
      <c r="L319" s="2">
        <v>3505026679</v>
      </c>
      <c r="M319" s="2">
        <v>50</v>
      </c>
      <c r="N319" s="2" t="s">
        <v>1299</v>
      </c>
      <c r="O319" s="2">
        <v>50</v>
      </c>
      <c r="P319" s="2" t="s">
        <v>260</v>
      </c>
      <c r="Q319" s="2">
        <v>50</v>
      </c>
      <c r="R319" s="2" t="s">
        <v>342</v>
      </c>
      <c r="S319" s="2">
        <v>50</v>
      </c>
      <c r="T319" s="2" t="s">
        <v>1300</v>
      </c>
      <c r="U319" s="2">
        <v>50</v>
      </c>
      <c r="V319" s="2" t="s">
        <v>263</v>
      </c>
      <c r="W319" s="2">
        <v>50</v>
      </c>
      <c r="X319" s="2">
        <v>30</v>
      </c>
      <c r="Y319" s="2">
        <v>50</v>
      </c>
      <c r="Z319" s="2" t="s">
        <v>1307</v>
      </c>
      <c r="AA319" s="2">
        <v>95</v>
      </c>
      <c r="AB319" s="2" t="s">
        <v>1308</v>
      </c>
      <c r="AC319" s="2">
        <v>50</v>
      </c>
      <c r="AD319" s="2">
        <v>30</v>
      </c>
      <c r="AE319" s="2">
        <v>50</v>
      </c>
      <c r="AF319" s="2" t="s">
        <v>346</v>
      </c>
      <c r="AG319" s="2">
        <v>50</v>
      </c>
      <c r="AH319" s="2" t="s">
        <v>1309</v>
      </c>
      <c r="AI319" s="2">
        <v>95</v>
      </c>
    </row>
    <row r="320" spans="1:37" x14ac:dyDescent="0.25">
      <c r="A320" s="2" t="s">
        <v>138</v>
      </c>
      <c r="B320" s="2" t="s">
        <v>256</v>
      </c>
      <c r="C320" s="2" t="s">
        <v>9</v>
      </c>
      <c r="D320" s="3">
        <v>46080.530763888892</v>
      </c>
      <c r="E320" s="2">
        <v>70.010000000000005</v>
      </c>
      <c r="F320" s="2">
        <v>151</v>
      </c>
      <c r="G320" s="2">
        <v>1</v>
      </c>
      <c r="I320" s="2" t="s">
        <v>1285</v>
      </c>
      <c r="J320" s="2" t="s">
        <v>258</v>
      </c>
      <c r="K320" s="2">
        <v>8</v>
      </c>
      <c r="L320" s="2">
        <v>3505026679</v>
      </c>
      <c r="M320" s="2">
        <v>50</v>
      </c>
      <c r="N320" s="2" t="s">
        <v>1310</v>
      </c>
      <c r="O320" s="2">
        <v>50</v>
      </c>
      <c r="P320" s="2" t="s">
        <v>260</v>
      </c>
      <c r="Q320" s="2">
        <v>50</v>
      </c>
      <c r="R320" s="2" t="s">
        <v>342</v>
      </c>
      <c r="S320" s="2">
        <v>50</v>
      </c>
      <c r="T320" s="2" t="s">
        <v>1311</v>
      </c>
      <c r="U320" s="2">
        <v>50</v>
      </c>
      <c r="V320" s="2" t="s">
        <v>263</v>
      </c>
      <c r="W320" s="2">
        <v>50</v>
      </c>
      <c r="X320" s="2">
        <v>10</v>
      </c>
      <c r="Y320" s="2">
        <v>50</v>
      </c>
      <c r="Z320" s="2" t="s">
        <v>348</v>
      </c>
      <c r="AA320" s="2">
        <v>94</v>
      </c>
      <c r="AB320" s="2" t="s">
        <v>349</v>
      </c>
      <c r="AC320" s="2">
        <v>50</v>
      </c>
      <c r="AD320" s="2">
        <v>1280</v>
      </c>
      <c r="AE320" s="2">
        <v>93</v>
      </c>
      <c r="AF320" s="2" t="s">
        <v>346</v>
      </c>
      <c r="AG320" s="2">
        <v>50</v>
      </c>
    </row>
    <row r="321" spans="1:37" x14ac:dyDescent="0.25">
      <c r="A321" s="2" t="s">
        <v>138</v>
      </c>
      <c r="B321" s="2" t="s">
        <v>256</v>
      </c>
      <c r="C321" s="2" t="s">
        <v>9</v>
      </c>
      <c r="D321" s="3">
        <v>46080.530763888892</v>
      </c>
      <c r="E321" s="2">
        <v>70.010000000000005</v>
      </c>
      <c r="F321" s="2">
        <v>151</v>
      </c>
      <c r="G321" s="2">
        <v>1</v>
      </c>
      <c r="I321" s="2" t="s">
        <v>1285</v>
      </c>
      <c r="J321" s="2" t="s">
        <v>258</v>
      </c>
      <c r="K321" s="2">
        <v>9</v>
      </c>
      <c r="L321" s="2">
        <v>3505026679</v>
      </c>
      <c r="M321" s="2">
        <v>50</v>
      </c>
      <c r="N321" s="2" t="s">
        <v>1310</v>
      </c>
      <c r="O321" s="2">
        <v>50</v>
      </c>
      <c r="P321" s="2" t="s">
        <v>260</v>
      </c>
      <c r="Q321" s="2">
        <v>50</v>
      </c>
      <c r="R321" s="2" t="s">
        <v>342</v>
      </c>
      <c r="S321" s="2">
        <v>50</v>
      </c>
      <c r="T321" s="2" t="s">
        <v>1311</v>
      </c>
      <c r="U321" s="2">
        <v>50</v>
      </c>
      <c r="V321" s="2" t="s">
        <v>263</v>
      </c>
      <c r="W321" s="2">
        <v>50</v>
      </c>
      <c r="X321" s="2">
        <v>20</v>
      </c>
      <c r="Y321" s="2">
        <v>50</v>
      </c>
      <c r="Z321" s="2" t="s">
        <v>366</v>
      </c>
      <c r="AA321" s="2">
        <v>94</v>
      </c>
      <c r="AB321" s="2" t="s">
        <v>367</v>
      </c>
      <c r="AC321" s="2">
        <v>50</v>
      </c>
      <c r="AD321" s="2">
        <v>72</v>
      </c>
      <c r="AE321" s="2">
        <v>50</v>
      </c>
      <c r="AF321" s="2" t="s">
        <v>346</v>
      </c>
      <c r="AG321" s="2">
        <v>50</v>
      </c>
      <c r="AH321" s="2" t="s">
        <v>1312</v>
      </c>
      <c r="AI321" s="2">
        <v>30</v>
      </c>
    </row>
    <row r="322" spans="1:37" x14ac:dyDescent="0.25">
      <c r="A322" s="2" t="s">
        <v>138</v>
      </c>
      <c r="B322" s="2" t="s">
        <v>256</v>
      </c>
      <c r="C322" s="2" t="s">
        <v>9</v>
      </c>
      <c r="D322" s="3">
        <v>46080.530763888892</v>
      </c>
      <c r="E322" s="2">
        <v>70.010000000000005</v>
      </c>
      <c r="F322" s="2">
        <v>151</v>
      </c>
      <c r="G322" s="2">
        <v>1</v>
      </c>
      <c r="I322" s="2" t="s">
        <v>1285</v>
      </c>
      <c r="J322" s="2" t="s">
        <v>258</v>
      </c>
      <c r="K322" s="2">
        <v>10</v>
      </c>
      <c r="L322" s="2">
        <v>3505026679</v>
      </c>
      <c r="M322" s="2">
        <v>50</v>
      </c>
      <c r="N322" s="2" t="s">
        <v>1310</v>
      </c>
      <c r="O322" s="2">
        <v>50</v>
      </c>
      <c r="P322" s="2" t="s">
        <v>260</v>
      </c>
      <c r="Q322" s="2">
        <v>50</v>
      </c>
      <c r="R322" s="2" t="s">
        <v>342</v>
      </c>
      <c r="S322" s="2">
        <v>50</v>
      </c>
      <c r="T322" s="2" t="s">
        <v>1311</v>
      </c>
      <c r="U322" s="2">
        <v>50</v>
      </c>
      <c r="V322" s="2" t="s">
        <v>263</v>
      </c>
      <c r="W322" s="2">
        <v>50</v>
      </c>
      <c r="X322" s="2">
        <v>30</v>
      </c>
      <c r="Y322" s="2">
        <v>50</v>
      </c>
      <c r="Z322" s="2" t="s">
        <v>369</v>
      </c>
      <c r="AA322" s="2">
        <v>94</v>
      </c>
      <c r="AB322" s="2" t="s">
        <v>370</v>
      </c>
      <c r="AC322" s="2">
        <v>50</v>
      </c>
      <c r="AD322" s="2">
        <v>480</v>
      </c>
      <c r="AE322" s="2">
        <v>92</v>
      </c>
      <c r="AF322" s="2" t="s">
        <v>346</v>
      </c>
      <c r="AG322" s="2">
        <v>50</v>
      </c>
    </row>
    <row r="323" spans="1:37" x14ac:dyDescent="0.25">
      <c r="A323" s="2" t="s">
        <v>138</v>
      </c>
      <c r="B323" s="2" t="s">
        <v>256</v>
      </c>
      <c r="C323" s="2" t="s">
        <v>9</v>
      </c>
      <c r="D323" s="3">
        <v>46080.530763888892</v>
      </c>
      <c r="E323" s="2">
        <v>70.010000000000005</v>
      </c>
      <c r="F323" s="2">
        <v>151</v>
      </c>
      <c r="G323" s="2">
        <v>1</v>
      </c>
      <c r="I323" s="2" t="s">
        <v>1285</v>
      </c>
      <c r="J323" s="2" t="s">
        <v>258</v>
      </c>
      <c r="K323" s="2">
        <v>11</v>
      </c>
      <c r="L323" s="2">
        <v>3505026679</v>
      </c>
      <c r="M323" s="2">
        <v>50</v>
      </c>
      <c r="N323" s="2" t="s">
        <v>1310</v>
      </c>
      <c r="O323" s="2">
        <v>50</v>
      </c>
      <c r="P323" s="2" t="s">
        <v>260</v>
      </c>
      <c r="Q323" s="2">
        <v>50</v>
      </c>
      <c r="R323" s="2" t="s">
        <v>342</v>
      </c>
      <c r="S323" s="2">
        <v>50</v>
      </c>
      <c r="T323" s="2" t="s">
        <v>1311</v>
      </c>
      <c r="U323" s="2">
        <v>50</v>
      </c>
      <c r="V323" s="2" t="s">
        <v>263</v>
      </c>
      <c r="W323" s="2">
        <v>50</v>
      </c>
      <c r="X323" s="2">
        <v>40</v>
      </c>
      <c r="Y323" s="2">
        <v>50</v>
      </c>
      <c r="Z323" s="2" t="s">
        <v>1313</v>
      </c>
      <c r="AA323" s="2">
        <v>94</v>
      </c>
      <c r="AB323" s="2" t="s">
        <v>1314</v>
      </c>
      <c r="AC323" s="2">
        <v>50</v>
      </c>
      <c r="AD323" s="2">
        <v>30</v>
      </c>
      <c r="AE323" s="2">
        <v>50</v>
      </c>
      <c r="AF323" s="2" t="s">
        <v>346</v>
      </c>
      <c r="AG323" s="2">
        <v>50</v>
      </c>
    </row>
    <row r="324" spans="1:37" x14ac:dyDescent="0.25">
      <c r="A324" s="2" t="s">
        <v>138</v>
      </c>
      <c r="B324" s="2" t="s">
        <v>256</v>
      </c>
      <c r="C324" s="2" t="s">
        <v>9</v>
      </c>
      <c r="D324" s="3">
        <v>46080.530763888892</v>
      </c>
      <c r="E324" s="2">
        <v>70.010000000000005</v>
      </c>
      <c r="F324" s="2">
        <v>151</v>
      </c>
      <c r="G324" s="2">
        <v>1</v>
      </c>
      <c r="I324" s="2" t="s">
        <v>1285</v>
      </c>
      <c r="J324" s="2" t="s">
        <v>258</v>
      </c>
      <c r="K324" s="2">
        <v>12</v>
      </c>
      <c r="L324" s="2">
        <v>3505026679</v>
      </c>
      <c r="M324" s="2">
        <v>50</v>
      </c>
      <c r="N324" s="2" t="s">
        <v>1310</v>
      </c>
      <c r="O324" s="2">
        <v>50</v>
      </c>
      <c r="P324" s="2" t="s">
        <v>260</v>
      </c>
      <c r="Q324" s="2">
        <v>50</v>
      </c>
      <c r="R324" s="2" t="s">
        <v>342</v>
      </c>
      <c r="S324" s="2">
        <v>50</v>
      </c>
      <c r="T324" s="2" t="s">
        <v>1311</v>
      </c>
      <c r="U324" s="2">
        <v>50</v>
      </c>
      <c r="V324" s="2" t="s">
        <v>263</v>
      </c>
      <c r="W324" s="2">
        <v>50</v>
      </c>
      <c r="X324" s="2">
        <v>50</v>
      </c>
      <c r="Y324" s="2">
        <v>50</v>
      </c>
      <c r="Z324" s="2" t="s">
        <v>1315</v>
      </c>
      <c r="AA324" s="2">
        <v>94</v>
      </c>
      <c r="AB324" s="2" t="s">
        <v>1316</v>
      </c>
      <c r="AC324" s="2">
        <v>50</v>
      </c>
      <c r="AD324" s="2">
        <v>30</v>
      </c>
      <c r="AE324" s="2">
        <v>50</v>
      </c>
      <c r="AF324" s="2" t="s">
        <v>346</v>
      </c>
      <c r="AG324" s="2">
        <v>50</v>
      </c>
    </row>
    <row r="325" spans="1:37" x14ac:dyDescent="0.25">
      <c r="A325" s="2" t="s">
        <v>138</v>
      </c>
      <c r="B325" s="2" t="s">
        <v>256</v>
      </c>
      <c r="C325" s="2" t="s">
        <v>9</v>
      </c>
      <c r="D325" s="3">
        <v>46080.530763888892</v>
      </c>
      <c r="E325" s="2">
        <v>70.010000000000005</v>
      </c>
      <c r="F325" s="2">
        <v>151</v>
      </c>
      <c r="G325" s="2">
        <v>1</v>
      </c>
      <c r="I325" s="2" t="s">
        <v>1285</v>
      </c>
      <c r="J325" s="2" t="s">
        <v>258</v>
      </c>
      <c r="K325" s="2">
        <v>13</v>
      </c>
      <c r="L325" s="2">
        <v>3505026679</v>
      </c>
      <c r="M325" s="2">
        <v>50</v>
      </c>
      <c r="N325" s="2" t="s">
        <v>1317</v>
      </c>
      <c r="O325" s="2">
        <v>50</v>
      </c>
      <c r="P325" s="2" t="s">
        <v>260</v>
      </c>
      <c r="Q325" s="2">
        <v>50</v>
      </c>
      <c r="R325" s="2" t="s">
        <v>342</v>
      </c>
      <c r="S325" s="2">
        <v>50</v>
      </c>
      <c r="T325" s="2" t="s">
        <v>1318</v>
      </c>
      <c r="U325" s="2">
        <v>50</v>
      </c>
      <c r="V325" s="2" t="s">
        <v>263</v>
      </c>
      <c r="W325" s="2">
        <v>50</v>
      </c>
      <c r="X325" s="2">
        <v>10</v>
      </c>
      <c r="Y325" s="2">
        <v>50</v>
      </c>
      <c r="Z325" s="2" t="s">
        <v>1319</v>
      </c>
      <c r="AA325" s="2">
        <v>96</v>
      </c>
      <c r="AB325" s="2" t="s">
        <v>1320</v>
      </c>
      <c r="AC325" s="2">
        <v>50</v>
      </c>
      <c r="AD325" s="2">
        <v>520</v>
      </c>
      <c r="AE325" s="2">
        <v>50</v>
      </c>
      <c r="AF325" s="2" t="s">
        <v>346</v>
      </c>
      <c r="AG325" s="2">
        <v>50</v>
      </c>
      <c r="AH325" s="2" t="s">
        <v>1321</v>
      </c>
      <c r="AI325" s="2">
        <v>95</v>
      </c>
    </row>
    <row r="326" spans="1:37" x14ac:dyDescent="0.25">
      <c r="A326" s="2" t="s">
        <v>124</v>
      </c>
      <c r="B326" s="2" t="s">
        <v>256</v>
      </c>
      <c r="C326" s="2" t="s">
        <v>9</v>
      </c>
      <c r="D326" s="3">
        <v>46080.530763888892</v>
      </c>
      <c r="E326" s="2">
        <v>91.16</v>
      </c>
      <c r="F326" s="2">
        <v>52</v>
      </c>
      <c r="G326" s="2">
        <v>0</v>
      </c>
      <c r="I326" s="2" t="s">
        <v>1322</v>
      </c>
      <c r="J326" s="2" t="s">
        <v>258</v>
      </c>
      <c r="K326" s="2">
        <v>1</v>
      </c>
      <c r="L326" s="2">
        <v>2507017037</v>
      </c>
      <c r="M326" s="2">
        <v>98</v>
      </c>
      <c r="N326" s="2" t="s">
        <v>1323</v>
      </c>
      <c r="O326" s="2">
        <v>95</v>
      </c>
      <c r="P326" s="2" t="s">
        <v>260</v>
      </c>
      <c r="Q326" s="2">
        <v>96</v>
      </c>
      <c r="R326" s="2" t="s">
        <v>1324</v>
      </c>
      <c r="S326" s="2">
        <v>98</v>
      </c>
      <c r="T326" s="2" t="s">
        <v>272</v>
      </c>
      <c r="U326" s="2">
        <v>95</v>
      </c>
      <c r="V326" s="2" t="s">
        <v>263</v>
      </c>
      <c r="W326" s="2">
        <v>92</v>
      </c>
      <c r="X326" s="2">
        <v>10</v>
      </c>
      <c r="Y326" s="2">
        <v>98</v>
      </c>
      <c r="Z326" s="2" t="s">
        <v>1325</v>
      </c>
      <c r="AA326" s="2">
        <v>80</v>
      </c>
      <c r="AB326" s="2" t="s">
        <v>1326</v>
      </c>
      <c r="AC326" s="2">
        <v>95</v>
      </c>
      <c r="AD326" s="2">
        <v>60</v>
      </c>
      <c r="AE326" s="2">
        <v>95</v>
      </c>
      <c r="AF326" s="2" t="s">
        <v>1327</v>
      </c>
      <c r="AG326" s="2">
        <v>85</v>
      </c>
      <c r="AH326" s="2" t="s">
        <v>1328</v>
      </c>
      <c r="AI326" s="2">
        <v>96</v>
      </c>
      <c r="AJ326" s="2" t="s">
        <v>268</v>
      </c>
      <c r="AK326" s="2">
        <v>95</v>
      </c>
    </row>
    <row r="327" spans="1:37" x14ac:dyDescent="0.25">
      <c r="A327" s="2" t="s">
        <v>124</v>
      </c>
      <c r="B327" s="2" t="s">
        <v>256</v>
      </c>
      <c r="C327" s="2" t="s">
        <v>9</v>
      </c>
      <c r="D327" s="3">
        <v>46080.530763888892</v>
      </c>
      <c r="E327" s="2">
        <v>91.16</v>
      </c>
      <c r="F327" s="2">
        <v>52</v>
      </c>
      <c r="G327" s="2">
        <v>0</v>
      </c>
      <c r="I327" s="2" t="s">
        <v>1322</v>
      </c>
      <c r="J327" s="2" t="s">
        <v>258</v>
      </c>
      <c r="K327" s="2">
        <v>2</v>
      </c>
      <c r="L327" s="2">
        <v>2507017037</v>
      </c>
      <c r="M327" s="2">
        <v>98</v>
      </c>
      <c r="N327" s="2" t="s">
        <v>1323</v>
      </c>
      <c r="O327" s="2">
        <v>95</v>
      </c>
      <c r="P327" s="2" t="s">
        <v>260</v>
      </c>
      <c r="Q327" s="2">
        <v>96</v>
      </c>
      <c r="R327" s="2" t="s">
        <v>1324</v>
      </c>
      <c r="S327" s="2">
        <v>98</v>
      </c>
      <c r="T327" s="2" t="s">
        <v>272</v>
      </c>
      <c r="U327" s="2">
        <v>95</v>
      </c>
      <c r="V327" s="2" t="s">
        <v>263</v>
      </c>
      <c r="W327" s="2">
        <v>92</v>
      </c>
      <c r="X327" s="2">
        <v>20</v>
      </c>
      <c r="Y327" s="2">
        <v>98</v>
      </c>
      <c r="Z327" s="2" t="s">
        <v>1329</v>
      </c>
      <c r="AA327" s="2">
        <v>85</v>
      </c>
      <c r="AB327" s="2" t="s">
        <v>1330</v>
      </c>
      <c r="AC327" s="2">
        <v>96</v>
      </c>
      <c r="AD327" s="2">
        <v>5</v>
      </c>
      <c r="AE327" s="2">
        <v>95</v>
      </c>
      <c r="AF327" s="2" t="s">
        <v>1331</v>
      </c>
      <c r="AG327" s="2">
        <v>90</v>
      </c>
      <c r="AH327" s="2" t="s">
        <v>1332</v>
      </c>
      <c r="AI327" s="2">
        <v>96</v>
      </c>
      <c r="AJ327" s="2" t="s">
        <v>268</v>
      </c>
      <c r="AK327" s="2">
        <v>95</v>
      </c>
    </row>
    <row r="328" spans="1:37" x14ac:dyDescent="0.25">
      <c r="A328" s="2" t="s">
        <v>124</v>
      </c>
      <c r="B328" s="2" t="s">
        <v>256</v>
      </c>
      <c r="C328" s="2" t="s">
        <v>9</v>
      </c>
      <c r="D328" s="3">
        <v>46080.530763888892</v>
      </c>
      <c r="E328" s="2">
        <v>91.16</v>
      </c>
      <c r="F328" s="2">
        <v>52</v>
      </c>
      <c r="G328" s="2">
        <v>0</v>
      </c>
      <c r="I328" s="2" t="s">
        <v>1322</v>
      </c>
      <c r="J328" s="2" t="s">
        <v>258</v>
      </c>
      <c r="K328" s="2">
        <v>3</v>
      </c>
      <c r="L328" s="2">
        <v>2507017037</v>
      </c>
      <c r="M328" s="2">
        <v>98</v>
      </c>
      <c r="N328" s="2" t="s">
        <v>1323</v>
      </c>
      <c r="O328" s="2">
        <v>95</v>
      </c>
      <c r="P328" s="2" t="s">
        <v>260</v>
      </c>
      <c r="Q328" s="2">
        <v>96</v>
      </c>
      <c r="R328" s="2" t="s">
        <v>1324</v>
      </c>
      <c r="S328" s="2">
        <v>98</v>
      </c>
      <c r="T328" s="2" t="s">
        <v>272</v>
      </c>
      <c r="U328" s="2">
        <v>95</v>
      </c>
      <c r="V328" s="2" t="s">
        <v>263</v>
      </c>
      <c r="W328" s="2">
        <v>92</v>
      </c>
      <c r="X328" s="2">
        <v>30</v>
      </c>
      <c r="Y328" s="2">
        <v>98</v>
      </c>
      <c r="Z328" s="2" t="s">
        <v>1333</v>
      </c>
      <c r="AA328" s="2">
        <v>82</v>
      </c>
      <c r="AB328" s="2" t="s">
        <v>1334</v>
      </c>
      <c r="AC328" s="2">
        <v>95</v>
      </c>
      <c r="AD328" s="2">
        <v>3</v>
      </c>
      <c r="AE328" s="2">
        <v>95</v>
      </c>
      <c r="AF328" s="2" t="s">
        <v>1331</v>
      </c>
      <c r="AG328" s="2">
        <v>90</v>
      </c>
      <c r="AH328" s="2" t="s">
        <v>1335</v>
      </c>
      <c r="AI328" s="2">
        <v>96</v>
      </c>
      <c r="AJ328" s="2" t="s">
        <v>268</v>
      </c>
      <c r="AK328" s="2">
        <v>95</v>
      </c>
    </row>
    <row r="329" spans="1:37" x14ac:dyDescent="0.25">
      <c r="A329" s="2" t="s">
        <v>124</v>
      </c>
      <c r="B329" s="2" t="s">
        <v>256</v>
      </c>
      <c r="C329" s="2" t="s">
        <v>9</v>
      </c>
      <c r="D329" s="3">
        <v>46080.530763888892</v>
      </c>
      <c r="E329" s="2">
        <v>91.16</v>
      </c>
      <c r="F329" s="2">
        <v>52</v>
      </c>
      <c r="G329" s="2">
        <v>0</v>
      </c>
      <c r="I329" s="2" t="s">
        <v>1322</v>
      </c>
      <c r="J329" s="2" t="s">
        <v>258</v>
      </c>
      <c r="K329" s="2">
        <v>4</v>
      </c>
      <c r="L329" s="2">
        <v>2507017037</v>
      </c>
      <c r="M329" s="2">
        <v>98</v>
      </c>
      <c r="N329" s="2" t="s">
        <v>1323</v>
      </c>
      <c r="O329" s="2">
        <v>95</v>
      </c>
      <c r="P329" s="2" t="s">
        <v>260</v>
      </c>
      <c r="Q329" s="2">
        <v>96</v>
      </c>
      <c r="R329" s="2" t="s">
        <v>1324</v>
      </c>
      <c r="S329" s="2">
        <v>98</v>
      </c>
      <c r="T329" s="2" t="s">
        <v>272</v>
      </c>
      <c r="U329" s="2">
        <v>95</v>
      </c>
      <c r="V329" s="2" t="s">
        <v>263</v>
      </c>
      <c r="W329" s="2">
        <v>92</v>
      </c>
      <c r="X329" s="2">
        <v>40</v>
      </c>
      <c r="Y329" s="2">
        <v>98</v>
      </c>
      <c r="Z329" s="2" t="s">
        <v>1336</v>
      </c>
      <c r="AA329" s="2">
        <v>80</v>
      </c>
      <c r="AB329" s="2" t="s">
        <v>1337</v>
      </c>
      <c r="AC329" s="2">
        <v>93</v>
      </c>
      <c r="AD329" s="2">
        <v>24</v>
      </c>
      <c r="AE329" s="2">
        <v>95</v>
      </c>
      <c r="AF329" s="2" t="s">
        <v>1338</v>
      </c>
      <c r="AG329" s="2">
        <v>88</v>
      </c>
      <c r="AH329" s="2" t="s">
        <v>1339</v>
      </c>
      <c r="AI329" s="2">
        <v>96</v>
      </c>
      <c r="AJ329" s="2" t="s">
        <v>268</v>
      </c>
      <c r="AK329" s="2">
        <v>95</v>
      </c>
    </row>
    <row r="330" spans="1:37" x14ac:dyDescent="0.25">
      <c r="A330" s="2" t="s">
        <v>135</v>
      </c>
      <c r="B330" s="2" t="s">
        <v>256</v>
      </c>
      <c r="C330" s="2" t="s">
        <v>9</v>
      </c>
      <c r="D330" s="3">
        <v>46080.530763888892</v>
      </c>
      <c r="E330" s="2">
        <v>69.849999999999994</v>
      </c>
      <c r="F330" s="2">
        <v>130</v>
      </c>
      <c r="G330" s="2">
        <v>0</v>
      </c>
      <c r="I330" s="2" t="s">
        <v>1340</v>
      </c>
      <c r="J330" s="2" t="s">
        <v>258</v>
      </c>
      <c r="K330" s="2">
        <v>1</v>
      </c>
      <c r="L330" s="2">
        <v>3501022500</v>
      </c>
      <c r="M330" s="2">
        <v>50</v>
      </c>
      <c r="N330" s="2" t="s">
        <v>1341</v>
      </c>
      <c r="O330" s="2">
        <v>50</v>
      </c>
      <c r="P330" s="2" t="s">
        <v>260</v>
      </c>
      <c r="Q330" s="2">
        <v>50</v>
      </c>
      <c r="R330" s="2" t="s">
        <v>723</v>
      </c>
      <c r="S330" s="2">
        <v>50</v>
      </c>
      <c r="T330" s="2" t="s">
        <v>724</v>
      </c>
      <c r="U330" s="2">
        <v>50</v>
      </c>
      <c r="V330" s="2" t="s">
        <v>263</v>
      </c>
      <c r="W330" s="2">
        <v>50</v>
      </c>
      <c r="X330" s="2">
        <v>1</v>
      </c>
      <c r="Y330" s="2">
        <v>50</v>
      </c>
      <c r="Z330" s="2" t="s">
        <v>1342</v>
      </c>
      <c r="AA330" s="2">
        <v>95</v>
      </c>
      <c r="AB330" s="2" t="s">
        <v>1343</v>
      </c>
      <c r="AC330" s="2">
        <v>90</v>
      </c>
      <c r="AD330" s="2">
        <v>4</v>
      </c>
      <c r="AE330" s="2">
        <v>95</v>
      </c>
      <c r="AF330" s="2" t="s">
        <v>880</v>
      </c>
      <c r="AG330" s="2">
        <v>85</v>
      </c>
      <c r="AH330" s="2" t="s">
        <v>1344</v>
      </c>
      <c r="AI330" s="2">
        <v>94</v>
      </c>
      <c r="AJ330" s="2" t="s">
        <v>277</v>
      </c>
      <c r="AK330" s="2">
        <v>96</v>
      </c>
    </row>
    <row r="331" spans="1:37" x14ac:dyDescent="0.25">
      <c r="A331" s="2" t="s">
        <v>135</v>
      </c>
      <c r="B331" s="2" t="s">
        <v>256</v>
      </c>
      <c r="C331" s="2" t="s">
        <v>9</v>
      </c>
      <c r="D331" s="3">
        <v>46080.530763888892</v>
      </c>
      <c r="E331" s="2">
        <v>69.849999999999994</v>
      </c>
      <c r="F331" s="2">
        <v>130</v>
      </c>
      <c r="G331" s="2">
        <v>0</v>
      </c>
      <c r="I331" s="2" t="s">
        <v>1340</v>
      </c>
      <c r="J331" s="2" t="s">
        <v>258</v>
      </c>
      <c r="K331" s="2">
        <v>2</v>
      </c>
      <c r="L331" s="2">
        <v>3501022500</v>
      </c>
      <c r="M331" s="2">
        <v>50</v>
      </c>
      <c r="N331" s="2" t="s">
        <v>1341</v>
      </c>
      <c r="O331" s="2">
        <v>50</v>
      </c>
      <c r="P331" s="2" t="s">
        <v>260</v>
      </c>
      <c r="Q331" s="2">
        <v>50</v>
      </c>
      <c r="R331" s="2" t="s">
        <v>723</v>
      </c>
      <c r="S331" s="2">
        <v>50</v>
      </c>
      <c r="T331" s="2" t="s">
        <v>724</v>
      </c>
      <c r="U331" s="2">
        <v>50</v>
      </c>
      <c r="V331" s="2" t="s">
        <v>263</v>
      </c>
      <c r="W331" s="2">
        <v>50</v>
      </c>
      <c r="X331" s="2">
        <v>2</v>
      </c>
      <c r="Y331" s="2">
        <v>50</v>
      </c>
      <c r="Z331" s="2" t="s">
        <v>1345</v>
      </c>
      <c r="AA331" s="2">
        <v>95</v>
      </c>
      <c r="AB331" s="2" t="s">
        <v>1346</v>
      </c>
      <c r="AC331" s="2">
        <v>50</v>
      </c>
      <c r="AD331" s="2">
        <v>2</v>
      </c>
      <c r="AE331" s="2">
        <v>50</v>
      </c>
      <c r="AF331" s="2" t="s">
        <v>880</v>
      </c>
      <c r="AG331" s="2">
        <v>50</v>
      </c>
      <c r="AH331" s="2" t="s">
        <v>1347</v>
      </c>
      <c r="AI331" s="2">
        <v>50</v>
      </c>
      <c r="AJ331" s="2" t="s">
        <v>277</v>
      </c>
      <c r="AK331" s="2">
        <v>50</v>
      </c>
    </row>
    <row r="332" spans="1:37" x14ac:dyDescent="0.25">
      <c r="A332" s="2" t="s">
        <v>135</v>
      </c>
      <c r="B332" s="2" t="s">
        <v>256</v>
      </c>
      <c r="C332" s="2" t="s">
        <v>9</v>
      </c>
      <c r="D332" s="3">
        <v>46080.530763888892</v>
      </c>
      <c r="E332" s="2">
        <v>69.849999999999994</v>
      </c>
      <c r="F332" s="2">
        <v>130</v>
      </c>
      <c r="G332" s="2">
        <v>0</v>
      </c>
      <c r="I332" s="2" t="s">
        <v>1340</v>
      </c>
      <c r="J332" s="2" t="s">
        <v>258</v>
      </c>
      <c r="K332" s="2">
        <v>3</v>
      </c>
      <c r="L332" s="2">
        <v>3501022500</v>
      </c>
      <c r="M332" s="2">
        <v>50</v>
      </c>
      <c r="N332" s="2" t="s">
        <v>1341</v>
      </c>
      <c r="O332" s="2">
        <v>50</v>
      </c>
      <c r="P332" s="2" t="s">
        <v>260</v>
      </c>
      <c r="Q332" s="2">
        <v>50</v>
      </c>
      <c r="R332" s="2" t="s">
        <v>723</v>
      </c>
      <c r="S332" s="2">
        <v>50</v>
      </c>
      <c r="T332" s="2" t="s">
        <v>724</v>
      </c>
      <c r="U332" s="2">
        <v>50</v>
      </c>
      <c r="V332" s="2" t="s">
        <v>263</v>
      </c>
      <c r="W332" s="2">
        <v>50</v>
      </c>
      <c r="X332" s="2">
        <v>3</v>
      </c>
      <c r="Y332" s="2">
        <v>50</v>
      </c>
      <c r="Z332" s="2" t="s">
        <v>1348</v>
      </c>
      <c r="AA332" s="2">
        <v>95</v>
      </c>
      <c r="AB332" s="2" t="s">
        <v>1349</v>
      </c>
      <c r="AC332" s="2">
        <v>50</v>
      </c>
      <c r="AD332" s="2">
        <v>2</v>
      </c>
      <c r="AE332" s="2">
        <v>50</v>
      </c>
      <c r="AF332" s="2" t="s">
        <v>1350</v>
      </c>
      <c r="AG332" s="2">
        <v>50</v>
      </c>
      <c r="AH332" s="2" t="s">
        <v>1351</v>
      </c>
      <c r="AI332" s="2">
        <v>50</v>
      </c>
      <c r="AJ332" s="2" t="s">
        <v>277</v>
      </c>
      <c r="AK332" s="2">
        <v>50</v>
      </c>
    </row>
    <row r="333" spans="1:37" x14ac:dyDescent="0.25">
      <c r="A333" s="2" t="s">
        <v>135</v>
      </c>
      <c r="B333" s="2" t="s">
        <v>256</v>
      </c>
      <c r="C333" s="2" t="s">
        <v>9</v>
      </c>
      <c r="D333" s="3">
        <v>46080.530763888892</v>
      </c>
      <c r="E333" s="2">
        <v>69.849999999999994</v>
      </c>
      <c r="F333" s="2">
        <v>130</v>
      </c>
      <c r="G333" s="2">
        <v>0</v>
      </c>
      <c r="I333" s="2" t="s">
        <v>1340</v>
      </c>
      <c r="J333" s="2" t="s">
        <v>258</v>
      </c>
      <c r="K333" s="2">
        <v>4</v>
      </c>
      <c r="L333" s="2">
        <v>3501022500</v>
      </c>
      <c r="M333" s="2">
        <v>50</v>
      </c>
      <c r="N333" s="2" t="s">
        <v>1341</v>
      </c>
      <c r="O333" s="2">
        <v>50</v>
      </c>
      <c r="P333" s="2" t="s">
        <v>260</v>
      </c>
      <c r="Q333" s="2">
        <v>50</v>
      </c>
      <c r="R333" s="2" t="s">
        <v>723</v>
      </c>
      <c r="S333" s="2">
        <v>50</v>
      </c>
      <c r="T333" s="2" t="s">
        <v>724</v>
      </c>
      <c r="U333" s="2">
        <v>50</v>
      </c>
      <c r="V333" s="2" t="s">
        <v>263</v>
      </c>
      <c r="W333" s="2">
        <v>50</v>
      </c>
      <c r="X333" s="2">
        <v>4</v>
      </c>
      <c r="Y333" s="2">
        <v>50</v>
      </c>
      <c r="Z333" s="2" t="s">
        <v>1352</v>
      </c>
      <c r="AA333" s="2">
        <v>90</v>
      </c>
      <c r="AB333" s="2" t="s">
        <v>1353</v>
      </c>
      <c r="AC333" s="2">
        <v>50</v>
      </c>
      <c r="AD333" s="2">
        <v>1</v>
      </c>
      <c r="AE333" s="2">
        <v>50</v>
      </c>
      <c r="AF333" s="2" t="s">
        <v>1354</v>
      </c>
      <c r="AG333" s="2">
        <v>50</v>
      </c>
      <c r="AH333" s="2" t="s">
        <v>1355</v>
      </c>
      <c r="AI333" s="2">
        <v>50</v>
      </c>
      <c r="AJ333" s="2" t="s">
        <v>277</v>
      </c>
      <c r="AK333" s="2">
        <v>50</v>
      </c>
    </row>
    <row r="334" spans="1:37" x14ac:dyDescent="0.25">
      <c r="A334" s="2" t="s">
        <v>135</v>
      </c>
      <c r="B334" s="2" t="s">
        <v>256</v>
      </c>
      <c r="C334" s="2" t="s">
        <v>9</v>
      </c>
      <c r="D334" s="3">
        <v>46080.530763888892</v>
      </c>
      <c r="E334" s="2">
        <v>69.849999999999994</v>
      </c>
      <c r="F334" s="2">
        <v>130</v>
      </c>
      <c r="G334" s="2">
        <v>0</v>
      </c>
      <c r="I334" s="2" t="s">
        <v>1340</v>
      </c>
      <c r="J334" s="2" t="s">
        <v>258</v>
      </c>
      <c r="K334" s="2">
        <v>5</v>
      </c>
      <c r="L334" s="2">
        <v>3501022500</v>
      </c>
      <c r="M334" s="2">
        <v>50</v>
      </c>
      <c r="N334" s="2" t="s">
        <v>1341</v>
      </c>
      <c r="O334" s="2">
        <v>50</v>
      </c>
      <c r="P334" s="2" t="s">
        <v>260</v>
      </c>
      <c r="Q334" s="2">
        <v>50</v>
      </c>
      <c r="R334" s="2" t="s">
        <v>723</v>
      </c>
      <c r="S334" s="2">
        <v>50</v>
      </c>
      <c r="T334" s="2" t="s">
        <v>724</v>
      </c>
      <c r="U334" s="2">
        <v>50</v>
      </c>
      <c r="V334" s="2" t="s">
        <v>263</v>
      </c>
      <c r="W334" s="2">
        <v>50</v>
      </c>
      <c r="X334" s="2">
        <v>5</v>
      </c>
      <c r="Y334" s="2">
        <v>50</v>
      </c>
      <c r="Z334" s="2" t="s">
        <v>1356</v>
      </c>
      <c r="AA334" s="2">
        <v>92</v>
      </c>
      <c r="AB334" s="2" t="s">
        <v>1357</v>
      </c>
      <c r="AC334" s="2">
        <v>50</v>
      </c>
      <c r="AD334" s="2">
        <v>2</v>
      </c>
      <c r="AE334" s="2">
        <v>50</v>
      </c>
      <c r="AF334" s="2" t="s">
        <v>880</v>
      </c>
      <c r="AG334" s="2">
        <v>50</v>
      </c>
      <c r="AH334" s="2" t="s">
        <v>1358</v>
      </c>
      <c r="AI334" s="2">
        <v>50</v>
      </c>
      <c r="AJ334" s="2" t="s">
        <v>277</v>
      </c>
      <c r="AK334" s="2">
        <v>50</v>
      </c>
    </row>
    <row r="335" spans="1:37" x14ac:dyDescent="0.25">
      <c r="A335" s="2" t="s">
        <v>135</v>
      </c>
      <c r="B335" s="2" t="s">
        <v>256</v>
      </c>
      <c r="C335" s="2" t="s">
        <v>9</v>
      </c>
      <c r="D335" s="3">
        <v>46080.530763888892</v>
      </c>
      <c r="E335" s="2">
        <v>69.849999999999994</v>
      </c>
      <c r="F335" s="2">
        <v>130</v>
      </c>
      <c r="G335" s="2">
        <v>0</v>
      </c>
      <c r="I335" s="2" t="s">
        <v>1340</v>
      </c>
      <c r="J335" s="2" t="s">
        <v>258</v>
      </c>
      <c r="K335" s="2">
        <v>6</v>
      </c>
      <c r="L335" s="2">
        <v>3501022500</v>
      </c>
      <c r="M335" s="2">
        <v>50</v>
      </c>
      <c r="N335" s="2" t="s">
        <v>1341</v>
      </c>
      <c r="O335" s="2">
        <v>50</v>
      </c>
      <c r="P335" s="2" t="s">
        <v>260</v>
      </c>
      <c r="Q335" s="2">
        <v>50</v>
      </c>
      <c r="R335" s="2" t="s">
        <v>723</v>
      </c>
      <c r="S335" s="2">
        <v>50</v>
      </c>
      <c r="T335" s="2" t="s">
        <v>724</v>
      </c>
      <c r="U335" s="2">
        <v>50</v>
      </c>
      <c r="V335" s="2" t="s">
        <v>263</v>
      </c>
      <c r="W335" s="2">
        <v>50</v>
      </c>
      <c r="X335" s="2">
        <v>6</v>
      </c>
      <c r="Y335" s="2">
        <v>50</v>
      </c>
      <c r="Z335" s="2" t="s">
        <v>1359</v>
      </c>
      <c r="AA335" s="2">
        <v>92</v>
      </c>
      <c r="AB335" s="2" t="s">
        <v>1360</v>
      </c>
      <c r="AC335" s="2">
        <v>50</v>
      </c>
      <c r="AD335" s="2">
        <v>5</v>
      </c>
      <c r="AE335" s="2">
        <v>50</v>
      </c>
      <c r="AF335" s="2" t="s">
        <v>904</v>
      </c>
      <c r="AG335" s="2">
        <v>50</v>
      </c>
      <c r="AH335" s="2" t="s">
        <v>1361</v>
      </c>
      <c r="AI335" s="2">
        <v>50</v>
      </c>
      <c r="AJ335" s="2" t="s">
        <v>277</v>
      </c>
      <c r="AK335" s="2">
        <v>50</v>
      </c>
    </row>
    <row r="336" spans="1:37" x14ac:dyDescent="0.25">
      <c r="A336" s="2" t="s">
        <v>135</v>
      </c>
      <c r="B336" s="2" t="s">
        <v>256</v>
      </c>
      <c r="C336" s="2" t="s">
        <v>9</v>
      </c>
      <c r="D336" s="3">
        <v>46080.530763888892</v>
      </c>
      <c r="E336" s="2">
        <v>69.849999999999994</v>
      </c>
      <c r="F336" s="2">
        <v>130</v>
      </c>
      <c r="G336" s="2">
        <v>0</v>
      </c>
      <c r="I336" s="2" t="s">
        <v>1340</v>
      </c>
      <c r="J336" s="2" t="s">
        <v>258</v>
      </c>
      <c r="K336" s="2">
        <v>7</v>
      </c>
      <c r="L336" s="2">
        <v>3501022500</v>
      </c>
      <c r="M336" s="2">
        <v>50</v>
      </c>
      <c r="N336" s="2" t="s">
        <v>1341</v>
      </c>
      <c r="O336" s="2">
        <v>50</v>
      </c>
      <c r="P336" s="2" t="s">
        <v>260</v>
      </c>
      <c r="Q336" s="2">
        <v>50</v>
      </c>
      <c r="R336" s="2" t="s">
        <v>723</v>
      </c>
      <c r="S336" s="2">
        <v>50</v>
      </c>
      <c r="T336" s="2" t="s">
        <v>724</v>
      </c>
      <c r="U336" s="2">
        <v>50</v>
      </c>
      <c r="V336" s="2" t="s">
        <v>263</v>
      </c>
      <c r="W336" s="2">
        <v>50</v>
      </c>
      <c r="X336" s="2">
        <v>7</v>
      </c>
      <c r="Y336" s="2">
        <v>50</v>
      </c>
      <c r="Z336" s="2" t="s">
        <v>1362</v>
      </c>
      <c r="AA336" s="2">
        <v>92</v>
      </c>
      <c r="AB336" s="2" t="s">
        <v>1363</v>
      </c>
      <c r="AC336" s="2">
        <v>50</v>
      </c>
      <c r="AD336" s="2">
        <v>10</v>
      </c>
      <c r="AE336" s="2">
        <v>50</v>
      </c>
      <c r="AF336" s="2" t="s">
        <v>904</v>
      </c>
      <c r="AG336" s="2">
        <v>50</v>
      </c>
      <c r="AH336" s="2" t="s">
        <v>1364</v>
      </c>
      <c r="AI336" s="2">
        <v>50</v>
      </c>
      <c r="AJ336" s="2" t="s">
        <v>277</v>
      </c>
      <c r="AK336" s="2">
        <v>50</v>
      </c>
    </row>
    <row r="337" spans="1:37" x14ac:dyDescent="0.25">
      <c r="A337" s="2" t="s">
        <v>135</v>
      </c>
      <c r="B337" s="2" t="s">
        <v>256</v>
      </c>
      <c r="C337" s="2" t="s">
        <v>9</v>
      </c>
      <c r="D337" s="3">
        <v>46080.530763888892</v>
      </c>
      <c r="E337" s="2">
        <v>69.849999999999994</v>
      </c>
      <c r="F337" s="2">
        <v>130</v>
      </c>
      <c r="G337" s="2">
        <v>0</v>
      </c>
      <c r="I337" s="2" t="s">
        <v>1340</v>
      </c>
      <c r="J337" s="2" t="s">
        <v>258</v>
      </c>
      <c r="K337" s="2">
        <v>8</v>
      </c>
      <c r="L337" s="2">
        <v>3501022500</v>
      </c>
      <c r="M337" s="2">
        <v>50</v>
      </c>
      <c r="N337" s="2" t="s">
        <v>1341</v>
      </c>
      <c r="O337" s="2">
        <v>50</v>
      </c>
      <c r="P337" s="2" t="s">
        <v>260</v>
      </c>
      <c r="Q337" s="2">
        <v>50</v>
      </c>
      <c r="R337" s="2" t="s">
        <v>723</v>
      </c>
      <c r="S337" s="2">
        <v>50</v>
      </c>
      <c r="T337" s="2" t="s">
        <v>724</v>
      </c>
      <c r="U337" s="2">
        <v>50</v>
      </c>
      <c r="V337" s="2" t="s">
        <v>263</v>
      </c>
      <c r="W337" s="2">
        <v>50</v>
      </c>
      <c r="X337" s="2">
        <v>8</v>
      </c>
      <c r="Y337" s="2">
        <v>50</v>
      </c>
      <c r="Z337" s="2" t="s">
        <v>1365</v>
      </c>
      <c r="AA337" s="2">
        <v>92</v>
      </c>
      <c r="AB337" s="2" t="s">
        <v>1366</v>
      </c>
      <c r="AC337" s="2">
        <v>50</v>
      </c>
      <c r="AD337" s="2">
        <v>2</v>
      </c>
      <c r="AE337" s="2">
        <v>50</v>
      </c>
      <c r="AF337" s="2" t="s">
        <v>880</v>
      </c>
      <c r="AG337" s="2">
        <v>50</v>
      </c>
      <c r="AH337" s="2" t="s">
        <v>1367</v>
      </c>
      <c r="AI337" s="2">
        <v>50</v>
      </c>
      <c r="AJ337" s="2" t="s">
        <v>277</v>
      </c>
      <c r="AK337" s="2">
        <v>50</v>
      </c>
    </row>
    <row r="338" spans="1:37" x14ac:dyDescent="0.25">
      <c r="A338" s="2" t="s">
        <v>135</v>
      </c>
      <c r="B338" s="2" t="s">
        <v>256</v>
      </c>
      <c r="C338" s="2" t="s">
        <v>9</v>
      </c>
      <c r="D338" s="3">
        <v>46080.530763888892</v>
      </c>
      <c r="E338" s="2">
        <v>69.849999999999994</v>
      </c>
      <c r="F338" s="2">
        <v>130</v>
      </c>
      <c r="G338" s="2">
        <v>0</v>
      </c>
      <c r="I338" s="2" t="s">
        <v>1340</v>
      </c>
      <c r="J338" s="2" t="s">
        <v>258</v>
      </c>
      <c r="K338" s="2">
        <v>9</v>
      </c>
      <c r="L338" s="2">
        <v>3501022500</v>
      </c>
      <c r="M338" s="2">
        <v>50</v>
      </c>
      <c r="N338" s="2" t="s">
        <v>1341</v>
      </c>
      <c r="O338" s="2">
        <v>50</v>
      </c>
      <c r="P338" s="2" t="s">
        <v>260</v>
      </c>
      <c r="Q338" s="2">
        <v>50</v>
      </c>
      <c r="R338" s="2" t="s">
        <v>723</v>
      </c>
      <c r="S338" s="2">
        <v>50</v>
      </c>
      <c r="T338" s="2" t="s">
        <v>724</v>
      </c>
      <c r="U338" s="2">
        <v>50</v>
      </c>
      <c r="V338" s="2" t="s">
        <v>263</v>
      </c>
      <c r="W338" s="2">
        <v>50</v>
      </c>
      <c r="X338" s="2">
        <v>9</v>
      </c>
      <c r="Y338" s="2">
        <v>50</v>
      </c>
      <c r="Z338" s="2" t="s">
        <v>902</v>
      </c>
      <c r="AA338" s="2">
        <v>92</v>
      </c>
      <c r="AB338" s="2" t="s">
        <v>903</v>
      </c>
      <c r="AC338" s="2">
        <v>50</v>
      </c>
      <c r="AD338" s="2">
        <v>2</v>
      </c>
      <c r="AE338" s="2">
        <v>50</v>
      </c>
      <c r="AF338" s="2" t="s">
        <v>904</v>
      </c>
      <c r="AG338" s="2">
        <v>50</v>
      </c>
      <c r="AH338" s="2" t="s">
        <v>1368</v>
      </c>
      <c r="AI338" s="2">
        <v>50</v>
      </c>
      <c r="AJ338" s="2" t="s">
        <v>277</v>
      </c>
      <c r="AK338" s="2">
        <v>50</v>
      </c>
    </row>
    <row r="339" spans="1:37" x14ac:dyDescent="0.25">
      <c r="A339" s="2" t="s">
        <v>135</v>
      </c>
      <c r="B339" s="2" t="s">
        <v>256</v>
      </c>
      <c r="C339" s="2" t="s">
        <v>9</v>
      </c>
      <c r="D339" s="3">
        <v>46080.530763888892</v>
      </c>
      <c r="E339" s="2">
        <v>69.849999999999994</v>
      </c>
      <c r="F339" s="2">
        <v>130</v>
      </c>
      <c r="G339" s="2">
        <v>0</v>
      </c>
      <c r="I339" s="2" t="s">
        <v>1340</v>
      </c>
      <c r="J339" s="2" t="s">
        <v>258</v>
      </c>
      <c r="K339" s="2">
        <v>10</v>
      </c>
      <c r="L339" s="2">
        <v>3501022500</v>
      </c>
      <c r="M339" s="2">
        <v>50</v>
      </c>
      <c r="N339" s="2" t="s">
        <v>1341</v>
      </c>
      <c r="O339" s="2">
        <v>50</v>
      </c>
      <c r="P339" s="2" t="s">
        <v>260</v>
      </c>
      <c r="Q339" s="2">
        <v>50</v>
      </c>
      <c r="R339" s="2" t="s">
        <v>723</v>
      </c>
      <c r="S339" s="2">
        <v>50</v>
      </c>
      <c r="T339" s="2" t="s">
        <v>724</v>
      </c>
      <c r="U339" s="2">
        <v>50</v>
      </c>
      <c r="V339" s="2" t="s">
        <v>263</v>
      </c>
      <c r="W339" s="2">
        <v>50</v>
      </c>
      <c r="X339" s="2">
        <v>10</v>
      </c>
      <c r="Y339" s="2">
        <v>50</v>
      </c>
      <c r="Z339" s="2" t="s">
        <v>1369</v>
      </c>
      <c r="AA339" s="2">
        <v>92</v>
      </c>
      <c r="AB339" s="2" t="s">
        <v>1370</v>
      </c>
      <c r="AC339" s="2">
        <v>50</v>
      </c>
      <c r="AD339" s="2">
        <v>2</v>
      </c>
      <c r="AE339" s="2">
        <v>50</v>
      </c>
      <c r="AF339" s="2" t="s">
        <v>1371</v>
      </c>
      <c r="AG339" s="2">
        <v>50</v>
      </c>
      <c r="AH339" s="2" t="s">
        <v>1372</v>
      </c>
      <c r="AI339" s="2">
        <v>50</v>
      </c>
      <c r="AJ339" s="2" t="s">
        <v>277</v>
      </c>
      <c r="AK339" s="2">
        <v>50</v>
      </c>
    </row>
    <row r="340" spans="1:37" x14ac:dyDescent="0.25">
      <c r="A340" s="2" t="s">
        <v>148</v>
      </c>
      <c r="B340" s="2" t="s">
        <v>256</v>
      </c>
      <c r="C340" s="2" t="s">
        <v>9</v>
      </c>
      <c r="D340" s="3">
        <v>46080.530763888892</v>
      </c>
      <c r="E340" s="2">
        <v>64</v>
      </c>
      <c r="F340" s="2">
        <v>546</v>
      </c>
      <c r="G340" s="2">
        <v>0</v>
      </c>
      <c r="I340" s="2" t="s">
        <v>1373</v>
      </c>
      <c r="J340" s="2" t="s">
        <v>258</v>
      </c>
      <c r="K340" s="2">
        <v>1</v>
      </c>
      <c r="L340" s="2">
        <v>3505026681</v>
      </c>
      <c r="M340" s="2">
        <v>50</v>
      </c>
      <c r="N340" s="2" t="s">
        <v>1374</v>
      </c>
      <c r="O340" s="2">
        <v>50</v>
      </c>
      <c r="P340" s="2" t="s">
        <v>260</v>
      </c>
      <c r="Q340" s="2">
        <v>50</v>
      </c>
      <c r="R340" s="2" t="s">
        <v>1324</v>
      </c>
      <c r="S340" s="2">
        <v>50</v>
      </c>
      <c r="T340" s="2" t="s">
        <v>272</v>
      </c>
      <c r="U340" s="2">
        <v>50</v>
      </c>
      <c r="V340" s="2" t="s">
        <v>263</v>
      </c>
      <c r="W340" s="2">
        <v>50</v>
      </c>
      <c r="X340" s="2">
        <v>10</v>
      </c>
      <c r="Y340" s="2">
        <v>50</v>
      </c>
      <c r="Z340" s="2" t="s">
        <v>1375</v>
      </c>
      <c r="AA340" s="2">
        <v>50</v>
      </c>
      <c r="AB340" s="2" t="s">
        <v>1376</v>
      </c>
      <c r="AC340" s="2">
        <v>50</v>
      </c>
      <c r="AD340" s="2">
        <v>15</v>
      </c>
      <c r="AE340" s="2">
        <v>50</v>
      </c>
      <c r="AF340" s="2" t="s">
        <v>346</v>
      </c>
      <c r="AG340" s="2">
        <v>50</v>
      </c>
      <c r="AH340" s="2" t="s">
        <v>1377</v>
      </c>
      <c r="AI340" s="2">
        <v>50</v>
      </c>
      <c r="AJ340" s="2" t="s">
        <v>268</v>
      </c>
      <c r="AK340" s="2">
        <v>50</v>
      </c>
    </row>
    <row r="341" spans="1:37" x14ac:dyDescent="0.25">
      <c r="A341" s="2" t="s">
        <v>148</v>
      </c>
      <c r="B341" s="2" t="s">
        <v>256</v>
      </c>
      <c r="C341" s="2" t="s">
        <v>9</v>
      </c>
      <c r="D341" s="3">
        <v>46080.530763888892</v>
      </c>
      <c r="E341" s="2">
        <v>64</v>
      </c>
      <c r="F341" s="2">
        <v>546</v>
      </c>
      <c r="G341" s="2">
        <v>0</v>
      </c>
      <c r="I341" s="2" t="s">
        <v>1373</v>
      </c>
      <c r="J341" s="2" t="s">
        <v>258</v>
      </c>
      <c r="K341" s="2">
        <v>2</v>
      </c>
      <c r="L341" s="2">
        <v>3505026681</v>
      </c>
      <c r="M341" s="2">
        <v>50</v>
      </c>
      <c r="N341" s="2" t="s">
        <v>1374</v>
      </c>
      <c r="O341" s="2">
        <v>50</v>
      </c>
      <c r="P341" s="2" t="s">
        <v>260</v>
      </c>
      <c r="Q341" s="2">
        <v>50</v>
      </c>
      <c r="R341" s="2" t="s">
        <v>1324</v>
      </c>
      <c r="S341" s="2">
        <v>50</v>
      </c>
      <c r="T341" s="2" t="s">
        <v>272</v>
      </c>
      <c r="U341" s="2">
        <v>50</v>
      </c>
      <c r="V341" s="2" t="s">
        <v>263</v>
      </c>
      <c r="W341" s="2">
        <v>50</v>
      </c>
      <c r="X341" s="2">
        <v>20</v>
      </c>
      <c r="Y341" s="2">
        <v>50</v>
      </c>
      <c r="Z341" s="2" t="s">
        <v>1378</v>
      </c>
      <c r="AA341" s="2">
        <v>50</v>
      </c>
      <c r="AB341" s="2" t="s">
        <v>1379</v>
      </c>
      <c r="AC341" s="2">
        <v>50</v>
      </c>
      <c r="AD341" s="2">
        <v>5</v>
      </c>
      <c r="AE341" s="2">
        <v>50</v>
      </c>
      <c r="AF341" s="2" t="s">
        <v>1380</v>
      </c>
      <c r="AG341" s="2">
        <v>50</v>
      </c>
      <c r="AH341" s="2" t="s">
        <v>1381</v>
      </c>
      <c r="AI341" s="2">
        <v>50</v>
      </c>
      <c r="AJ341" s="2" t="s">
        <v>268</v>
      </c>
      <c r="AK341" s="2">
        <v>50</v>
      </c>
    </row>
    <row r="342" spans="1:37" x14ac:dyDescent="0.25">
      <c r="A342" s="2" t="s">
        <v>148</v>
      </c>
      <c r="B342" s="2" t="s">
        <v>256</v>
      </c>
      <c r="C342" s="2" t="s">
        <v>9</v>
      </c>
      <c r="D342" s="3">
        <v>46080.530763888892</v>
      </c>
      <c r="E342" s="2">
        <v>64</v>
      </c>
      <c r="F342" s="2">
        <v>546</v>
      </c>
      <c r="G342" s="2">
        <v>0</v>
      </c>
      <c r="I342" s="2" t="s">
        <v>1373</v>
      </c>
      <c r="J342" s="2" t="s">
        <v>258</v>
      </c>
      <c r="K342" s="2">
        <v>3</v>
      </c>
      <c r="L342" s="2">
        <v>3505026681</v>
      </c>
      <c r="M342" s="2">
        <v>50</v>
      </c>
      <c r="N342" s="2" t="s">
        <v>1374</v>
      </c>
      <c r="O342" s="2">
        <v>50</v>
      </c>
      <c r="P342" s="2" t="s">
        <v>260</v>
      </c>
      <c r="Q342" s="2">
        <v>50</v>
      </c>
      <c r="R342" s="2" t="s">
        <v>1324</v>
      </c>
      <c r="S342" s="2">
        <v>50</v>
      </c>
      <c r="T342" s="2" t="s">
        <v>272</v>
      </c>
      <c r="U342" s="2">
        <v>50</v>
      </c>
      <c r="V342" s="2" t="s">
        <v>263</v>
      </c>
      <c r="W342" s="2">
        <v>50</v>
      </c>
      <c r="X342" s="2">
        <v>30</v>
      </c>
      <c r="Y342" s="2">
        <v>50</v>
      </c>
      <c r="Z342" s="2" t="s">
        <v>1382</v>
      </c>
      <c r="AA342" s="2">
        <v>50</v>
      </c>
      <c r="AB342" s="2" t="s">
        <v>1383</v>
      </c>
      <c r="AC342" s="2">
        <v>50</v>
      </c>
      <c r="AD342" s="2">
        <v>5</v>
      </c>
      <c r="AE342" s="2">
        <v>50</v>
      </c>
      <c r="AF342" s="2" t="s">
        <v>1380</v>
      </c>
      <c r="AG342" s="2">
        <v>50</v>
      </c>
      <c r="AH342" s="2" t="s">
        <v>1384</v>
      </c>
      <c r="AI342" s="2">
        <v>50</v>
      </c>
      <c r="AJ342" s="2" t="s">
        <v>268</v>
      </c>
      <c r="AK342" s="2">
        <v>50</v>
      </c>
    </row>
    <row r="343" spans="1:37" x14ac:dyDescent="0.25">
      <c r="A343" s="2" t="s">
        <v>148</v>
      </c>
      <c r="B343" s="2" t="s">
        <v>256</v>
      </c>
      <c r="C343" s="2" t="s">
        <v>9</v>
      </c>
      <c r="D343" s="3">
        <v>46080.530763888892</v>
      </c>
      <c r="E343" s="2">
        <v>64</v>
      </c>
      <c r="F343" s="2">
        <v>546</v>
      </c>
      <c r="G343" s="2">
        <v>0</v>
      </c>
      <c r="I343" s="2" t="s">
        <v>1373</v>
      </c>
      <c r="J343" s="2" t="s">
        <v>258</v>
      </c>
      <c r="K343" s="2">
        <v>4</v>
      </c>
      <c r="L343" s="2">
        <v>3505026681</v>
      </c>
      <c r="M343" s="2">
        <v>50</v>
      </c>
      <c r="N343" s="2" t="s">
        <v>1374</v>
      </c>
      <c r="O343" s="2">
        <v>50</v>
      </c>
      <c r="P343" s="2" t="s">
        <v>260</v>
      </c>
      <c r="Q343" s="2">
        <v>50</v>
      </c>
      <c r="R343" s="2" t="s">
        <v>1324</v>
      </c>
      <c r="S343" s="2">
        <v>50</v>
      </c>
      <c r="T343" s="2" t="s">
        <v>272</v>
      </c>
      <c r="U343" s="2">
        <v>50</v>
      </c>
      <c r="V343" s="2" t="s">
        <v>263</v>
      </c>
      <c r="W343" s="2">
        <v>50</v>
      </c>
      <c r="X343" s="2">
        <v>40</v>
      </c>
      <c r="Y343" s="2">
        <v>50</v>
      </c>
      <c r="Z343" s="2" t="s">
        <v>1385</v>
      </c>
      <c r="AA343" s="2">
        <v>50</v>
      </c>
      <c r="AB343" s="2" t="s">
        <v>1386</v>
      </c>
      <c r="AC343" s="2">
        <v>50</v>
      </c>
      <c r="AD343" s="2">
        <v>30</v>
      </c>
      <c r="AE343" s="2">
        <v>50</v>
      </c>
      <c r="AF343" s="2" t="s">
        <v>1387</v>
      </c>
      <c r="AG343" s="2">
        <v>50</v>
      </c>
      <c r="AH343" s="2" t="s">
        <v>1388</v>
      </c>
      <c r="AI343" s="2">
        <v>50</v>
      </c>
      <c r="AJ343" s="2" t="s">
        <v>268</v>
      </c>
      <c r="AK343" s="2">
        <v>50</v>
      </c>
    </row>
    <row r="344" spans="1:37" x14ac:dyDescent="0.25">
      <c r="A344" s="2" t="s">
        <v>148</v>
      </c>
      <c r="B344" s="2" t="s">
        <v>256</v>
      </c>
      <c r="C344" s="2" t="s">
        <v>9</v>
      </c>
      <c r="D344" s="3">
        <v>46080.530763888892</v>
      </c>
      <c r="E344" s="2">
        <v>64</v>
      </c>
      <c r="F344" s="2">
        <v>546</v>
      </c>
      <c r="G344" s="2">
        <v>0</v>
      </c>
      <c r="I344" s="2" t="s">
        <v>1373</v>
      </c>
      <c r="J344" s="2" t="s">
        <v>258</v>
      </c>
      <c r="K344" s="2">
        <v>5</v>
      </c>
      <c r="L344" s="2">
        <v>3505026681</v>
      </c>
      <c r="M344" s="2">
        <v>50</v>
      </c>
      <c r="N344" s="2" t="s">
        <v>1374</v>
      </c>
      <c r="O344" s="2">
        <v>50</v>
      </c>
      <c r="P344" s="2" t="s">
        <v>260</v>
      </c>
      <c r="Q344" s="2">
        <v>50</v>
      </c>
      <c r="R344" s="2" t="s">
        <v>1324</v>
      </c>
      <c r="S344" s="2">
        <v>50</v>
      </c>
      <c r="T344" s="2" t="s">
        <v>272</v>
      </c>
      <c r="U344" s="2">
        <v>50</v>
      </c>
      <c r="V344" s="2" t="s">
        <v>263</v>
      </c>
      <c r="W344" s="2">
        <v>50</v>
      </c>
      <c r="X344" s="2">
        <v>50</v>
      </c>
      <c r="Y344" s="2">
        <v>50</v>
      </c>
      <c r="Z344" s="2" t="s">
        <v>1389</v>
      </c>
      <c r="AA344" s="2">
        <v>50</v>
      </c>
      <c r="AB344" s="2" t="s">
        <v>1390</v>
      </c>
      <c r="AC344" s="2">
        <v>50</v>
      </c>
      <c r="AD344" s="2">
        <v>48</v>
      </c>
      <c r="AE344" s="2">
        <v>50</v>
      </c>
      <c r="AF344" s="2" t="s">
        <v>1391</v>
      </c>
      <c r="AG344" s="2">
        <v>50</v>
      </c>
      <c r="AH344" s="2" t="s">
        <v>1392</v>
      </c>
      <c r="AI344" s="2">
        <v>50</v>
      </c>
      <c r="AJ344" s="2" t="s">
        <v>268</v>
      </c>
      <c r="AK344" s="2">
        <v>50</v>
      </c>
    </row>
    <row r="345" spans="1:37" x14ac:dyDescent="0.25">
      <c r="A345" s="2" t="s">
        <v>148</v>
      </c>
      <c r="B345" s="2" t="s">
        <v>256</v>
      </c>
      <c r="C345" s="2" t="s">
        <v>9</v>
      </c>
      <c r="D345" s="3">
        <v>46080.530763888892</v>
      </c>
      <c r="E345" s="2">
        <v>64</v>
      </c>
      <c r="F345" s="2">
        <v>546</v>
      </c>
      <c r="G345" s="2">
        <v>0</v>
      </c>
      <c r="I345" s="2" t="s">
        <v>1373</v>
      </c>
      <c r="J345" s="2" t="s">
        <v>258</v>
      </c>
      <c r="K345" s="2">
        <v>6</v>
      </c>
      <c r="L345" s="2">
        <v>3505026681</v>
      </c>
      <c r="M345" s="2">
        <v>50</v>
      </c>
      <c r="N345" s="2" t="s">
        <v>1374</v>
      </c>
      <c r="O345" s="2">
        <v>50</v>
      </c>
      <c r="P345" s="2" t="s">
        <v>260</v>
      </c>
      <c r="Q345" s="2">
        <v>50</v>
      </c>
      <c r="R345" s="2" t="s">
        <v>1324</v>
      </c>
      <c r="S345" s="2">
        <v>50</v>
      </c>
      <c r="T345" s="2" t="s">
        <v>272</v>
      </c>
      <c r="U345" s="2">
        <v>50</v>
      </c>
      <c r="V345" s="2" t="s">
        <v>263</v>
      </c>
      <c r="W345" s="2">
        <v>50</v>
      </c>
      <c r="X345" s="2">
        <v>60</v>
      </c>
      <c r="Y345" s="2">
        <v>50</v>
      </c>
      <c r="Z345" s="2" t="s">
        <v>1393</v>
      </c>
      <c r="AA345" s="2">
        <v>50</v>
      </c>
      <c r="AB345" s="2" t="s">
        <v>1394</v>
      </c>
      <c r="AC345" s="2">
        <v>50</v>
      </c>
      <c r="AD345" s="2">
        <v>3</v>
      </c>
      <c r="AE345" s="2">
        <v>50</v>
      </c>
      <c r="AF345" s="2" t="s">
        <v>1380</v>
      </c>
      <c r="AG345" s="2">
        <v>50</v>
      </c>
      <c r="AH345" s="2" t="s">
        <v>1395</v>
      </c>
      <c r="AI345" s="2">
        <v>50</v>
      </c>
      <c r="AJ345" s="2" t="s">
        <v>268</v>
      </c>
      <c r="AK345" s="2">
        <v>50</v>
      </c>
    </row>
    <row r="346" spans="1:37" x14ac:dyDescent="0.25">
      <c r="A346" s="2" t="s">
        <v>148</v>
      </c>
      <c r="B346" s="2" t="s">
        <v>256</v>
      </c>
      <c r="C346" s="2" t="s">
        <v>9</v>
      </c>
      <c r="D346" s="3">
        <v>46080.530763888892</v>
      </c>
      <c r="E346" s="2">
        <v>64</v>
      </c>
      <c r="F346" s="2">
        <v>546</v>
      </c>
      <c r="G346" s="2">
        <v>0</v>
      </c>
      <c r="I346" s="2" t="s">
        <v>1373</v>
      </c>
      <c r="J346" s="2" t="s">
        <v>258</v>
      </c>
      <c r="K346" s="2">
        <v>7</v>
      </c>
      <c r="L346" s="2">
        <v>3505026681</v>
      </c>
      <c r="M346" s="2">
        <v>50</v>
      </c>
      <c r="N346" s="2" t="s">
        <v>1374</v>
      </c>
      <c r="O346" s="2">
        <v>50</v>
      </c>
      <c r="P346" s="2" t="s">
        <v>260</v>
      </c>
      <c r="Q346" s="2">
        <v>50</v>
      </c>
      <c r="R346" s="2" t="s">
        <v>1324</v>
      </c>
      <c r="S346" s="2">
        <v>50</v>
      </c>
      <c r="T346" s="2" t="s">
        <v>272</v>
      </c>
      <c r="U346" s="2">
        <v>50</v>
      </c>
      <c r="V346" s="2" t="s">
        <v>263</v>
      </c>
      <c r="W346" s="2">
        <v>50</v>
      </c>
      <c r="X346" s="2">
        <v>70</v>
      </c>
      <c r="Y346" s="2">
        <v>50</v>
      </c>
      <c r="Z346" s="2" t="s">
        <v>1396</v>
      </c>
      <c r="AA346" s="2">
        <v>50</v>
      </c>
      <c r="AB346" s="2" t="s">
        <v>1397</v>
      </c>
      <c r="AC346" s="2">
        <v>50</v>
      </c>
      <c r="AD346" s="2">
        <v>3</v>
      </c>
      <c r="AE346" s="2">
        <v>50</v>
      </c>
      <c r="AF346" s="2" t="s">
        <v>1387</v>
      </c>
      <c r="AG346" s="2">
        <v>50</v>
      </c>
      <c r="AH346" s="2" t="s">
        <v>1398</v>
      </c>
      <c r="AI346" s="2">
        <v>50</v>
      </c>
      <c r="AJ346" s="2" t="s">
        <v>268</v>
      </c>
      <c r="AK346" s="2">
        <v>50</v>
      </c>
    </row>
    <row r="347" spans="1:37" x14ac:dyDescent="0.25">
      <c r="A347" s="2" t="s">
        <v>148</v>
      </c>
      <c r="B347" s="2" t="s">
        <v>256</v>
      </c>
      <c r="C347" s="2" t="s">
        <v>9</v>
      </c>
      <c r="D347" s="3">
        <v>46080.530763888892</v>
      </c>
      <c r="E347" s="2">
        <v>64</v>
      </c>
      <c r="F347" s="2">
        <v>546</v>
      </c>
      <c r="G347" s="2">
        <v>0</v>
      </c>
      <c r="I347" s="2" t="s">
        <v>1373</v>
      </c>
      <c r="J347" s="2" t="s">
        <v>258</v>
      </c>
      <c r="K347" s="2">
        <v>8</v>
      </c>
      <c r="L347" s="2">
        <v>3505026681</v>
      </c>
      <c r="M347" s="2">
        <v>50</v>
      </c>
      <c r="N347" s="2" t="s">
        <v>1374</v>
      </c>
      <c r="O347" s="2">
        <v>50</v>
      </c>
      <c r="P347" s="2" t="s">
        <v>260</v>
      </c>
      <c r="Q347" s="2">
        <v>50</v>
      </c>
      <c r="R347" s="2" t="s">
        <v>1324</v>
      </c>
      <c r="S347" s="2">
        <v>50</v>
      </c>
      <c r="T347" s="2" t="s">
        <v>272</v>
      </c>
      <c r="U347" s="2">
        <v>50</v>
      </c>
      <c r="V347" s="2" t="s">
        <v>263</v>
      </c>
      <c r="W347" s="2">
        <v>50</v>
      </c>
      <c r="X347" s="2">
        <v>80</v>
      </c>
      <c r="Y347" s="2">
        <v>50</v>
      </c>
      <c r="Z347" s="2" t="s">
        <v>1399</v>
      </c>
      <c r="AA347" s="2">
        <v>50</v>
      </c>
      <c r="AB347" s="2" t="s">
        <v>1400</v>
      </c>
      <c r="AC347" s="2">
        <v>50</v>
      </c>
      <c r="AD347" s="2">
        <v>10</v>
      </c>
      <c r="AE347" s="2">
        <v>50</v>
      </c>
      <c r="AF347" s="2" t="s">
        <v>1387</v>
      </c>
      <c r="AG347" s="2">
        <v>50</v>
      </c>
      <c r="AH347" s="2" t="s">
        <v>1401</v>
      </c>
      <c r="AI347" s="2">
        <v>50</v>
      </c>
      <c r="AJ347" s="2" t="s">
        <v>268</v>
      </c>
      <c r="AK347" s="2">
        <v>50</v>
      </c>
    </row>
    <row r="348" spans="1:37" x14ac:dyDescent="0.25">
      <c r="A348" s="2" t="s">
        <v>148</v>
      </c>
      <c r="B348" s="2" t="s">
        <v>256</v>
      </c>
      <c r="C348" s="2" t="s">
        <v>9</v>
      </c>
      <c r="D348" s="3">
        <v>46080.530763888892</v>
      </c>
      <c r="E348" s="2">
        <v>64</v>
      </c>
      <c r="F348" s="2">
        <v>546</v>
      </c>
      <c r="G348" s="2">
        <v>0</v>
      </c>
      <c r="I348" s="2" t="s">
        <v>1373</v>
      </c>
      <c r="J348" s="2" t="s">
        <v>258</v>
      </c>
      <c r="K348" s="2">
        <v>9</v>
      </c>
      <c r="L348" s="2">
        <v>3505026681</v>
      </c>
      <c r="M348" s="2">
        <v>50</v>
      </c>
      <c r="N348" s="2" t="s">
        <v>1374</v>
      </c>
      <c r="O348" s="2">
        <v>50</v>
      </c>
      <c r="P348" s="2" t="s">
        <v>260</v>
      </c>
      <c r="Q348" s="2">
        <v>50</v>
      </c>
      <c r="R348" s="2" t="s">
        <v>1324</v>
      </c>
      <c r="S348" s="2">
        <v>50</v>
      </c>
      <c r="T348" s="2" t="s">
        <v>272</v>
      </c>
      <c r="U348" s="2">
        <v>50</v>
      </c>
      <c r="V348" s="2" t="s">
        <v>263</v>
      </c>
      <c r="W348" s="2">
        <v>50</v>
      </c>
      <c r="X348" s="2">
        <v>90</v>
      </c>
      <c r="Y348" s="2">
        <v>50</v>
      </c>
      <c r="Z348" s="2" t="s">
        <v>1402</v>
      </c>
      <c r="AA348" s="2">
        <v>50</v>
      </c>
      <c r="AB348" s="2" t="s">
        <v>1403</v>
      </c>
      <c r="AC348" s="2">
        <v>50</v>
      </c>
      <c r="AD348" s="2">
        <v>4</v>
      </c>
      <c r="AE348" s="2">
        <v>50</v>
      </c>
      <c r="AF348" s="2" t="s">
        <v>1387</v>
      </c>
      <c r="AG348" s="2">
        <v>50</v>
      </c>
      <c r="AH348" s="2" t="s">
        <v>1404</v>
      </c>
      <c r="AI348" s="2">
        <v>50</v>
      </c>
      <c r="AJ348" s="2" t="s">
        <v>268</v>
      </c>
      <c r="AK348" s="2">
        <v>50</v>
      </c>
    </row>
    <row r="349" spans="1:37" x14ac:dyDescent="0.25">
      <c r="A349" s="2" t="s">
        <v>148</v>
      </c>
      <c r="B349" s="2" t="s">
        <v>256</v>
      </c>
      <c r="C349" s="2" t="s">
        <v>9</v>
      </c>
      <c r="D349" s="3">
        <v>46080.530763888892</v>
      </c>
      <c r="E349" s="2">
        <v>64</v>
      </c>
      <c r="F349" s="2">
        <v>546</v>
      </c>
      <c r="G349" s="2">
        <v>0</v>
      </c>
      <c r="I349" s="2" t="s">
        <v>1373</v>
      </c>
      <c r="J349" s="2" t="s">
        <v>258</v>
      </c>
      <c r="K349" s="2">
        <v>10</v>
      </c>
      <c r="L349" s="2">
        <v>3505026681</v>
      </c>
      <c r="M349" s="2">
        <v>50</v>
      </c>
      <c r="N349" s="2" t="s">
        <v>1374</v>
      </c>
      <c r="O349" s="2">
        <v>50</v>
      </c>
      <c r="P349" s="2" t="s">
        <v>260</v>
      </c>
      <c r="Q349" s="2">
        <v>50</v>
      </c>
      <c r="R349" s="2" t="s">
        <v>1324</v>
      </c>
      <c r="S349" s="2">
        <v>50</v>
      </c>
      <c r="T349" s="2" t="s">
        <v>272</v>
      </c>
      <c r="U349" s="2">
        <v>50</v>
      </c>
      <c r="V349" s="2" t="s">
        <v>263</v>
      </c>
      <c r="W349" s="2">
        <v>50</v>
      </c>
      <c r="X349" s="2">
        <v>100</v>
      </c>
      <c r="Y349" s="2">
        <v>50</v>
      </c>
      <c r="Z349" s="2" t="s">
        <v>1405</v>
      </c>
      <c r="AA349" s="2">
        <v>50</v>
      </c>
      <c r="AB349" s="2" t="s">
        <v>1406</v>
      </c>
      <c r="AC349" s="2">
        <v>50</v>
      </c>
      <c r="AD349" s="2">
        <v>28</v>
      </c>
      <c r="AE349" s="2">
        <v>50</v>
      </c>
      <c r="AF349" s="2" t="s">
        <v>1391</v>
      </c>
      <c r="AG349" s="2">
        <v>50</v>
      </c>
      <c r="AH349" s="2" t="s">
        <v>1407</v>
      </c>
      <c r="AI349" s="2">
        <v>50</v>
      </c>
      <c r="AJ349" s="2" t="s">
        <v>268</v>
      </c>
      <c r="AK349" s="2">
        <v>50</v>
      </c>
    </row>
    <row r="350" spans="1:37" x14ac:dyDescent="0.25">
      <c r="A350" s="2" t="s">
        <v>148</v>
      </c>
      <c r="B350" s="2" t="s">
        <v>256</v>
      </c>
      <c r="C350" s="2" t="s">
        <v>9</v>
      </c>
      <c r="D350" s="3">
        <v>46080.530763888892</v>
      </c>
      <c r="E350" s="2">
        <v>64</v>
      </c>
      <c r="F350" s="2">
        <v>546</v>
      </c>
      <c r="G350" s="2">
        <v>0</v>
      </c>
      <c r="I350" s="2" t="s">
        <v>1373</v>
      </c>
      <c r="J350" s="2" t="s">
        <v>258</v>
      </c>
      <c r="K350" s="2">
        <v>11</v>
      </c>
      <c r="L350" s="2">
        <v>3505026681</v>
      </c>
      <c r="M350" s="2">
        <v>50</v>
      </c>
      <c r="N350" s="2" t="s">
        <v>1374</v>
      </c>
      <c r="O350" s="2">
        <v>50</v>
      </c>
      <c r="P350" s="2" t="s">
        <v>260</v>
      </c>
      <c r="Q350" s="2">
        <v>50</v>
      </c>
      <c r="R350" s="2" t="s">
        <v>1324</v>
      </c>
      <c r="S350" s="2">
        <v>50</v>
      </c>
      <c r="T350" s="2" t="s">
        <v>272</v>
      </c>
      <c r="U350" s="2">
        <v>50</v>
      </c>
      <c r="V350" s="2" t="s">
        <v>263</v>
      </c>
      <c r="W350" s="2">
        <v>50</v>
      </c>
      <c r="X350" s="2">
        <v>110</v>
      </c>
      <c r="Y350" s="2">
        <v>50</v>
      </c>
      <c r="Z350" s="2" t="s">
        <v>1408</v>
      </c>
      <c r="AA350" s="2">
        <v>50</v>
      </c>
      <c r="AB350" s="2" t="s">
        <v>1409</v>
      </c>
      <c r="AC350" s="2">
        <v>50</v>
      </c>
      <c r="AD350" s="2">
        <v>4</v>
      </c>
      <c r="AE350" s="2">
        <v>50</v>
      </c>
      <c r="AF350" s="2" t="s">
        <v>1380</v>
      </c>
      <c r="AG350" s="2">
        <v>50</v>
      </c>
      <c r="AH350" s="2" t="s">
        <v>1410</v>
      </c>
      <c r="AI350" s="2">
        <v>50</v>
      </c>
      <c r="AJ350" s="2" t="s">
        <v>268</v>
      </c>
      <c r="AK350" s="2">
        <v>50</v>
      </c>
    </row>
    <row r="351" spans="1:37" x14ac:dyDescent="0.25">
      <c r="A351" s="2" t="s">
        <v>148</v>
      </c>
      <c r="B351" s="2" t="s">
        <v>256</v>
      </c>
      <c r="C351" s="2" t="s">
        <v>9</v>
      </c>
      <c r="D351" s="3">
        <v>46080.530763888892</v>
      </c>
      <c r="E351" s="2">
        <v>64</v>
      </c>
      <c r="F351" s="2">
        <v>546</v>
      </c>
      <c r="G351" s="2">
        <v>0</v>
      </c>
      <c r="I351" s="2" t="s">
        <v>1373</v>
      </c>
      <c r="J351" s="2" t="s">
        <v>258</v>
      </c>
      <c r="K351" s="2">
        <v>12</v>
      </c>
      <c r="L351" s="2">
        <v>3505026681</v>
      </c>
      <c r="M351" s="2">
        <v>50</v>
      </c>
      <c r="N351" s="2" t="s">
        <v>1374</v>
      </c>
      <c r="O351" s="2">
        <v>50</v>
      </c>
      <c r="P351" s="2" t="s">
        <v>260</v>
      </c>
      <c r="Q351" s="2">
        <v>50</v>
      </c>
      <c r="R351" s="2" t="s">
        <v>1324</v>
      </c>
      <c r="S351" s="2">
        <v>50</v>
      </c>
      <c r="T351" s="2" t="s">
        <v>272</v>
      </c>
      <c r="U351" s="2">
        <v>50</v>
      </c>
      <c r="V351" s="2" t="s">
        <v>263</v>
      </c>
      <c r="W351" s="2">
        <v>50</v>
      </c>
      <c r="X351" s="2">
        <v>120</v>
      </c>
      <c r="Y351" s="2">
        <v>50</v>
      </c>
      <c r="Z351" s="2" t="s">
        <v>1411</v>
      </c>
      <c r="AA351" s="2">
        <v>50</v>
      </c>
      <c r="AB351" s="2" t="s">
        <v>1412</v>
      </c>
      <c r="AC351" s="2">
        <v>50</v>
      </c>
      <c r="AD351" s="2">
        <v>4</v>
      </c>
      <c r="AE351" s="2">
        <v>50</v>
      </c>
      <c r="AF351" s="2" t="s">
        <v>1380</v>
      </c>
      <c r="AG351" s="2">
        <v>50</v>
      </c>
      <c r="AH351" s="2" t="s">
        <v>1413</v>
      </c>
      <c r="AI351" s="2">
        <v>50</v>
      </c>
      <c r="AJ351" s="2" t="s">
        <v>268</v>
      </c>
      <c r="AK351" s="2">
        <v>50</v>
      </c>
    </row>
    <row r="352" spans="1:37" x14ac:dyDescent="0.25">
      <c r="A352" s="2" t="s">
        <v>148</v>
      </c>
      <c r="B352" s="2" t="s">
        <v>256</v>
      </c>
      <c r="C352" s="2" t="s">
        <v>9</v>
      </c>
      <c r="D352" s="3">
        <v>46080.530763888892</v>
      </c>
      <c r="E352" s="2">
        <v>64</v>
      </c>
      <c r="F352" s="2">
        <v>546</v>
      </c>
      <c r="G352" s="2">
        <v>0</v>
      </c>
      <c r="I352" s="2" t="s">
        <v>1373</v>
      </c>
      <c r="J352" s="2" t="s">
        <v>258</v>
      </c>
      <c r="K352" s="2">
        <v>13</v>
      </c>
      <c r="L352" s="2">
        <v>3505026681</v>
      </c>
      <c r="M352" s="2">
        <v>50</v>
      </c>
      <c r="N352" s="2" t="s">
        <v>1374</v>
      </c>
      <c r="O352" s="2">
        <v>50</v>
      </c>
      <c r="P352" s="2" t="s">
        <v>260</v>
      </c>
      <c r="Q352" s="2">
        <v>50</v>
      </c>
      <c r="R352" s="2" t="s">
        <v>1324</v>
      </c>
      <c r="S352" s="2">
        <v>50</v>
      </c>
      <c r="T352" s="2" t="s">
        <v>272</v>
      </c>
      <c r="U352" s="2">
        <v>50</v>
      </c>
      <c r="V352" s="2" t="s">
        <v>263</v>
      </c>
      <c r="W352" s="2">
        <v>50</v>
      </c>
      <c r="X352" s="2">
        <v>130</v>
      </c>
      <c r="Y352" s="2">
        <v>50</v>
      </c>
      <c r="Z352" s="2" t="s">
        <v>1414</v>
      </c>
      <c r="AA352" s="2">
        <v>50</v>
      </c>
      <c r="AB352" s="2" t="s">
        <v>1415</v>
      </c>
      <c r="AC352" s="2">
        <v>50</v>
      </c>
      <c r="AD352" s="2">
        <v>16</v>
      </c>
      <c r="AE352" s="2">
        <v>50</v>
      </c>
      <c r="AF352" s="2" t="s">
        <v>346</v>
      </c>
      <c r="AG352" s="2">
        <v>50</v>
      </c>
      <c r="AH352" s="2" t="s">
        <v>1377</v>
      </c>
      <c r="AI352" s="2">
        <v>50</v>
      </c>
      <c r="AJ352" s="2" t="s">
        <v>268</v>
      </c>
      <c r="AK352" s="2">
        <v>50</v>
      </c>
    </row>
    <row r="353" spans="1:37" x14ac:dyDescent="0.25">
      <c r="A353" s="2" t="s">
        <v>148</v>
      </c>
      <c r="B353" s="2" t="s">
        <v>256</v>
      </c>
      <c r="C353" s="2" t="s">
        <v>9</v>
      </c>
      <c r="D353" s="3">
        <v>46080.530763888892</v>
      </c>
      <c r="E353" s="2">
        <v>64</v>
      </c>
      <c r="F353" s="2">
        <v>546</v>
      </c>
      <c r="G353" s="2">
        <v>0</v>
      </c>
      <c r="I353" s="2" t="s">
        <v>1373</v>
      </c>
      <c r="J353" s="2" t="s">
        <v>258</v>
      </c>
      <c r="K353" s="2">
        <v>14</v>
      </c>
      <c r="L353" s="2">
        <v>3505026681</v>
      </c>
      <c r="M353" s="2">
        <v>50</v>
      </c>
      <c r="N353" s="2" t="s">
        <v>1374</v>
      </c>
      <c r="O353" s="2">
        <v>50</v>
      </c>
      <c r="P353" s="2" t="s">
        <v>260</v>
      </c>
      <c r="Q353" s="2">
        <v>50</v>
      </c>
      <c r="R353" s="2" t="s">
        <v>1324</v>
      </c>
      <c r="S353" s="2">
        <v>50</v>
      </c>
      <c r="T353" s="2" t="s">
        <v>272</v>
      </c>
      <c r="U353" s="2">
        <v>50</v>
      </c>
      <c r="V353" s="2" t="s">
        <v>263</v>
      </c>
      <c r="W353" s="2">
        <v>50</v>
      </c>
      <c r="X353" s="2">
        <v>140</v>
      </c>
      <c r="Y353" s="2">
        <v>50</v>
      </c>
      <c r="Z353" s="2" t="s">
        <v>1416</v>
      </c>
      <c r="AA353" s="2">
        <v>50</v>
      </c>
      <c r="AB353" s="2" t="s">
        <v>1417</v>
      </c>
      <c r="AC353" s="2">
        <v>50</v>
      </c>
      <c r="AD353" s="2">
        <v>1</v>
      </c>
      <c r="AE353" s="2">
        <v>50</v>
      </c>
      <c r="AF353" s="2" t="s">
        <v>1380</v>
      </c>
      <c r="AG353" s="2">
        <v>50</v>
      </c>
      <c r="AH353" s="2" t="s">
        <v>1418</v>
      </c>
      <c r="AI353" s="2">
        <v>50</v>
      </c>
      <c r="AJ353" s="2" t="s">
        <v>268</v>
      </c>
      <c r="AK353" s="2">
        <v>50</v>
      </c>
    </row>
    <row r="354" spans="1:37" x14ac:dyDescent="0.25">
      <c r="A354" s="2" t="s">
        <v>148</v>
      </c>
      <c r="B354" s="2" t="s">
        <v>256</v>
      </c>
      <c r="C354" s="2" t="s">
        <v>9</v>
      </c>
      <c r="D354" s="3">
        <v>46080.530763888892</v>
      </c>
      <c r="E354" s="2">
        <v>64</v>
      </c>
      <c r="F354" s="2">
        <v>546</v>
      </c>
      <c r="G354" s="2">
        <v>0</v>
      </c>
      <c r="I354" s="2" t="s">
        <v>1373</v>
      </c>
      <c r="J354" s="2" t="s">
        <v>258</v>
      </c>
      <c r="K354" s="2">
        <v>15</v>
      </c>
      <c r="L354" s="2">
        <v>3505026681</v>
      </c>
      <c r="M354" s="2">
        <v>50</v>
      </c>
      <c r="N354" s="2" t="s">
        <v>1374</v>
      </c>
      <c r="O354" s="2">
        <v>50</v>
      </c>
      <c r="P354" s="2" t="s">
        <v>260</v>
      </c>
      <c r="Q354" s="2">
        <v>50</v>
      </c>
      <c r="R354" s="2" t="s">
        <v>1324</v>
      </c>
      <c r="S354" s="2">
        <v>50</v>
      </c>
      <c r="T354" s="2" t="s">
        <v>272</v>
      </c>
      <c r="U354" s="2">
        <v>50</v>
      </c>
      <c r="V354" s="2" t="s">
        <v>263</v>
      </c>
      <c r="W354" s="2">
        <v>50</v>
      </c>
      <c r="X354" s="2">
        <v>150</v>
      </c>
      <c r="Y354" s="2">
        <v>50</v>
      </c>
      <c r="Z354" s="2" t="s">
        <v>1419</v>
      </c>
      <c r="AA354" s="2">
        <v>50</v>
      </c>
      <c r="AB354" s="2" t="s">
        <v>1420</v>
      </c>
      <c r="AC354" s="2">
        <v>50</v>
      </c>
      <c r="AD354" s="2">
        <v>5</v>
      </c>
      <c r="AE354" s="2">
        <v>50</v>
      </c>
      <c r="AF354" s="2" t="s">
        <v>1387</v>
      </c>
      <c r="AG354" s="2">
        <v>50</v>
      </c>
      <c r="AH354" s="2" t="s">
        <v>1421</v>
      </c>
      <c r="AI354" s="2">
        <v>50</v>
      </c>
      <c r="AJ354" s="2" t="s">
        <v>268</v>
      </c>
      <c r="AK354" s="2">
        <v>50</v>
      </c>
    </row>
    <row r="355" spans="1:37" x14ac:dyDescent="0.25">
      <c r="A355" s="2" t="s">
        <v>148</v>
      </c>
      <c r="B355" s="2" t="s">
        <v>256</v>
      </c>
      <c r="C355" s="2" t="s">
        <v>9</v>
      </c>
      <c r="D355" s="3">
        <v>46080.530763888892</v>
      </c>
      <c r="E355" s="2">
        <v>64</v>
      </c>
      <c r="F355" s="2">
        <v>546</v>
      </c>
      <c r="G355" s="2">
        <v>0</v>
      </c>
      <c r="I355" s="2" t="s">
        <v>1373</v>
      </c>
      <c r="J355" s="2" t="s">
        <v>258</v>
      </c>
      <c r="K355" s="2">
        <v>16</v>
      </c>
      <c r="L355" s="2">
        <v>3505026681</v>
      </c>
      <c r="M355" s="2">
        <v>50</v>
      </c>
      <c r="N355" s="2" t="s">
        <v>1374</v>
      </c>
      <c r="O355" s="2">
        <v>50</v>
      </c>
      <c r="P355" s="2" t="s">
        <v>260</v>
      </c>
      <c r="Q355" s="2">
        <v>50</v>
      </c>
      <c r="R355" s="2" t="s">
        <v>1324</v>
      </c>
      <c r="S355" s="2">
        <v>50</v>
      </c>
      <c r="T355" s="2" t="s">
        <v>272</v>
      </c>
      <c r="U355" s="2">
        <v>50</v>
      </c>
      <c r="V355" s="2" t="s">
        <v>263</v>
      </c>
      <c r="W355" s="2">
        <v>50</v>
      </c>
      <c r="X355" s="2">
        <v>160</v>
      </c>
      <c r="Y355" s="2">
        <v>50</v>
      </c>
      <c r="Z355" s="2" t="s">
        <v>1422</v>
      </c>
      <c r="AA355" s="2">
        <v>50</v>
      </c>
      <c r="AB355" s="2" t="s">
        <v>1423</v>
      </c>
      <c r="AC355" s="2">
        <v>50</v>
      </c>
      <c r="AD355" s="2">
        <v>1</v>
      </c>
      <c r="AE355" s="2">
        <v>50</v>
      </c>
      <c r="AF355" s="2" t="s">
        <v>1380</v>
      </c>
      <c r="AG355" s="2">
        <v>50</v>
      </c>
      <c r="AH355" s="2" t="s">
        <v>1424</v>
      </c>
      <c r="AI355" s="2">
        <v>50</v>
      </c>
      <c r="AJ355" s="2" t="s">
        <v>268</v>
      </c>
      <c r="AK355" s="2">
        <v>50</v>
      </c>
    </row>
    <row r="356" spans="1:37" x14ac:dyDescent="0.25">
      <c r="A356" s="2" t="s">
        <v>148</v>
      </c>
      <c r="B356" s="2" t="s">
        <v>256</v>
      </c>
      <c r="C356" s="2" t="s">
        <v>9</v>
      </c>
      <c r="D356" s="3">
        <v>46080.530763888892</v>
      </c>
      <c r="E356" s="2">
        <v>64</v>
      </c>
      <c r="F356" s="2">
        <v>546</v>
      </c>
      <c r="G356" s="2">
        <v>0</v>
      </c>
      <c r="I356" s="2" t="s">
        <v>1373</v>
      </c>
      <c r="J356" s="2" t="s">
        <v>258</v>
      </c>
      <c r="K356" s="2">
        <v>17</v>
      </c>
      <c r="L356" s="2">
        <v>3505026681</v>
      </c>
      <c r="M356" s="2">
        <v>50</v>
      </c>
      <c r="N356" s="2" t="s">
        <v>1374</v>
      </c>
      <c r="O356" s="2">
        <v>50</v>
      </c>
      <c r="P356" s="2" t="s">
        <v>260</v>
      </c>
      <c r="Q356" s="2">
        <v>50</v>
      </c>
      <c r="R356" s="2" t="s">
        <v>1324</v>
      </c>
      <c r="S356" s="2">
        <v>50</v>
      </c>
      <c r="T356" s="2" t="s">
        <v>272</v>
      </c>
      <c r="U356" s="2">
        <v>50</v>
      </c>
      <c r="V356" s="2" t="s">
        <v>263</v>
      </c>
      <c r="W356" s="2">
        <v>50</v>
      </c>
      <c r="X356" s="2">
        <v>170</v>
      </c>
      <c r="Y356" s="2">
        <v>50</v>
      </c>
      <c r="Z356" s="2" t="s">
        <v>1425</v>
      </c>
      <c r="AA356" s="2">
        <v>50</v>
      </c>
      <c r="AB356" s="2" t="s">
        <v>1426</v>
      </c>
      <c r="AC356" s="2">
        <v>50</v>
      </c>
      <c r="AD356" s="2">
        <v>11</v>
      </c>
      <c r="AE356" s="2">
        <v>50</v>
      </c>
      <c r="AF356" s="2" t="s">
        <v>1387</v>
      </c>
      <c r="AG356" s="2">
        <v>50</v>
      </c>
      <c r="AH356" s="2" t="s">
        <v>1427</v>
      </c>
      <c r="AI356" s="2">
        <v>50</v>
      </c>
      <c r="AJ356" s="2" t="s">
        <v>268</v>
      </c>
      <c r="AK356" s="2">
        <v>50</v>
      </c>
    </row>
    <row r="357" spans="1:37" x14ac:dyDescent="0.25">
      <c r="A357" s="2" t="s">
        <v>148</v>
      </c>
      <c r="B357" s="2" t="s">
        <v>256</v>
      </c>
      <c r="C357" s="2" t="s">
        <v>9</v>
      </c>
      <c r="D357" s="3">
        <v>46080.530763888892</v>
      </c>
      <c r="E357" s="2">
        <v>64</v>
      </c>
      <c r="F357" s="2">
        <v>546</v>
      </c>
      <c r="G357" s="2">
        <v>0</v>
      </c>
      <c r="I357" s="2" t="s">
        <v>1373</v>
      </c>
      <c r="J357" s="2" t="s">
        <v>258</v>
      </c>
      <c r="K357" s="2">
        <v>18</v>
      </c>
      <c r="L357" s="2">
        <v>3505026681</v>
      </c>
      <c r="M357" s="2">
        <v>50</v>
      </c>
      <c r="N357" s="2" t="s">
        <v>1374</v>
      </c>
      <c r="O357" s="2">
        <v>50</v>
      </c>
      <c r="P357" s="2" t="s">
        <v>260</v>
      </c>
      <c r="Q357" s="2">
        <v>50</v>
      </c>
      <c r="R357" s="2" t="s">
        <v>1324</v>
      </c>
      <c r="S357" s="2">
        <v>50</v>
      </c>
      <c r="T357" s="2" t="s">
        <v>272</v>
      </c>
      <c r="U357" s="2">
        <v>50</v>
      </c>
      <c r="V357" s="2" t="s">
        <v>263</v>
      </c>
      <c r="W357" s="2">
        <v>50</v>
      </c>
      <c r="X357" s="2">
        <v>180</v>
      </c>
      <c r="Y357" s="2">
        <v>50</v>
      </c>
      <c r="Z357" s="2" t="s">
        <v>1428</v>
      </c>
      <c r="AA357" s="2">
        <v>50</v>
      </c>
      <c r="AB357" s="2" t="s">
        <v>1429</v>
      </c>
      <c r="AC357" s="2">
        <v>50</v>
      </c>
      <c r="AD357" s="2">
        <v>1</v>
      </c>
      <c r="AE357" s="2">
        <v>50</v>
      </c>
      <c r="AF357" s="2" t="s">
        <v>1380</v>
      </c>
      <c r="AG357" s="2">
        <v>50</v>
      </c>
      <c r="AH357" s="2" t="s">
        <v>1430</v>
      </c>
      <c r="AI357" s="2">
        <v>50</v>
      </c>
      <c r="AJ357" s="2" t="s">
        <v>268</v>
      </c>
      <c r="AK357" s="2">
        <v>50</v>
      </c>
    </row>
    <row r="358" spans="1:37" x14ac:dyDescent="0.25">
      <c r="A358" s="2" t="s">
        <v>148</v>
      </c>
      <c r="B358" s="2" t="s">
        <v>256</v>
      </c>
      <c r="C358" s="2" t="s">
        <v>9</v>
      </c>
      <c r="D358" s="3">
        <v>46080.530763888892</v>
      </c>
      <c r="E358" s="2">
        <v>64</v>
      </c>
      <c r="F358" s="2">
        <v>546</v>
      </c>
      <c r="G358" s="2">
        <v>0</v>
      </c>
      <c r="I358" s="2" t="s">
        <v>1373</v>
      </c>
      <c r="J358" s="2" t="s">
        <v>258</v>
      </c>
      <c r="K358" s="2">
        <v>19</v>
      </c>
      <c r="L358" s="2">
        <v>3505026681</v>
      </c>
      <c r="M358" s="2">
        <v>50</v>
      </c>
      <c r="N358" s="2" t="s">
        <v>1374</v>
      </c>
      <c r="O358" s="2">
        <v>50</v>
      </c>
      <c r="P358" s="2" t="s">
        <v>260</v>
      </c>
      <c r="Q358" s="2">
        <v>50</v>
      </c>
      <c r="R358" s="2" t="s">
        <v>1324</v>
      </c>
      <c r="S358" s="2">
        <v>50</v>
      </c>
      <c r="T358" s="2" t="s">
        <v>272</v>
      </c>
      <c r="U358" s="2">
        <v>50</v>
      </c>
      <c r="V358" s="2" t="s">
        <v>263</v>
      </c>
      <c r="W358" s="2">
        <v>50</v>
      </c>
      <c r="X358" s="2">
        <v>190</v>
      </c>
      <c r="Y358" s="2">
        <v>50</v>
      </c>
      <c r="Z358" s="2" t="s">
        <v>1431</v>
      </c>
      <c r="AA358" s="2">
        <v>50</v>
      </c>
      <c r="AB358" s="2" t="s">
        <v>1432</v>
      </c>
      <c r="AC358" s="2">
        <v>50</v>
      </c>
      <c r="AD358" s="2">
        <v>20</v>
      </c>
      <c r="AE358" s="2">
        <v>50</v>
      </c>
      <c r="AF358" s="2" t="s">
        <v>1387</v>
      </c>
      <c r="AG358" s="2">
        <v>50</v>
      </c>
      <c r="AH358" s="2" t="s">
        <v>1433</v>
      </c>
      <c r="AI358" s="2">
        <v>50</v>
      </c>
      <c r="AJ358" s="2" t="s">
        <v>268</v>
      </c>
      <c r="AK358" s="2">
        <v>50</v>
      </c>
    </row>
    <row r="359" spans="1:37" x14ac:dyDescent="0.25">
      <c r="A359" s="2" t="s">
        <v>148</v>
      </c>
      <c r="B359" s="2" t="s">
        <v>256</v>
      </c>
      <c r="C359" s="2" t="s">
        <v>9</v>
      </c>
      <c r="D359" s="3">
        <v>46080.530763888892</v>
      </c>
      <c r="E359" s="2">
        <v>64</v>
      </c>
      <c r="F359" s="2">
        <v>546</v>
      </c>
      <c r="G359" s="2">
        <v>0</v>
      </c>
      <c r="I359" s="2" t="s">
        <v>1373</v>
      </c>
      <c r="J359" s="2" t="s">
        <v>258</v>
      </c>
      <c r="K359" s="2">
        <v>20</v>
      </c>
      <c r="L359" s="2">
        <v>3505026681</v>
      </c>
      <c r="M359" s="2">
        <v>50</v>
      </c>
      <c r="N359" s="2" t="s">
        <v>1374</v>
      </c>
      <c r="O359" s="2">
        <v>50</v>
      </c>
      <c r="P359" s="2" t="s">
        <v>260</v>
      </c>
      <c r="Q359" s="2">
        <v>50</v>
      </c>
      <c r="R359" s="2" t="s">
        <v>1324</v>
      </c>
      <c r="S359" s="2">
        <v>50</v>
      </c>
      <c r="T359" s="2" t="s">
        <v>272</v>
      </c>
      <c r="U359" s="2">
        <v>50</v>
      </c>
      <c r="V359" s="2" t="s">
        <v>263</v>
      </c>
      <c r="W359" s="2">
        <v>50</v>
      </c>
      <c r="X359" s="2">
        <v>200</v>
      </c>
      <c r="Y359" s="2">
        <v>50</v>
      </c>
      <c r="Z359" s="2" t="s">
        <v>1434</v>
      </c>
      <c r="AA359" s="2">
        <v>50</v>
      </c>
      <c r="AB359" s="2" t="s">
        <v>1435</v>
      </c>
      <c r="AC359" s="2">
        <v>50</v>
      </c>
      <c r="AD359" s="2">
        <v>7</v>
      </c>
      <c r="AE359" s="2">
        <v>50</v>
      </c>
      <c r="AF359" s="2" t="s">
        <v>1387</v>
      </c>
      <c r="AG359" s="2">
        <v>50</v>
      </c>
      <c r="AH359" s="2" t="s">
        <v>1436</v>
      </c>
      <c r="AI359" s="2">
        <v>50</v>
      </c>
      <c r="AJ359" s="2" t="s">
        <v>268</v>
      </c>
      <c r="AK359" s="2">
        <v>50</v>
      </c>
    </row>
    <row r="360" spans="1:37" x14ac:dyDescent="0.25">
      <c r="A360" s="2" t="s">
        <v>148</v>
      </c>
      <c r="B360" s="2" t="s">
        <v>256</v>
      </c>
      <c r="C360" s="2" t="s">
        <v>9</v>
      </c>
      <c r="D360" s="3">
        <v>46080.530763888892</v>
      </c>
      <c r="E360" s="2">
        <v>64</v>
      </c>
      <c r="F360" s="2">
        <v>546</v>
      </c>
      <c r="G360" s="2">
        <v>0</v>
      </c>
      <c r="I360" s="2" t="s">
        <v>1373</v>
      </c>
      <c r="J360" s="2" t="s">
        <v>258</v>
      </c>
      <c r="K360" s="2">
        <v>21</v>
      </c>
      <c r="L360" s="2">
        <v>3505026681</v>
      </c>
      <c r="M360" s="2">
        <v>50</v>
      </c>
      <c r="N360" s="2" t="s">
        <v>1374</v>
      </c>
      <c r="O360" s="2">
        <v>50</v>
      </c>
      <c r="P360" s="2" t="s">
        <v>260</v>
      </c>
      <c r="Q360" s="2">
        <v>50</v>
      </c>
      <c r="R360" s="2" t="s">
        <v>1324</v>
      </c>
      <c r="S360" s="2">
        <v>50</v>
      </c>
      <c r="T360" s="2" t="s">
        <v>272</v>
      </c>
      <c r="U360" s="2">
        <v>50</v>
      </c>
      <c r="V360" s="2" t="s">
        <v>263</v>
      </c>
      <c r="W360" s="2">
        <v>50</v>
      </c>
      <c r="X360" s="2">
        <v>210</v>
      </c>
      <c r="Y360" s="2">
        <v>50</v>
      </c>
      <c r="Z360" s="2" t="s">
        <v>1437</v>
      </c>
      <c r="AA360" s="2">
        <v>50</v>
      </c>
      <c r="AB360" s="2" t="s">
        <v>1438</v>
      </c>
      <c r="AC360" s="2">
        <v>50</v>
      </c>
      <c r="AD360" s="2">
        <v>5</v>
      </c>
      <c r="AE360" s="2">
        <v>50</v>
      </c>
      <c r="AF360" s="2" t="s">
        <v>1387</v>
      </c>
      <c r="AG360" s="2">
        <v>50</v>
      </c>
      <c r="AH360" s="2" t="s">
        <v>1439</v>
      </c>
      <c r="AI360" s="2">
        <v>50</v>
      </c>
      <c r="AJ360" s="2" t="s">
        <v>268</v>
      </c>
      <c r="AK360" s="2">
        <v>50</v>
      </c>
    </row>
    <row r="361" spans="1:37" x14ac:dyDescent="0.25">
      <c r="A361" s="2" t="s">
        <v>148</v>
      </c>
      <c r="B361" s="2" t="s">
        <v>256</v>
      </c>
      <c r="C361" s="2" t="s">
        <v>9</v>
      </c>
      <c r="D361" s="3">
        <v>46080.530763888892</v>
      </c>
      <c r="E361" s="2">
        <v>64</v>
      </c>
      <c r="F361" s="2">
        <v>546</v>
      </c>
      <c r="G361" s="2">
        <v>0</v>
      </c>
      <c r="I361" s="2" t="s">
        <v>1373</v>
      </c>
      <c r="J361" s="2" t="s">
        <v>258</v>
      </c>
      <c r="K361" s="2">
        <v>22</v>
      </c>
      <c r="L361" s="2">
        <v>3505026681</v>
      </c>
      <c r="M361" s="2">
        <v>50</v>
      </c>
      <c r="N361" s="2" t="s">
        <v>1374</v>
      </c>
      <c r="O361" s="2">
        <v>50</v>
      </c>
      <c r="P361" s="2" t="s">
        <v>260</v>
      </c>
      <c r="Q361" s="2">
        <v>50</v>
      </c>
      <c r="R361" s="2" t="s">
        <v>1324</v>
      </c>
      <c r="S361" s="2">
        <v>50</v>
      </c>
      <c r="T361" s="2" t="s">
        <v>272</v>
      </c>
      <c r="U361" s="2">
        <v>50</v>
      </c>
      <c r="V361" s="2" t="s">
        <v>263</v>
      </c>
      <c r="W361" s="2">
        <v>50</v>
      </c>
      <c r="X361" s="2">
        <v>220</v>
      </c>
      <c r="Y361" s="2">
        <v>50</v>
      </c>
      <c r="Z361" s="2" t="s">
        <v>1440</v>
      </c>
      <c r="AA361" s="2">
        <v>50</v>
      </c>
      <c r="AB361" s="2" t="s">
        <v>1441</v>
      </c>
      <c r="AC361" s="2">
        <v>50</v>
      </c>
      <c r="AD361" s="2">
        <v>21</v>
      </c>
      <c r="AE361" s="2">
        <v>50</v>
      </c>
      <c r="AF361" s="2" t="s">
        <v>1387</v>
      </c>
      <c r="AG361" s="2">
        <v>50</v>
      </c>
      <c r="AH361" s="2" t="s">
        <v>1442</v>
      </c>
      <c r="AI361" s="2">
        <v>50</v>
      </c>
      <c r="AJ361" s="2" t="s">
        <v>268</v>
      </c>
      <c r="AK361" s="2">
        <v>50</v>
      </c>
    </row>
    <row r="362" spans="1:37" x14ac:dyDescent="0.25">
      <c r="A362" s="2" t="s">
        <v>148</v>
      </c>
      <c r="B362" s="2" t="s">
        <v>256</v>
      </c>
      <c r="C362" s="2" t="s">
        <v>9</v>
      </c>
      <c r="D362" s="3">
        <v>46080.530763888892</v>
      </c>
      <c r="E362" s="2">
        <v>64</v>
      </c>
      <c r="F362" s="2">
        <v>546</v>
      </c>
      <c r="G362" s="2">
        <v>0</v>
      </c>
      <c r="I362" s="2" t="s">
        <v>1373</v>
      </c>
      <c r="J362" s="2" t="s">
        <v>258</v>
      </c>
      <c r="K362" s="2">
        <v>23</v>
      </c>
      <c r="L362" s="2">
        <v>3505026681</v>
      </c>
      <c r="M362" s="2">
        <v>50</v>
      </c>
      <c r="N362" s="2" t="s">
        <v>1374</v>
      </c>
      <c r="O362" s="2">
        <v>50</v>
      </c>
      <c r="P362" s="2" t="s">
        <v>260</v>
      </c>
      <c r="Q362" s="2">
        <v>50</v>
      </c>
      <c r="R362" s="2" t="s">
        <v>1324</v>
      </c>
      <c r="S362" s="2">
        <v>50</v>
      </c>
      <c r="T362" s="2" t="s">
        <v>272</v>
      </c>
      <c r="U362" s="2">
        <v>50</v>
      </c>
      <c r="V362" s="2" t="s">
        <v>263</v>
      </c>
      <c r="W362" s="2">
        <v>50</v>
      </c>
      <c r="X362" s="2">
        <v>230</v>
      </c>
      <c r="Y362" s="2">
        <v>50</v>
      </c>
      <c r="Z362" s="2" t="s">
        <v>1443</v>
      </c>
      <c r="AA362" s="2">
        <v>50</v>
      </c>
      <c r="AB362" s="2" t="s">
        <v>1444</v>
      </c>
      <c r="AC362" s="2">
        <v>50</v>
      </c>
      <c r="AD362" s="2">
        <v>1</v>
      </c>
      <c r="AE362" s="2">
        <v>50</v>
      </c>
      <c r="AF362" s="2" t="s">
        <v>1380</v>
      </c>
      <c r="AG362" s="2">
        <v>50</v>
      </c>
      <c r="AH362" s="2" t="s">
        <v>1445</v>
      </c>
      <c r="AI362" s="2">
        <v>50</v>
      </c>
      <c r="AJ362" s="2" t="s">
        <v>268</v>
      </c>
      <c r="AK362" s="2">
        <v>50</v>
      </c>
    </row>
    <row r="363" spans="1:37" x14ac:dyDescent="0.25">
      <c r="A363" s="2" t="s">
        <v>148</v>
      </c>
      <c r="B363" s="2" t="s">
        <v>256</v>
      </c>
      <c r="C363" s="2" t="s">
        <v>9</v>
      </c>
      <c r="D363" s="3">
        <v>46080.530763888892</v>
      </c>
      <c r="E363" s="2">
        <v>64</v>
      </c>
      <c r="F363" s="2">
        <v>546</v>
      </c>
      <c r="G363" s="2">
        <v>0</v>
      </c>
      <c r="I363" s="2" t="s">
        <v>1373</v>
      </c>
      <c r="J363" s="2" t="s">
        <v>258</v>
      </c>
      <c r="K363" s="2">
        <v>24</v>
      </c>
      <c r="L363" s="2">
        <v>3505026681</v>
      </c>
      <c r="M363" s="2">
        <v>50</v>
      </c>
      <c r="N363" s="2" t="s">
        <v>1374</v>
      </c>
      <c r="O363" s="2">
        <v>50</v>
      </c>
      <c r="P363" s="2" t="s">
        <v>260</v>
      </c>
      <c r="Q363" s="2">
        <v>50</v>
      </c>
      <c r="R363" s="2" t="s">
        <v>1324</v>
      </c>
      <c r="S363" s="2">
        <v>50</v>
      </c>
      <c r="T363" s="2" t="s">
        <v>272</v>
      </c>
      <c r="U363" s="2">
        <v>50</v>
      </c>
      <c r="V363" s="2" t="s">
        <v>263</v>
      </c>
      <c r="W363" s="2">
        <v>50</v>
      </c>
      <c r="X363" s="2">
        <v>240</v>
      </c>
      <c r="Y363" s="2">
        <v>50</v>
      </c>
      <c r="Z363" s="2" t="s">
        <v>1446</v>
      </c>
      <c r="AA363" s="2">
        <v>50</v>
      </c>
      <c r="AB363" s="2" t="s">
        <v>1447</v>
      </c>
      <c r="AC363" s="2">
        <v>50</v>
      </c>
      <c r="AD363" s="2">
        <v>1</v>
      </c>
      <c r="AE363" s="2">
        <v>50</v>
      </c>
      <c r="AF363" s="2" t="s">
        <v>1380</v>
      </c>
      <c r="AG363" s="2">
        <v>50</v>
      </c>
      <c r="AH363" s="2" t="s">
        <v>1448</v>
      </c>
      <c r="AI363" s="2">
        <v>50</v>
      </c>
      <c r="AJ363" s="2" t="s">
        <v>268</v>
      </c>
      <c r="AK363" s="2">
        <v>50</v>
      </c>
    </row>
    <row r="364" spans="1:37" x14ac:dyDescent="0.25">
      <c r="A364" s="2" t="s">
        <v>148</v>
      </c>
      <c r="B364" s="2" t="s">
        <v>256</v>
      </c>
      <c r="C364" s="2" t="s">
        <v>9</v>
      </c>
      <c r="D364" s="3">
        <v>46080.530763888892</v>
      </c>
      <c r="E364" s="2">
        <v>64</v>
      </c>
      <c r="F364" s="2">
        <v>546</v>
      </c>
      <c r="G364" s="2">
        <v>0</v>
      </c>
      <c r="I364" s="2" t="s">
        <v>1373</v>
      </c>
      <c r="J364" s="2" t="s">
        <v>258</v>
      </c>
      <c r="K364" s="2">
        <v>25</v>
      </c>
      <c r="L364" s="2">
        <v>3505026681</v>
      </c>
      <c r="M364" s="2">
        <v>50</v>
      </c>
      <c r="N364" s="2" t="s">
        <v>1374</v>
      </c>
      <c r="O364" s="2">
        <v>50</v>
      </c>
      <c r="P364" s="2" t="s">
        <v>260</v>
      </c>
      <c r="Q364" s="2">
        <v>50</v>
      </c>
      <c r="R364" s="2" t="s">
        <v>1324</v>
      </c>
      <c r="S364" s="2">
        <v>50</v>
      </c>
      <c r="T364" s="2" t="s">
        <v>272</v>
      </c>
      <c r="U364" s="2">
        <v>50</v>
      </c>
      <c r="V364" s="2" t="s">
        <v>263</v>
      </c>
      <c r="W364" s="2">
        <v>50</v>
      </c>
      <c r="X364" s="2">
        <v>250</v>
      </c>
      <c r="Y364" s="2">
        <v>50</v>
      </c>
      <c r="Z364" s="2" t="s">
        <v>1449</v>
      </c>
      <c r="AA364" s="2">
        <v>50</v>
      </c>
      <c r="AB364" s="2" t="s">
        <v>1450</v>
      </c>
      <c r="AC364" s="2">
        <v>50</v>
      </c>
      <c r="AD364" s="2">
        <v>2</v>
      </c>
      <c r="AE364" s="2">
        <v>50</v>
      </c>
      <c r="AF364" s="2" t="s">
        <v>1380</v>
      </c>
      <c r="AG364" s="2">
        <v>50</v>
      </c>
      <c r="AH364" s="2" t="s">
        <v>1451</v>
      </c>
      <c r="AI364" s="2">
        <v>50</v>
      </c>
      <c r="AJ364" s="2" t="s">
        <v>268</v>
      </c>
      <c r="AK364" s="2">
        <v>50</v>
      </c>
    </row>
    <row r="365" spans="1:37" x14ac:dyDescent="0.25">
      <c r="A365" s="2" t="s">
        <v>148</v>
      </c>
      <c r="B365" s="2" t="s">
        <v>256</v>
      </c>
      <c r="C365" s="2" t="s">
        <v>9</v>
      </c>
      <c r="D365" s="3">
        <v>46080.530763888892</v>
      </c>
      <c r="E365" s="2">
        <v>64</v>
      </c>
      <c r="F365" s="2">
        <v>546</v>
      </c>
      <c r="G365" s="2">
        <v>0</v>
      </c>
      <c r="I365" s="2" t="s">
        <v>1373</v>
      </c>
      <c r="J365" s="2" t="s">
        <v>258</v>
      </c>
      <c r="K365" s="2">
        <v>26</v>
      </c>
      <c r="L365" s="2">
        <v>3505026681</v>
      </c>
      <c r="M365" s="2">
        <v>50</v>
      </c>
      <c r="N365" s="2" t="s">
        <v>1374</v>
      </c>
      <c r="O365" s="2">
        <v>50</v>
      </c>
      <c r="P365" s="2" t="s">
        <v>260</v>
      </c>
      <c r="Q365" s="2">
        <v>50</v>
      </c>
      <c r="R365" s="2" t="s">
        <v>1324</v>
      </c>
      <c r="S365" s="2">
        <v>50</v>
      </c>
      <c r="T365" s="2" t="s">
        <v>272</v>
      </c>
      <c r="U365" s="2">
        <v>50</v>
      </c>
      <c r="V365" s="2" t="s">
        <v>263</v>
      </c>
      <c r="W365" s="2">
        <v>50</v>
      </c>
      <c r="X365" s="2">
        <v>260</v>
      </c>
      <c r="Y365" s="2">
        <v>50</v>
      </c>
      <c r="Z365" s="2" t="s">
        <v>1452</v>
      </c>
      <c r="AA365" s="2">
        <v>50</v>
      </c>
      <c r="AB365" s="2" t="s">
        <v>1453</v>
      </c>
      <c r="AC365" s="2">
        <v>50</v>
      </c>
      <c r="AD365" s="2">
        <v>12</v>
      </c>
      <c r="AE365" s="2">
        <v>50</v>
      </c>
      <c r="AF365" s="2" t="s">
        <v>1380</v>
      </c>
      <c r="AG365" s="2">
        <v>50</v>
      </c>
      <c r="AH365" s="2" t="s">
        <v>1454</v>
      </c>
      <c r="AI365" s="2">
        <v>50</v>
      </c>
      <c r="AJ365" s="2" t="s">
        <v>268</v>
      </c>
      <c r="AK365" s="2">
        <v>50</v>
      </c>
    </row>
    <row r="366" spans="1:37" x14ac:dyDescent="0.25">
      <c r="A366" s="2" t="s">
        <v>148</v>
      </c>
      <c r="B366" s="2" t="s">
        <v>256</v>
      </c>
      <c r="C366" s="2" t="s">
        <v>9</v>
      </c>
      <c r="D366" s="3">
        <v>46080.530763888892</v>
      </c>
      <c r="E366" s="2">
        <v>64</v>
      </c>
      <c r="F366" s="2">
        <v>546</v>
      </c>
      <c r="G366" s="2">
        <v>0</v>
      </c>
      <c r="I366" s="2" t="s">
        <v>1373</v>
      </c>
      <c r="J366" s="2" t="s">
        <v>258</v>
      </c>
      <c r="K366" s="2">
        <v>27</v>
      </c>
      <c r="L366" s="2">
        <v>3505026681</v>
      </c>
      <c r="M366" s="2">
        <v>50</v>
      </c>
      <c r="N366" s="2" t="s">
        <v>1374</v>
      </c>
      <c r="O366" s="2">
        <v>50</v>
      </c>
      <c r="P366" s="2" t="s">
        <v>260</v>
      </c>
      <c r="Q366" s="2">
        <v>50</v>
      </c>
      <c r="R366" s="2" t="s">
        <v>1324</v>
      </c>
      <c r="S366" s="2">
        <v>50</v>
      </c>
      <c r="T366" s="2" t="s">
        <v>272</v>
      </c>
      <c r="U366" s="2">
        <v>50</v>
      </c>
      <c r="V366" s="2" t="s">
        <v>263</v>
      </c>
      <c r="W366" s="2">
        <v>50</v>
      </c>
      <c r="X366" s="2">
        <v>270</v>
      </c>
      <c r="Y366" s="2">
        <v>50</v>
      </c>
      <c r="Z366" s="2" t="s">
        <v>1455</v>
      </c>
      <c r="AA366" s="2">
        <v>50</v>
      </c>
      <c r="AB366" s="2" t="s">
        <v>1456</v>
      </c>
      <c r="AC366" s="2">
        <v>50</v>
      </c>
      <c r="AD366" s="2">
        <v>4</v>
      </c>
      <c r="AE366" s="2">
        <v>50</v>
      </c>
      <c r="AF366" s="2" t="s">
        <v>1380</v>
      </c>
      <c r="AG366" s="2">
        <v>50</v>
      </c>
      <c r="AH366" s="2" t="s">
        <v>1457</v>
      </c>
      <c r="AI366" s="2">
        <v>50</v>
      </c>
      <c r="AJ366" s="2" t="s">
        <v>268</v>
      </c>
      <c r="AK366" s="2">
        <v>50</v>
      </c>
    </row>
    <row r="367" spans="1:37" x14ac:dyDescent="0.25">
      <c r="A367" s="2" t="s">
        <v>148</v>
      </c>
      <c r="B367" s="2" t="s">
        <v>256</v>
      </c>
      <c r="C367" s="2" t="s">
        <v>9</v>
      </c>
      <c r="D367" s="3">
        <v>46080.530763888892</v>
      </c>
      <c r="E367" s="2">
        <v>64</v>
      </c>
      <c r="F367" s="2">
        <v>546</v>
      </c>
      <c r="G367" s="2">
        <v>0</v>
      </c>
      <c r="I367" s="2" t="s">
        <v>1373</v>
      </c>
      <c r="J367" s="2" t="s">
        <v>258</v>
      </c>
      <c r="K367" s="2">
        <v>28</v>
      </c>
      <c r="L367" s="2">
        <v>3505026681</v>
      </c>
      <c r="M367" s="2">
        <v>50</v>
      </c>
      <c r="N367" s="2" t="s">
        <v>1374</v>
      </c>
      <c r="O367" s="2">
        <v>50</v>
      </c>
      <c r="P367" s="2" t="s">
        <v>260</v>
      </c>
      <c r="Q367" s="2">
        <v>50</v>
      </c>
      <c r="R367" s="2" t="s">
        <v>1324</v>
      </c>
      <c r="S367" s="2">
        <v>50</v>
      </c>
      <c r="T367" s="2" t="s">
        <v>272</v>
      </c>
      <c r="U367" s="2">
        <v>50</v>
      </c>
      <c r="V367" s="2" t="s">
        <v>263</v>
      </c>
      <c r="W367" s="2">
        <v>50</v>
      </c>
      <c r="X367" s="2">
        <v>280</v>
      </c>
      <c r="Y367" s="2">
        <v>50</v>
      </c>
      <c r="Z367" s="2" t="s">
        <v>1458</v>
      </c>
      <c r="AA367" s="2">
        <v>50</v>
      </c>
      <c r="AB367" s="2" t="s">
        <v>1459</v>
      </c>
      <c r="AC367" s="2">
        <v>50</v>
      </c>
      <c r="AD367" s="2">
        <v>1</v>
      </c>
      <c r="AE367" s="2">
        <v>50</v>
      </c>
      <c r="AF367" s="2" t="s">
        <v>1380</v>
      </c>
      <c r="AG367" s="2">
        <v>50</v>
      </c>
      <c r="AH367" s="2" t="s">
        <v>1460</v>
      </c>
      <c r="AI367" s="2">
        <v>50</v>
      </c>
      <c r="AJ367" s="2" t="s">
        <v>268</v>
      </c>
      <c r="AK367" s="2">
        <v>50</v>
      </c>
    </row>
    <row r="368" spans="1:37" x14ac:dyDescent="0.25">
      <c r="A368" s="2" t="s">
        <v>148</v>
      </c>
      <c r="B368" s="2" t="s">
        <v>256</v>
      </c>
      <c r="C368" s="2" t="s">
        <v>9</v>
      </c>
      <c r="D368" s="3">
        <v>46080.530763888892</v>
      </c>
      <c r="E368" s="2">
        <v>64</v>
      </c>
      <c r="F368" s="2">
        <v>546</v>
      </c>
      <c r="G368" s="2">
        <v>0</v>
      </c>
      <c r="I368" s="2" t="s">
        <v>1373</v>
      </c>
      <c r="J368" s="2" t="s">
        <v>258</v>
      </c>
      <c r="K368" s="2">
        <v>29</v>
      </c>
      <c r="L368" s="2">
        <v>3505026681</v>
      </c>
      <c r="M368" s="2">
        <v>50</v>
      </c>
      <c r="N368" s="2" t="s">
        <v>1374</v>
      </c>
      <c r="O368" s="2">
        <v>50</v>
      </c>
      <c r="P368" s="2" t="s">
        <v>260</v>
      </c>
      <c r="Q368" s="2">
        <v>50</v>
      </c>
      <c r="R368" s="2" t="s">
        <v>1324</v>
      </c>
      <c r="S368" s="2">
        <v>50</v>
      </c>
      <c r="T368" s="2" t="s">
        <v>272</v>
      </c>
      <c r="U368" s="2">
        <v>50</v>
      </c>
      <c r="V368" s="2" t="s">
        <v>263</v>
      </c>
      <c r="W368" s="2">
        <v>50</v>
      </c>
      <c r="X368" s="2">
        <v>290</v>
      </c>
      <c r="Y368" s="2">
        <v>50</v>
      </c>
      <c r="Z368" s="2" t="s">
        <v>1043</v>
      </c>
      <c r="AA368" s="2">
        <v>50</v>
      </c>
      <c r="AB368" s="2" t="s">
        <v>1461</v>
      </c>
      <c r="AC368" s="2">
        <v>50</v>
      </c>
      <c r="AD368" s="2">
        <v>2</v>
      </c>
      <c r="AE368" s="2">
        <v>50</v>
      </c>
      <c r="AF368" s="2" t="s">
        <v>1380</v>
      </c>
      <c r="AG368" s="2">
        <v>50</v>
      </c>
      <c r="AH368" s="2" t="s">
        <v>1462</v>
      </c>
      <c r="AI368" s="2">
        <v>50</v>
      </c>
      <c r="AJ368" s="2" t="s">
        <v>268</v>
      </c>
      <c r="AK368" s="2">
        <v>50</v>
      </c>
    </row>
    <row r="369" spans="1:37" x14ac:dyDescent="0.25">
      <c r="A369" s="2" t="s">
        <v>148</v>
      </c>
      <c r="B369" s="2" t="s">
        <v>256</v>
      </c>
      <c r="C369" s="2" t="s">
        <v>9</v>
      </c>
      <c r="D369" s="3">
        <v>46080.530763888892</v>
      </c>
      <c r="E369" s="2">
        <v>64</v>
      </c>
      <c r="F369" s="2">
        <v>546</v>
      </c>
      <c r="G369" s="2">
        <v>0</v>
      </c>
      <c r="I369" s="2" t="s">
        <v>1373</v>
      </c>
      <c r="J369" s="2" t="s">
        <v>258</v>
      </c>
      <c r="K369" s="2">
        <v>30</v>
      </c>
      <c r="L369" s="2">
        <v>3505026681</v>
      </c>
      <c r="M369" s="2">
        <v>50</v>
      </c>
      <c r="N369" s="2" t="s">
        <v>1374</v>
      </c>
      <c r="O369" s="2">
        <v>50</v>
      </c>
      <c r="P369" s="2" t="s">
        <v>260</v>
      </c>
      <c r="Q369" s="2">
        <v>50</v>
      </c>
      <c r="R369" s="2" t="s">
        <v>1324</v>
      </c>
      <c r="S369" s="2">
        <v>50</v>
      </c>
      <c r="T369" s="2" t="s">
        <v>272</v>
      </c>
      <c r="U369" s="2">
        <v>50</v>
      </c>
      <c r="V369" s="2" t="s">
        <v>263</v>
      </c>
      <c r="W369" s="2">
        <v>50</v>
      </c>
      <c r="X369" s="2">
        <v>300</v>
      </c>
      <c r="Y369" s="2">
        <v>50</v>
      </c>
      <c r="Z369" s="2" t="s">
        <v>1463</v>
      </c>
      <c r="AA369" s="2">
        <v>50</v>
      </c>
      <c r="AB369" s="2" t="s">
        <v>1464</v>
      </c>
      <c r="AC369" s="2">
        <v>50</v>
      </c>
      <c r="AD369" s="2">
        <v>2</v>
      </c>
      <c r="AE369" s="2">
        <v>50</v>
      </c>
      <c r="AF369" s="2" t="s">
        <v>1380</v>
      </c>
      <c r="AG369" s="2">
        <v>50</v>
      </c>
      <c r="AH369" s="2" t="s">
        <v>1465</v>
      </c>
      <c r="AI369" s="2">
        <v>50</v>
      </c>
      <c r="AJ369" s="2" t="s">
        <v>268</v>
      </c>
      <c r="AK369" s="2">
        <v>50</v>
      </c>
    </row>
    <row r="370" spans="1:37" x14ac:dyDescent="0.25">
      <c r="A370" s="2" t="s">
        <v>148</v>
      </c>
      <c r="B370" s="2" t="s">
        <v>256</v>
      </c>
      <c r="C370" s="2" t="s">
        <v>9</v>
      </c>
      <c r="D370" s="3">
        <v>46080.530763888892</v>
      </c>
      <c r="E370" s="2">
        <v>64</v>
      </c>
      <c r="F370" s="2">
        <v>546</v>
      </c>
      <c r="G370" s="2">
        <v>0</v>
      </c>
      <c r="I370" s="2" t="s">
        <v>1373</v>
      </c>
      <c r="J370" s="2" t="s">
        <v>258</v>
      </c>
      <c r="K370" s="2">
        <v>31</v>
      </c>
      <c r="L370" s="2">
        <v>3505026681</v>
      </c>
      <c r="M370" s="2">
        <v>50</v>
      </c>
      <c r="N370" s="2" t="s">
        <v>1374</v>
      </c>
      <c r="O370" s="2">
        <v>50</v>
      </c>
      <c r="P370" s="2" t="s">
        <v>260</v>
      </c>
      <c r="Q370" s="2">
        <v>50</v>
      </c>
      <c r="R370" s="2" t="s">
        <v>1324</v>
      </c>
      <c r="S370" s="2">
        <v>50</v>
      </c>
      <c r="T370" s="2" t="s">
        <v>272</v>
      </c>
      <c r="U370" s="2">
        <v>50</v>
      </c>
      <c r="V370" s="2" t="s">
        <v>263</v>
      </c>
      <c r="W370" s="2">
        <v>50</v>
      </c>
      <c r="X370" s="2">
        <v>310</v>
      </c>
      <c r="Y370" s="2">
        <v>50</v>
      </c>
      <c r="Z370" s="2" t="s">
        <v>1466</v>
      </c>
      <c r="AA370" s="2">
        <v>50</v>
      </c>
      <c r="AB370" s="2" t="s">
        <v>1467</v>
      </c>
      <c r="AC370" s="2">
        <v>50</v>
      </c>
      <c r="AD370" s="2">
        <v>4</v>
      </c>
      <c r="AE370" s="2">
        <v>50</v>
      </c>
      <c r="AF370" s="2" t="s">
        <v>346</v>
      </c>
      <c r="AG370" s="2">
        <v>50</v>
      </c>
      <c r="AH370" s="2" t="s">
        <v>1468</v>
      </c>
      <c r="AI370" s="2">
        <v>50</v>
      </c>
      <c r="AJ370" s="2" t="s">
        <v>268</v>
      </c>
      <c r="AK370" s="2">
        <v>50</v>
      </c>
    </row>
    <row r="371" spans="1:37" x14ac:dyDescent="0.25">
      <c r="A371" s="2" t="s">
        <v>148</v>
      </c>
      <c r="B371" s="2" t="s">
        <v>256</v>
      </c>
      <c r="C371" s="2" t="s">
        <v>9</v>
      </c>
      <c r="D371" s="3">
        <v>46080.530763888892</v>
      </c>
      <c r="E371" s="2">
        <v>64</v>
      </c>
      <c r="F371" s="2">
        <v>546</v>
      </c>
      <c r="G371" s="2">
        <v>0</v>
      </c>
      <c r="I371" s="2" t="s">
        <v>1373</v>
      </c>
      <c r="J371" s="2" t="s">
        <v>258</v>
      </c>
      <c r="K371" s="2">
        <v>32</v>
      </c>
      <c r="L371" s="2">
        <v>3505026681</v>
      </c>
      <c r="M371" s="2">
        <v>50</v>
      </c>
      <c r="N371" s="2" t="s">
        <v>1374</v>
      </c>
      <c r="O371" s="2">
        <v>50</v>
      </c>
      <c r="P371" s="2" t="s">
        <v>260</v>
      </c>
      <c r="Q371" s="2">
        <v>50</v>
      </c>
      <c r="R371" s="2" t="s">
        <v>1324</v>
      </c>
      <c r="S371" s="2">
        <v>50</v>
      </c>
      <c r="T371" s="2" t="s">
        <v>272</v>
      </c>
      <c r="U371" s="2">
        <v>50</v>
      </c>
      <c r="V371" s="2" t="s">
        <v>263</v>
      </c>
      <c r="W371" s="2">
        <v>50</v>
      </c>
      <c r="X371" s="2">
        <v>320</v>
      </c>
      <c r="Y371" s="2">
        <v>50</v>
      </c>
      <c r="Z371" s="2" t="s">
        <v>1469</v>
      </c>
      <c r="AA371" s="2">
        <v>50</v>
      </c>
      <c r="AB371" s="2" t="s">
        <v>1470</v>
      </c>
      <c r="AC371" s="2">
        <v>50</v>
      </c>
      <c r="AD371" s="2">
        <v>2</v>
      </c>
      <c r="AE371" s="2">
        <v>50</v>
      </c>
      <c r="AF371" s="2" t="s">
        <v>1380</v>
      </c>
      <c r="AG371" s="2">
        <v>50</v>
      </c>
      <c r="AH371" s="2" t="s">
        <v>1471</v>
      </c>
      <c r="AI371" s="2">
        <v>50</v>
      </c>
      <c r="AJ371" s="2" t="s">
        <v>268</v>
      </c>
      <c r="AK371" s="2">
        <v>50</v>
      </c>
    </row>
    <row r="372" spans="1:37" x14ac:dyDescent="0.25">
      <c r="A372" s="2" t="s">
        <v>148</v>
      </c>
      <c r="B372" s="2" t="s">
        <v>256</v>
      </c>
      <c r="C372" s="2" t="s">
        <v>9</v>
      </c>
      <c r="D372" s="3">
        <v>46080.530763888892</v>
      </c>
      <c r="E372" s="2">
        <v>64</v>
      </c>
      <c r="F372" s="2">
        <v>546</v>
      </c>
      <c r="G372" s="2">
        <v>0</v>
      </c>
      <c r="I372" s="2" t="s">
        <v>1373</v>
      </c>
      <c r="J372" s="2" t="s">
        <v>258</v>
      </c>
      <c r="K372" s="2">
        <v>33</v>
      </c>
      <c r="L372" s="2">
        <v>3505026681</v>
      </c>
      <c r="M372" s="2">
        <v>50</v>
      </c>
      <c r="N372" s="2" t="s">
        <v>1374</v>
      </c>
      <c r="O372" s="2">
        <v>50</v>
      </c>
      <c r="P372" s="2" t="s">
        <v>260</v>
      </c>
      <c r="Q372" s="2">
        <v>50</v>
      </c>
      <c r="R372" s="2" t="s">
        <v>1324</v>
      </c>
      <c r="S372" s="2">
        <v>50</v>
      </c>
      <c r="T372" s="2" t="s">
        <v>272</v>
      </c>
      <c r="U372" s="2">
        <v>50</v>
      </c>
      <c r="V372" s="2" t="s">
        <v>263</v>
      </c>
      <c r="W372" s="2">
        <v>50</v>
      </c>
      <c r="X372" s="2">
        <v>330</v>
      </c>
      <c r="Y372" s="2">
        <v>50</v>
      </c>
      <c r="Z372" s="2" t="s">
        <v>1472</v>
      </c>
      <c r="AA372" s="2">
        <v>50</v>
      </c>
      <c r="AB372" s="2" t="s">
        <v>1473</v>
      </c>
      <c r="AC372" s="2">
        <v>50</v>
      </c>
      <c r="AD372" s="2">
        <v>3</v>
      </c>
      <c r="AE372" s="2">
        <v>50</v>
      </c>
      <c r="AF372" s="2" t="s">
        <v>1387</v>
      </c>
      <c r="AG372" s="2">
        <v>50</v>
      </c>
      <c r="AH372" s="2" t="s">
        <v>1474</v>
      </c>
      <c r="AI372" s="2">
        <v>50</v>
      </c>
      <c r="AJ372" s="2" t="s">
        <v>268</v>
      </c>
      <c r="AK372" s="2">
        <v>50</v>
      </c>
    </row>
    <row r="373" spans="1:37" x14ac:dyDescent="0.25">
      <c r="A373" s="2" t="s">
        <v>148</v>
      </c>
      <c r="B373" s="2" t="s">
        <v>256</v>
      </c>
      <c r="C373" s="2" t="s">
        <v>9</v>
      </c>
      <c r="D373" s="3">
        <v>46080.530763888892</v>
      </c>
      <c r="E373" s="2">
        <v>64</v>
      </c>
      <c r="F373" s="2">
        <v>546</v>
      </c>
      <c r="G373" s="2">
        <v>0</v>
      </c>
      <c r="I373" s="2" t="s">
        <v>1373</v>
      </c>
      <c r="J373" s="2" t="s">
        <v>258</v>
      </c>
      <c r="K373" s="2">
        <v>34</v>
      </c>
      <c r="L373" s="2">
        <v>3505026681</v>
      </c>
      <c r="M373" s="2">
        <v>50</v>
      </c>
      <c r="N373" s="2" t="s">
        <v>1374</v>
      </c>
      <c r="O373" s="2">
        <v>50</v>
      </c>
      <c r="P373" s="2" t="s">
        <v>260</v>
      </c>
      <c r="Q373" s="2">
        <v>50</v>
      </c>
      <c r="R373" s="2" t="s">
        <v>1324</v>
      </c>
      <c r="S373" s="2">
        <v>50</v>
      </c>
      <c r="T373" s="2" t="s">
        <v>272</v>
      </c>
      <c r="U373" s="2">
        <v>50</v>
      </c>
      <c r="V373" s="2" t="s">
        <v>263</v>
      </c>
      <c r="W373" s="2">
        <v>50</v>
      </c>
      <c r="X373" s="2">
        <v>340</v>
      </c>
      <c r="Y373" s="2">
        <v>50</v>
      </c>
      <c r="Z373" s="2" t="s">
        <v>1475</v>
      </c>
      <c r="AA373" s="2">
        <v>50</v>
      </c>
      <c r="AB373" s="2" t="s">
        <v>1476</v>
      </c>
      <c r="AC373" s="2">
        <v>50</v>
      </c>
      <c r="AD373" s="2">
        <v>10</v>
      </c>
      <c r="AE373" s="2">
        <v>50</v>
      </c>
      <c r="AF373" s="2" t="s">
        <v>1387</v>
      </c>
      <c r="AG373" s="2">
        <v>50</v>
      </c>
      <c r="AH373" s="2" t="s">
        <v>1477</v>
      </c>
      <c r="AI373" s="2">
        <v>50</v>
      </c>
      <c r="AJ373" s="2" t="s">
        <v>268</v>
      </c>
      <c r="AK373" s="2">
        <v>50</v>
      </c>
    </row>
    <row r="374" spans="1:37" x14ac:dyDescent="0.25">
      <c r="A374" s="2" t="s">
        <v>148</v>
      </c>
      <c r="B374" s="2" t="s">
        <v>256</v>
      </c>
      <c r="C374" s="2" t="s">
        <v>9</v>
      </c>
      <c r="D374" s="3">
        <v>46080.530763888892</v>
      </c>
      <c r="E374" s="2">
        <v>64</v>
      </c>
      <c r="F374" s="2">
        <v>546</v>
      </c>
      <c r="G374" s="2">
        <v>0</v>
      </c>
      <c r="I374" s="2" t="s">
        <v>1373</v>
      </c>
      <c r="J374" s="2" t="s">
        <v>258</v>
      </c>
      <c r="K374" s="2">
        <v>35</v>
      </c>
      <c r="L374" s="2">
        <v>3505026681</v>
      </c>
      <c r="M374" s="2">
        <v>50</v>
      </c>
      <c r="N374" s="2" t="s">
        <v>1374</v>
      </c>
      <c r="O374" s="2">
        <v>50</v>
      </c>
      <c r="P374" s="2" t="s">
        <v>260</v>
      </c>
      <c r="Q374" s="2">
        <v>50</v>
      </c>
      <c r="R374" s="2" t="s">
        <v>1324</v>
      </c>
      <c r="S374" s="2">
        <v>50</v>
      </c>
      <c r="T374" s="2" t="s">
        <v>272</v>
      </c>
      <c r="U374" s="2">
        <v>50</v>
      </c>
      <c r="V374" s="2" t="s">
        <v>263</v>
      </c>
      <c r="W374" s="2">
        <v>50</v>
      </c>
      <c r="X374" s="2">
        <v>350</v>
      </c>
      <c r="Y374" s="2">
        <v>50</v>
      </c>
      <c r="Z374" s="2" t="s">
        <v>1478</v>
      </c>
      <c r="AA374" s="2">
        <v>50</v>
      </c>
      <c r="AB374" s="2" t="s">
        <v>1479</v>
      </c>
      <c r="AC374" s="2">
        <v>50</v>
      </c>
      <c r="AD374" s="2">
        <v>12</v>
      </c>
      <c r="AE374" s="2">
        <v>50</v>
      </c>
      <c r="AF374" s="2" t="s">
        <v>1380</v>
      </c>
      <c r="AG374" s="2">
        <v>50</v>
      </c>
      <c r="AH374" s="2" t="s">
        <v>1480</v>
      </c>
      <c r="AI374" s="2">
        <v>50</v>
      </c>
      <c r="AJ374" s="2" t="s">
        <v>268</v>
      </c>
      <c r="AK374" s="2">
        <v>50</v>
      </c>
    </row>
    <row r="375" spans="1:37" x14ac:dyDescent="0.25">
      <c r="A375" s="2" t="s">
        <v>148</v>
      </c>
      <c r="B375" s="2" t="s">
        <v>256</v>
      </c>
      <c r="C375" s="2" t="s">
        <v>9</v>
      </c>
      <c r="D375" s="3">
        <v>46080.530763888892</v>
      </c>
      <c r="E375" s="2">
        <v>64</v>
      </c>
      <c r="F375" s="2">
        <v>546</v>
      </c>
      <c r="G375" s="2">
        <v>0</v>
      </c>
      <c r="I375" s="2" t="s">
        <v>1373</v>
      </c>
      <c r="J375" s="2" t="s">
        <v>258</v>
      </c>
      <c r="K375" s="2">
        <v>36</v>
      </c>
      <c r="L375" s="2">
        <v>3505026681</v>
      </c>
      <c r="M375" s="2">
        <v>50</v>
      </c>
      <c r="N375" s="2" t="s">
        <v>1374</v>
      </c>
      <c r="O375" s="2">
        <v>50</v>
      </c>
      <c r="P375" s="2" t="s">
        <v>260</v>
      </c>
      <c r="Q375" s="2">
        <v>50</v>
      </c>
      <c r="R375" s="2" t="s">
        <v>1324</v>
      </c>
      <c r="S375" s="2">
        <v>50</v>
      </c>
      <c r="T375" s="2" t="s">
        <v>272</v>
      </c>
      <c r="U375" s="2">
        <v>50</v>
      </c>
      <c r="V375" s="2" t="s">
        <v>263</v>
      </c>
      <c r="W375" s="2">
        <v>50</v>
      </c>
      <c r="X375" s="2">
        <v>360</v>
      </c>
      <c r="Y375" s="2">
        <v>50</v>
      </c>
      <c r="Z375" s="2" t="s">
        <v>1481</v>
      </c>
      <c r="AA375" s="2">
        <v>50</v>
      </c>
      <c r="AB375" s="2" t="s">
        <v>1482</v>
      </c>
      <c r="AC375" s="2">
        <v>50</v>
      </c>
      <c r="AD375" s="2">
        <v>9</v>
      </c>
      <c r="AE375" s="2">
        <v>50</v>
      </c>
      <c r="AF375" s="2" t="s">
        <v>1380</v>
      </c>
      <c r="AG375" s="2">
        <v>50</v>
      </c>
      <c r="AH375" s="2" t="s">
        <v>1483</v>
      </c>
      <c r="AI375" s="2">
        <v>50</v>
      </c>
      <c r="AJ375" s="2" t="s">
        <v>268</v>
      </c>
      <c r="AK375" s="2">
        <v>50</v>
      </c>
    </row>
    <row r="376" spans="1:37" x14ac:dyDescent="0.25">
      <c r="A376" s="2" t="s">
        <v>148</v>
      </c>
      <c r="B376" s="2" t="s">
        <v>256</v>
      </c>
      <c r="C376" s="2" t="s">
        <v>9</v>
      </c>
      <c r="D376" s="3">
        <v>46080.530763888892</v>
      </c>
      <c r="E376" s="2">
        <v>64</v>
      </c>
      <c r="F376" s="2">
        <v>546</v>
      </c>
      <c r="G376" s="2">
        <v>0</v>
      </c>
      <c r="I376" s="2" t="s">
        <v>1373</v>
      </c>
      <c r="J376" s="2" t="s">
        <v>258</v>
      </c>
      <c r="K376" s="2">
        <v>37</v>
      </c>
      <c r="L376" s="2">
        <v>3505026681</v>
      </c>
      <c r="M376" s="2">
        <v>50</v>
      </c>
      <c r="N376" s="2" t="s">
        <v>1374</v>
      </c>
      <c r="O376" s="2">
        <v>50</v>
      </c>
      <c r="P376" s="2" t="s">
        <v>260</v>
      </c>
      <c r="Q376" s="2">
        <v>50</v>
      </c>
      <c r="R376" s="2" t="s">
        <v>1324</v>
      </c>
      <c r="S376" s="2">
        <v>50</v>
      </c>
      <c r="T376" s="2" t="s">
        <v>272</v>
      </c>
      <c r="U376" s="2">
        <v>50</v>
      </c>
      <c r="V376" s="2" t="s">
        <v>263</v>
      </c>
      <c r="W376" s="2">
        <v>50</v>
      </c>
      <c r="X376" s="2">
        <v>370</v>
      </c>
      <c r="Y376" s="2">
        <v>50</v>
      </c>
      <c r="Z376" s="2" t="s">
        <v>1484</v>
      </c>
      <c r="AA376" s="2">
        <v>50</v>
      </c>
      <c r="AB376" s="2" t="s">
        <v>1485</v>
      </c>
      <c r="AC376" s="2">
        <v>50</v>
      </c>
      <c r="AD376" s="2">
        <v>2</v>
      </c>
      <c r="AE376" s="2">
        <v>50</v>
      </c>
      <c r="AF376" s="2" t="s">
        <v>1380</v>
      </c>
      <c r="AG376" s="2">
        <v>50</v>
      </c>
      <c r="AH376" s="2" t="s">
        <v>1486</v>
      </c>
      <c r="AI376" s="2">
        <v>50</v>
      </c>
      <c r="AJ376" s="2" t="s">
        <v>268</v>
      </c>
      <c r="AK376" s="2">
        <v>50</v>
      </c>
    </row>
    <row r="377" spans="1:37" x14ac:dyDescent="0.25">
      <c r="A377" s="2" t="s">
        <v>148</v>
      </c>
      <c r="B377" s="2" t="s">
        <v>256</v>
      </c>
      <c r="C377" s="2" t="s">
        <v>9</v>
      </c>
      <c r="D377" s="3">
        <v>46080.530763888892</v>
      </c>
      <c r="E377" s="2">
        <v>64</v>
      </c>
      <c r="F377" s="2">
        <v>546</v>
      </c>
      <c r="G377" s="2">
        <v>0</v>
      </c>
      <c r="I377" s="2" t="s">
        <v>1373</v>
      </c>
      <c r="J377" s="2" t="s">
        <v>258</v>
      </c>
      <c r="K377" s="2">
        <v>38</v>
      </c>
      <c r="L377" s="2">
        <v>3505026681</v>
      </c>
      <c r="M377" s="2">
        <v>50</v>
      </c>
      <c r="N377" s="2" t="s">
        <v>1374</v>
      </c>
      <c r="O377" s="2">
        <v>50</v>
      </c>
      <c r="P377" s="2" t="s">
        <v>260</v>
      </c>
      <c r="Q377" s="2">
        <v>50</v>
      </c>
      <c r="R377" s="2" t="s">
        <v>1324</v>
      </c>
      <c r="S377" s="2">
        <v>50</v>
      </c>
      <c r="T377" s="2" t="s">
        <v>272</v>
      </c>
      <c r="U377" s="2">
        <v>50</v>
      </c>
      <c r="V377" s="2" t="s">
        <v>263</v>
      </c>
      <c r="W377" s="2">
        <v>50</v>
      </c>
      <c r="X377" s="2">
        <v>380</v>
      </c>
      <c r="Y377" s="2">
        <v>50</v>
      </c>
      <c r="Z377" s="2" t="s">
        <v>1336</v>
      </c>
      <c r="AA377" s="2">
        <v>50</v>
      </c>
      <c r="AB377" s="2" t="s">
        <v>1487</v>
      </c>
      <c r="AC377" s="2">
        <v>50</v>
      </c>
      <c r="AD377" s="2">
        <v>43</v>
      </c>
      <c r="AE377" s="2">
        <v>50</v>
      </c>
      <c r="AF377" s="2" t="s">
        <v>1380</v>
      </c>
      <c r="AG377" s="2">
        <v>50</v>
      </c>
      <c r="AH377" s="2" t="s">
        <v>1488</v>
      </c>
      <c r="AI377" s="2">
        <v>50</v>
      </c>
      <c r="AJ377" s="2" t="s">
        <v>268</v>
      </c>
      <c r="AK377" s="2">
        <v>50</v>
      </c>
    </row>
    <row r="378" spans="1:37" x14ac:dyDescent="0.25">
      <c r="A378" s="2" t="s">
        <v>148</v>
      </c>
      <c r="B378" s="2" t="s">
        <v>256</v>
      </c>
      <c r="C378" s="2" t="s">
        <v>9</v>
      </c>
      <c r="D378" s="3">
        <v>46080.530763888892</v>
      </c>
      <c r="E378" s="2">
        <v>64</v>
      </c>
      <c r="F378" s="2">
        <v>546</v>
      </c>
      <c r="G378" s="2">
        <v>0</v>
      </c>
      <c r="I378" s="2" t="s">
        <v>1373</v>
      </c>
      <c r="J378" s="2" t="s">
        <v>258</v>
      </c>
      <c r="K378" s="2">
        <v>39</v>
      </c>
      <c r="L378" s="2">
        <v>3505026681</v>
      </c>
      <c r="M378" s="2">
        <v>50</v>
      </c>
      <c r="N378" s="2" t="s">
        <v>1374</v>
      </c>
      <c r="O378" s="2">
        <v>50</v>
      </c>
      <c r="P378" s="2" t="s">
        <v>260</v>
      </c>
      <c r="Q378" s="2">
        <v>50</v>
      </c>
      <c r="R378" s="2" t="s">
        <v>1324</v>
      </c>
      <c r="S378" s="2">
        <v>50</v>
      </c>
      <c r="T378" s="2" t="s">
        <v>272</v>
      </c>
      <c r="U378" s="2">
        <v>50</v>
      </c>
      <c r="V378" s="2" t="s">
        <v>263</v>
      </c>
      <c r="W378" s="2">
        <v>50</v>
      </c>
      <c r="X378" s="2">
        <v>390</v>
      </c>
      <c r="Y378" s="2">
        <v>50</v>
      </c>
      <c r="Z378" s="2" t="s">
        <v>1489</v>
      </c>
      <c r="AA378" s="2">
        <v>50</v>
      </c>
      <c r="AB378" s="2" t="s">
        <v>1490</v>
      </c>
      <c r="AC378" s="2">
        <v>50</v>
      </c>
      <c r="AD378" s="2">
        <v>120</v>
      </c>
      <c r="AE378" s="2">
        <v>50</v>
      </c>
      <c r="AF378" s="2" t="s">
        <v>1387</v>
      </c>
      <c r="AG378" s="2">
        <v>50</v>
      </c>
      <c r="AH378" s="2" t="s">
        <v>1491</v>
      </c>
      <c r="AI378" s="2">
        <v>50</v>
      </c>
      <c r="AJ378" s="2" t="s">
        <v>268</v>
      </c>
      <c r="AK378" s="2">
        <v>50</v>
      </c>
    </row>
    <row r="379" spans="1:37" x14ac:dyDescent="0.25">
      <c r="A379" s="2" t="s">
        <v>148</v>
      </c>
      <c r="B379" s="2" t="s">
        <v>256</v>
      </c>
      <c r="C379" s="2" t="s">
        <v>9</v>
      </c>
      <c r="D379" s="3">
        <v>46080.530763888892</v>
      </c>
      <c r="E379" s="2">
        <v>64</v>
      </c>
      <c r="F379" s="2">
        <v>546</v>
      </c>
      <c r="G379" s="2">
        <v>0</v>
      </c>
      <c r="I379" s="2" t="s">
        <v>1373</v>
      </c>
      <c r="J379" s="2" t="s">
        <v>258</v>
      </c>
      <c r="K379" s="2">
        <v>40</v>
      </c>
      <c r="L379" s="2">
        <v>3505026681</v>
      </c>
      <c r="M379" s="2">
        <v>50</v>
      </c>
      <c r="N379" s="2" t="s">
        <v>1374</v>
      </c>
      <c r="O379" s="2">
        <v>50</v>
      </c>
      <c r="P379" s="2" t="s">
        <v>260</v>
      </c>
      <c r="Q379" s="2">
        <v>50</v>
      </c>
      <c r="R379" s="2" t="s">
        <v>1324</v>
      </c>
      <c r="S379" s="2">
        <v>50</v>
      </c>
      <c r="T379" s="2" t="s">
        <v>272</v>
      </c>
      <c r="U379" s="2">
        <v>50</v>
      </c>
      <c r="V379" s="2" t="s">
        <v>263</v>
      </c>
      <c r="W379" s="2">
        <v>50</v>
      </c>
      <c r="X379" s="2">
        <v>400</v>
      </c>
      <c r="Y379" s="2">
        <v>50</v>
      </c>
      <c r="Z379" s="2" t="s">
        <v>1492</v>
      </c>
      <c r="AA379" s="2">
        <v>50</v>
      </c>
      <c r="AB379" s="2" t="s">
        <v>1493</v>
      </c>
      <c r="AC379" s="2">
        <v>50</v>
      </c>
      <c r="AD379" s="2">
        <v>6</v>
      </c>
      <c r="AE379" s="2">
        <v>50</v>
      </c>
      <c r="AF379" s="2" t="s">
        <v>1387</v>
      </c>
      <c r="AG379" s="2">
        <v>50</v>
      </c>
      <c r="AH379" s="2" t="s">
        <v>1494</v>
      </c>
      <c r="AI379" s="2">
        <v>50</v>
      </c>
      <c r="AJ379" s="2" t="s">
        <v>268</v>
      </c>
      <c r="AK379" s="2">
        <v>50</v>
      </c>
    </row>
    <row r="380" spans="1:37" x14ac:dyDescent="0.25">
      <c r="A380" s="2" t="s">
        <v>148</v>
      </c>
      <c r="B380" s="2" t="s">
        <v>256</v>
      </c>
      <c r="C380" s="2" t="s">
        <v>9</v>
      </c>
      <c r="D380" s="3">
        <v>46080.530763888892</v>
      </c>
      <c r="E380" s="2">
        <v>64</v>
      </c>
      <c r="F380" s="2">
        <v>546</v>
      </c>
      <c r="G380" s="2">
        <v>0</v>
      </c>
      <c r="I380" s="2" t="s">
        <v>1373</v>
      </c>
      <c r="J380" s="2" t="s">
        <v>258</v>
      </c>
      <c r="K380" s="2">
        <v>41</v>
      </c>
      <c r="L380" s="2">
        <v>3505026681</v>
      </c>
      <c r="M380" s="2">
        <v>50</v>
      </c>
      <c r="N380" s="2" t="s">
        <v>1374</v>
      </c>
      <c r="O380" s="2">
        <v>50</v>
      </c>
      <c r="P380" s="2" t="s">
        <v>260</v>
      </c>
      <c r="Q380" s="2">
        <v>50</v>
      </c>
      <c r="R380" s="2" t="s">
        <v>1324</v>
      </c>
      <c r="S380" s="2">
        <v>50</v>
      </c>
      <c r="T380" s="2" t="s">
        <v>272</v>
      </c>
      <c r="U380" s="2">
        <v>50</v>
      </c>
      <c r="V380" s="2" t="s">
        <v>263</v>
      </c>
      <c r="W380" s="2">
        <v>50</v>
      </c>
      <c r="X380" s="2">
        <v>410</v>
      </c>
      <c r="Y380" s="2">
        <v>50</v>
      </c>
      <c r="Z380" s="2" t="s">
        <v>1495</v>
      </c>
      <c r="AA380" s="2">
        <v>50</v>
      </c>
      <c r="AB380" s="2" t="s">
        <v>1496</v>
      </c>
      <c r="AC380" s="2">
        <v>50</v>
      </c>
      <c r="AD380" s="2">
        <v>1</v>
      </c>
      <c r="AE380" s="2">
        <v>50</v>
      </c>
      <c r="AF380" s="2" t="s">
        <v>1380</v>
      </c>
      <c r="AG380" s="2">
        <v>50</v>
      </c>
      <c r="AH380" s="2" t="s">
        <v>1497</v>
      </c>
      <c r="AI380" s="2">
        <v>50</v>
      </c>
      <c r="AJ380" s="2" t="s">
        <v>268</v>
      </c>
      <c r="AK380" s="2">
        <v>50</v>
      </c>
    </row>
    <row r="381" spans="1:37" x14ac:dyDescent="0.25">
      <c r="A381" s="2" t="s">
        <v>148</v>
      </c>
      <c r="B381" s="2" t="s">
        <v>256</v>
      </c>
      <c r="C381" s="2" t="s">
        <v>9</v>
      </c>
      <c r="D381" s="3">
        <v>46080.530763888892</v>
      </c>
      <c r="E381" s="2">
        <v>64</v>
      </c>
      <c r="F381" s="2">
        <v>546</v>
      </c>
      <c r="G381" s="2">
        <v>0</v>
      </c>
      <c r="I381" s="2" t="s">
        <v>1373</v>
      </c>
      <c r="J381" s="2" t="s">
        <v>258</v>
      </c>
      <c r="K381" s="2">
        <v>42</v>
      </c>
      <c r="L381" s="2">
        <v>3505026681</v>
      </c>
      <c r="M381" s="2">
        <v>50</v>
      </c>
      <c r="N381" s="2" t="s">
        <v>1374</v>
      </c>
      <c r="O381" s="2">
        <v>50</v>
      </c>
      <c r="P381" s="2" t="s">
        <v>260</v>
      </c>
      <c r="Q381" s="2">
        <v>50</v>
      </c>
      <c r="R381" s="2" t="s">
        <v>1324</v>
      </c>
      <c r="S381" s="2">
        <v>50</v>
      </c>
      <c r="T381" s="2" t="s">
        <v>272</v>
      </c>
      <c r="U381" s="2">
        <v>50</v>
      </c>
      <c r="V381" s="2" t="s">
        <v>263</v>
      </c>
      <c r="W381" s="2">
        <v>50</v>
      </c>
      <c r="X381" s="2">
        <v>420</v>
      </c>
      <c r="Y381" s="2">
        <v>50</v>
      </c>
      <c r="Z381" s="2" t="s">
        <v>1498</v>
      </c>
      <c r="AA381" s="2">
        <v>50</v>
      </c>
      <c r="AB381" s="2" t="s">
        <v>1499</v>
      </c>
      <c r="AC381" s="2">
        <v>50</v>
      </c>
      <c r="AD381" s="2">
        <v>1</v>
      </c>
      <c r="AE381" s="2">
        <v>50</v>
      </c>
      <c r="AF381" s="2" t="s">
        <v>1380</v>
      </c>
      <c r="AG381" s="2">
        <v>50</v>
      </c>
      <c r="AH381" s="2" t="s">
        <v>1500</v>
      </c>
      <c r="AI381" s="2">
        <v>50</v>
      </c>
      <c r="AJ381" s="2" t="s">
        <v>268</v>
      </c>
      <c r="AK381" s="2">
        <v>50</v>
      </c>
    </row>
    <row r="382" spans="1:37" x14ac:dyDescent="0.25">
      <c r="A382" s="2" t="s">
        <v>176</v>
      </c>
      <c r="B382" s="2" t="s">
        <v>256</v>
      </c>
      <c r="C382" s="2" t="s">
        <v>9</v>
      </c>
      <c r="D382" s="3">
        <v>46080.530763888892</v>
      </c>
      <c r="E382" s="2">
        <v>67.62</v>
      </c>
      <c r="F382" s="2">
        <v>169</v>
      </c>
      <c r="G382" s="2">
        <v>0</v>
      </c>
      <c r="I382" s="2" t="s">
        <v>1501</v>
      </c>
      <c r="J382" s="2" t="s">
        <v>258</v>
      </c>
      <c r="K382" s="2">
        <v>1</v>
      </c>
      <c r="L382" s="2">
        <v>3504015926</v>
      </c>
      <c r="M382" s="2">
        <v>95</v>
      </c>
      <c r="N382" s="2" t="s">
        <v>1502</v>
      </c>
      <c r="O382" s="2">
        <v>95</v>
      </c>
      <c r="P382" s="2" t="s">
        <v>260</v>
      </c>
      <c r="Q382" s="2">
        <v>95</v>
      </c>
      <c r="R382" s="2" t="s">
        <v>1324</v>
      </c>
      <c r="S382" s="2">
        <v>98</v>
      </c>
      <c r="T382" s="2" t="s">
        <v>272</v>
      </c>
      <c r="U382" s="2">
        <v>95</v>
      </c>
      <c r="V382" s="2" t="s">
        <v>263</v>
      </c>
      <c r="W382" s="2">
        <v>95</v>
      </c>
      <c r="X382" s="2">
        <v>10</v>
      </c>
      <c r="Y382" s="2">
        <v>98</v>
      </c>
      <c r="Z382" s="2" t="s">
        <v>1503</v>
      </c>
      <c r="AA382" s="2">
        <v>88</v>
      </c>
      <c r="AB382" s="2" t="s">
        <v>1504</v>
      </c>
      <c r="AC382" s="2">
        <v>85</v>
      </c>
      <c r="AD382" s="2">
        <v>2</v>
      </c>
      <c r="AE382" s="2">
        <v>95</v>
      </c>
      <c r="AF382" s="2" t="s">
        <v>1380</v>
      </c>
      <c r="AG382" s="2">
        <v>82</v>
      </c>
      <c r="AH382" s="2" t="s">
        <v>1505</v>
      </c>
      <c r="AI382" s="2">
        <v>92</v>
      </c>
      <c r="AJ382" s="2" t="s">
        <v>268</v>
      </c>
      <c r="AK382" s="2">
        <v>90</v>
      </c>
    </row>
    <row r="383" spans="1:37" x14ac:dyDescent="0.25">
      <c r="A383" s="2" t="s">
        <v>176</v>
      </c>
      <c r="B383" s="2" t="s">
        <v>256</v>
      </c>
      <c r="C383" s="2" t="s">
        <v>9</v>
      </c>
      <c r="D383" s="3">
        <v>46080.530763888892</v>
      </c>
      <c r="E383" s="2">
        <v>67.62</v>
      </c>
      <c r="F383" s="2">
        <v>169</v>
      </c>
      <c r="G383" s="2">
        <v>0</v>
      </c>
      <c r="I383" s="2" t="s">
        <v>1501</v>
      </c>
      <c r="J383" s="2" t="s">
        <v>258</v>
      </c>
      <c r="K383" s="2">
        <v>2</v>
      </c>
      <c r="L383" s="2">
        <v>3504015926</v>
      </c>
      <c r="M383" s="2">
        <v>50</v>
      </c>
      <c r="N383" s="2" t="s">
        <v>1502</v>
      </c>
      <c r="O383" s="2">
        <v>50</v>
      </c>
      <c r="P383" s="2" t="s">
        <v>260</v>
      </c>
      <c r="Q383" s="2">
        <v>50</v>
      </c>
      <c r="R383" s="2" t="s">
        <v>1324</v>
      </c>
      <c r="S383" s="2">
        <v>50</v>
      </c>
      <c r="T383" s="2" t="s">
        <v>272</v>
      </c>
      <c r="U383" s="2">
        <v>50</v>
      </c>
      <c r="V383" s="2" t="s">
        <v>263</v>
      </c>
      <c r="W383" s="2">
        <v>50</v>
      </c>
      <c r="X383" s="2">
        <v>20</v>
      </c>
      <c r="Y383" s="2">
        <v>50</v>
      </c>
      <c r="Z383" s="2" t="s">
        <v>1506</v>
      </c>
      <c r="AA383" s="2">
        <v>90</v>
      </c>
      <c r="AB383" s="2" t="s">
        <v>1507</v>
      </c>
      <c r="AC383" s="2">
        <v>50</v>
      </c>
      <c r="AD383" s="2">
        <v>3</v>
      </c>
      <c r="AE383" s="2">
        <v>50</v>
      </c>
      <c r="AF383" s="2" t="s">
        <v>1380</v>
      </c>
      <c r="AG383" s="2">
        <v>50</v>
      </c>
      <c r="AH383" s="2" t="s">
        <v>1508</v>
      </c>
      <c r="AI383" s="2">
        <v>50</v>
      </c>
      <c r="AJ383" s="2" t="s">
        <v>268</v>
      </c>
      <c r="AK383" s="2">
        <v>50</v>
      </c>
    </row>
    <row r="384" spans="1:37" x14ac:dyDescent="0.25">
      <c r="A384" s="2" t="s">
        <v>176</v>
      </c>
      <c r="B384" s="2" t="s">
        <v>256</v>
      </c>
      <c r="C384" s="2" t="s">
        <v>9</v>
      </c>
      <c r="D384" s="3">
        <v>46080.530763888892</v>
      </c>
      <c r="E384" s="2">
        <v>67.62</v>
      </c>
      <c r="F384" s="2">
        <v>169</v>
      </c>
      <c r="G384" s="2">
        <v>0</v>
      </c>
      <c r="I384" s="2" t="s">
        <v>1501</v>
      </c>
      <c r="J384" s="2" t="s">
        <v>258</v>
      </c>
      <c r="K384" s="2">
        <v>3</v>
      </c>
      <c r="L384" s="2">
        <v>3504015926</v>
      </c>
      <c r="M384" s="2">
        <v>50</v>
      </c>
      <c r="N384" s="2" t="s">
        <v>1502</v>
      </c>
      <c r="O384" s="2">
        <v>50</v>
      </c>
      <c r="P384" s="2" t="s">
        <v>260</v>
      </c>
      <c r="Q384" s="2">
        <v>50</v>
      </c>
      <c r="R384" s="2" t="s">
        <v>1324</v>
      </c>
      <c r="S384" s="2">
        <v>50</v>
      </c>
      <c r="T384" s="2" t="s">
        <v>272</v>
      </c>
      <c r="U384" s="2">
        <v>50</v>
      </c>
      <c r="V384" s="2" t="s">
        <v>263</v>
      </c>
      <c r="W384" s="2">
        <v>50</v>
      </c>
      <c r="X384" s="2">
        <v>30</v>
      </c>
      <c r="Y384" s="2">
        <v>50</v>
      </c>
      <c r="Z384" s="2" t="s">
        <v>1509</v>
      </c>
      <c r="AA384" s="2">
        <v>90</v>
      </c>
      <c r="AB384" s="2" t="s">
        <v>1510</v>
      </c>
      <c r="AC384" s="2">
        <v>50</v>
      </c>
      <c r="AD384" s="2">
        <v>6</v>
      </c>
      <c r="AE384" s="2">
        <v>50</v>
      </c>
      <c r="AF384" s="2" t="s">
        <v>1387</v>
      </c>
      <c r="AG384" s="2">
        <v>50</v>
      </c>
      <c r="AH384" s="2" t="s">
        <v>1511</v>
      </c>
      <c r="AI384" s="2">
        <v>50</v>
      </c>
      <c r="AJ384" s="2" t="s">
        <v>268</v>
      </c>
      <c r="AK384" s="2">
        <v>50</v>
      </c>
    </row>
    <row r="385" spans="1:37" x14ac:dyDescent="0.25">
      <c r="A385" s="2" t="s">
        <v>176</v>
      </c>
      <c r="B385" s="2" t="s">
        <v>256</v>
      </c>
      <c r="C385" s="2" t="s">
        <v>9</v>
      </c>
      <c r="D385" s="3">
        <v>46080.530763888892</v>
      </c>
      <c r="E385" s="2">
        <v>67.62</v>
      </c>
      <c r="F385" s="2">
        <v>169</v>
      </c>
      <c r="G385" s="2">
        <v>0</v>
      </c>
      <c r="I385" s="2" t="s">
        <v>1501</v>
      </c>
      <c r="J385" s="2" t="s">
        <v>258</v>
      </c>
      <c r="K385" s="2">
        <v>4</v>
      </c>
      <c r="L385" s="2">
        <v>3504015926</v>
      </c>
      <c r="M385" s="2">
        <v>50</v>
      </c>
      <c r="N385" s="2" t="s">
        <v>1502</v>
      </c>
      <c r="O385" s="2">
        <v>50</v>
      </c>
      <c r="P385" s="2" t="s">
        <v>260</v>
      </c>
      <c r="Q385" s="2">
        <v>50</v>
      </c>
      <c r="R385" s="2" t="s">
        <v>1324</v>
      </c>
      <c r="S385" s="2">
        <v>50</v>
      </c>
      <c r="T385" s="2" t="s">
        <v>272</v>
      </c>
      <c r="U385" s="2">
        <v>50</v>
      </c>
      <c r="V385" s="2" t="s">
        <v>263</v>
      </c>
      <c r="W385" s="2">
        <v>50</v>
      </c>
      <c r="X385" s="2">
        <v>40</v>
      </c>
      <c r="Y385" s="2">
        <v>50</v>
      </c>
      <c r="Z385" s="2" t="s">
        <v>1512</v>
      </c>
      <c r="AA385" s="2">
        <v>90</v>
      </c>
      <c r="AB385" s="2" t="s">
        <v>1513</v>
      </c>
      <c r="AC385" s="2">
        <v>50</v>
      </c>
      <c r="AD385" s="2">
        <v>1</v>
      </c>
      <c r="AE385" s="2">
        <v>50</v>
      </c>
      <c r="AF385" s="2" t="s">
        <v>1380</v>
      </c>
      <c r="AG385" s="2">
        <v>50</v>
      </c>
      <c r="AH385" s="2" t="s">
        <v>1514</v>
      </c>
      <c r="AI385" s="2">
        <v>50</v>
      </c>
      <c r="AJ385" s="2" t="s">
        <v>268</v>
      </c>
      <c r="AK385" s="2">
        <v>50</v>
      </c>
    </row>
    <row r="386" spans="1:37" x14ac:dyDescent="0.25">
      <c r="A386" s="2" t="s">
        <v>176</v>
      </c>
      <c r="B386" s="2" t="s">
        <v>256</v>
      </c>
      <c r="C386" s="2" t="s">
        <v>9</v>
      </c>
      <c r="D386" s="3">
        <v>46080.530763888892</v>
      </c>
      <c r="E386" s="2">
        <v>67.62</v>
      </c>
      <c r="F386" s="2">
        <v>169</v>
      </c>
      <c r="G386" s="2">
        <v>0</v>
      </c>
      <c r="I386" s="2" t="s">
        <v>1501</v>
      </c>
      <c r="J386" s="2" t="s">
        <v>258</v>
      </c>
      <c r="K386" s="2">
        <v>5</v>
      </c>
      <c r="L386" s="2">
        <v>3504015926</v>
      </c>
      <c r="M386" s="2">
        <v>50</v>
      </c>
      <c r="N386" s="2" t="s">
        <v>1502</v>
      </c>
      <c r="O386" s="2">
        <v>50</v>
      </c>
      <c r="P386" s="2" t="s">
        <v>260</v>
      </c>
      <c r="Q386" s="2">
        <v>50</v>
      </c>
      <c r="R386" s="2" t="s">
        <v>1324</v>
      </c>
      <c r="S386" s="2">
        <v>50</v>
      </c>
      <c r="T386" s="2" t="s">
        <v>272</v>
      </c>
      <c r="U386" s="2">
        <v>50</v>
      </c>
      <c r="V386" s="2" t="s">
        <v>263</v>
      </c>
      <c r="W386" s="2">
        <v>50</v>
      </c>
      <c r="X386" s="2">
        <v>50</v>
      </c>
      <c r="Y386" s="2">
        <v>50</v>
      </c>
      <c r="Z386" s="2" t="s">
        <v>1515</v>
      </c>
      <c r="AA386" s="2">
        <v>88</v>
      </c>
      <c r="AB386" s="2" t="s">
        <v>1516</v>
      </c>
      <c r="AC386" s="2">
        <v>50</v>
      </c>
      <c r="AD386" s="2">
        <v>800</v>
      </c>
      <c r="AE386" s="2">
        <v>50</v>
      </c>
      <c r="AF386" s="2" t="s">
        <v>346</v>
      </c>
      <c r="AG386" s="2">
        <v>50</v>
      </c>
      <c r="AH386" s="2" t="s">
        <v>1517</v>
      </c>
      <c r="AI386" s="2">
        <v>50</v>
      </c>
      <c r="AJ386" s="2" t="s">
        <v>268</v>
      </c>
      <c r="AK386" s="2">
        <v>50</v>
      </c>
    </row>
    <row r="387" spans="1:37" x14ac:dyDescent="0.25">
      <c r="A387" s="2" t="s">
        <v>176</v>
      </c>
      <c r="B387" s="2" t="s">
        <v>256</v>
      </c>
      <c r="C387" s="2" t="s">
        <v>9</v>
      </c>
      <c r="D387" s="3">
        <v>46080.530763888892</v>
      </c>
      <c r="E387" s="2">
        <v>67.62</v>
      </c>
      <c r="F387" s="2">
        <v>169</v>
      </c>
      <c r="G387" s="2">
        <v>0</v>
      </c>
      <c r="I387" s="2" t="s">
        <v>1501</v>
      </c>
      <c r="J387" s="2" t="s">
        <v>258</v>
      </c>
      <c r="K387" s="2">
        <v>6</v>
      </c>
      <c r="L387" s="2">
        <v>3504015926</v>
      </c>
      <c r="M387" s="2">
        <v>50</v>
      </c>
      <c r="N387" s="2" t="s">
        <v>1502</v>
      </c>
      <c r="O387" s="2">
        <v>50</v>
      </c>
      <c r="P387" s="2" t="s">
        <v>260</v>
      </c>
      <c r="Q387" s="2">
        <v>50</v>
      </c>
      <c r="R387" s="2" t="s">
        <v>1324</v>
      </c>
      <c r="S387" s="2">
        <v>50</v>
      </c>
      <c r="T387" s="2" t="s">
        <v>272</v>
      </c>
      <c r="U387" s="2">
        <v>50</v>
      </c>
      <c r="V387" s="2" t="s">
        <v>263</v>
      </c>
      <c r="W387" s="2">
        <v>50</v>
      </c>
      <c r="X387" s="2">
        <v>60</v>
      </c>
      <c r="Y387" s="2">
        <v>50</v>
      </c>
      <c r="Z387" s="2" t="s">
        <v>1466</v>
      </c>
      <c r="AA387" s="2">
        <v>88</v>
      </c>
      <c r="AB387" s="2" t="s">
        <v>1467</v>
      </c>
      <c r="AC387" s="2">
        <v>50</v>
      </c>
      <c r="AD387" s="2">
        <v>4</v>
      </c>
      <c r="AE387" s="2">
        <v>50</v>
      </c>
      <c r="AF387" s="2" t="s">
        <v>346</v>
      </c>
      <c r="AG387" s="2">
        <v>50</v>
      </c>
      <c r="AH387" s="2" t="s">
        <v>1518</v>
      </c>
      <c r="AI387" s="2">
        <v>50</v>
      </c>
      <c r="AJ387" s="2" t="s">
        <v>268</v>
      </c>
      <c r="AK387" s="2">
        <v>50</v>
      </c>
    </row>
    <row r="388" spans="1:37" x14ac:dyDescent="0.25">
      <c r="A388" s="2" t="s">
        <v>176</v>
      </c>
      <c r="B388" s="2" t="s">
        <v>256</v>
      </c>
      <c r="C388" s="2" t="s">
        <v>9</v>
      </c>
      <c r="D388" s="3">
        <v>46080.530763888892</v>
      </c>
      <c r="E388" s="2">
        <v>67.62</v>
      </c>
      <c r="F388" s="2">
        <v>169</v>
      </c>
      <c r="G388" s="2">
        <v>0</v>
      </c>
      <c r="I388" s="2" t="s">
        <v>1501</v>
      </c>
      <c r="J388" s="2" t="s">
        <v>258</v>
      </c>
      <c r="K388" s="2">
        <v>7</v>
      </c>
      <c r="L388" s="2">
        <v>3504015926</v>
      </c>
      <c r="M388" s="2">
        <v>50</v>
      </c>
      <c r="N388" s="2" t="s">
        <v>1502</v>
      </c>
      <c r="O388" s="2">
        <v>50</v>
      </c>
      <c r="P388" s="2" t="s">
        <v>260</v>
      </c>
      <c r="Q388" s="2">
        <v>50</v>
      </c>
      <c r="R388" s="2" t="s">
        <v>1324</v>
      </c>
      <c r="S388" s="2">
        <v>50</v>
      </c>
      <c r="T388" s="2" t="s">
        <v>272</v>
      </c>
      <c r="U388" s="2">
        <v>50</v>
      </c>
      <c r="V388" s="2" t="s">
        <v>263</v>
      </c>
      <c r="W388" s="2">
        <v>50</v>
      </c>
      <c r="X388" s="2">
        <v>70</v>
      </c>
      <c r="Y388" s="2">
        <v>50</v>
      </c>
      <c r="Z388" s="2" t="s">
        <v>1519</v>
      </c>
      <c r="AA388" s="2">
        <v>88</v>
      </c>
      <c r="AB388" s="2" t="s">
        <v>1520</v>
      </c>
      <c r="AC388" s="2">
        <v>50</v>
      </c>
      <c r="AD388" s="2">
        <v>1</v>
      </c>
      <c r="AE388" s="2">
        <v>50</v>
      </c>
      <c r="AF388" s="2" t="s">
        <v>1380</v>
      </c>
      <c r="AG388" s="2">
        <v>50</v>
      </c>
      <c r="AH388" s="2" t="s">
        <v>1521</v>
      </c>
      <c r="AI388" s="2">
        <v>50</v>
      </c>
      <c r="AJ388" s="2" t="s">
        <v>268</v>
      </c>
      <c r="AK388" s="2">
        <v>50</v>
      </c>
    </row>
    <row r="389" spans="1:37" x14ac:dyDescent="0.25">
      <c r="A389" s="2" t="s">
        <v>176</v>
      </c>
      <c r="B389" s="2" t="s">
        <v>256</v>
      </c>
      <c r="C389" s="2" t="s">
        <v>9</v>
      </c>
      <c r="D389" s="3">
        <v>46080.530763888892</v>
      </c>
      <c r="E389" s="2">
        <v>67.62</v>
      </c>
      <c r="F389" s="2">
        <v>169</v>
      </c>
      <c r="G389" s="2">
        <v>0</v>
      </c>
      <c r="I389" s="2" t="s">
        <v>1501</v>
      </c>
      <c r="J389" s="2" t="s">
        <v>258</v>
      </c>
      <c r="K389" s="2">
        <v>8</v>
      </c>
      <c r="L389" s="2">
        <v>3504015926</v>
      </c>
      <c r="M389" s="2">
        <v>50</v>
      </c>
      <c r="N389" s="2" t="s">
        <v>1502</v>
      </c>
      <c r="O389" s="2">
        <v>50</v>
      </c>
      <c r="P389" s="2" t="s">
        <v>260</v>
      </c>
      <c r="Q389" s="2">
        <v>50</v>
      </c>
      <c r="R389" s="2" t="s">
        <v>1324</v>
      </c>
      <c r="S389" s="2">
        <v>50</v>
      </c>
      <c r="T389" s="2" t="s">
        <v>272</v>
      </c>
      <c r="U389" s="2">
        <v>50</v>
      </c>
      <c r="V389" s="2" t="s">
        <v>263</v>
      </c>
      <c r="W389" s="2">
        <v>50</v>
      </c>
      <c r="X389" s="2">
        <v>80</v>
      </c>
      <c r="Y389" s="2">
        <v>50</v>
      </c>
      <c r="Z389" s="2" t="s">
        <v>1522</v>
      </c>
      <c r="AA389" s="2">
        <v>90</v>
      </c>
      <c r="AB389" s="2" t="s">
        <v>1523</v>
      </c>
      <c r="AC389" s="2">
        <v>50</v>
      </c>
      <c r="AD389" s="2">
        <v>4</v>
      </c>
      <c r="AE389" s="2">
        <v>50</v>
      </c>
      <c r="AF389" s="2" t="s">
        <v>1387</v>
      </c>
      <c r="AG389" s="2">
        <v>50</v>
      </c>
      <c r="AH389" s="2" t="s">
        <v>1524</v>
      </c>
      <c r="AI389" s="2">
        <v>50</v>
      </c>
      <c r="AJ389" s="2" t="s">
        <v>268</v>
      </c>
      <c r="AK389" s="2">
        <v>50</v>
      </c>
    </row>
    <row r="390" spans="1:37" x14ac:dyDescent="0.25">
      <c r="A390" s="2" t="s">
        <v>176</v>
      </c>
      <c r="B390" s="2" t="s">
        <v>256</v>
      </c>
      <c r="C390" s="2" t="s">
        <v>9</v>
      </c>
      <c r="D390" s="3">
        <v>46080.530763888892</v>
      </c>
      <c r="E390" s="2">
        <v>67.62</v>
      </c>
      <c r="F390" s="2">
        <v>169</v>
      </c>
      <c r="G390" s="2">
        <v>0</v>
      </c>
      <c r="I390" s="2" t="s">
        <v>1501</v>
      </c>
      <c r="J390" s="2" t="s">
        <v>258</v>
      </c>
      <c r="K390" s="2">
        <v>9</v>
      </c>
      <c r="L390" s="2">
        <v>3504015926</v>
      </c>
      <c r="M390" s="2">
        <v>50</v>
      </c>
      <c r="N390" s="2" t="s">
        <v>1502</v>
      </c>
      <c r="O390" s="2">
        <v>50</v>
      </c>
      <c r="P390" s="2" t="s">
        <v>260</v>
      </c>
      <c r="Q390" s="2">
        <v>50</v>
      </c>
      <c r="R390" s="2" t="s">
        <v>1324</v>
      </c>
      <c r="S390" s="2">
        <v>50</v>
      </c>
      <c r="T390" s="2" t="s">
        <v>272</v>
      </c>
      <c r="U390" s="2">
        <v>50</v>
      </c>
      <c r="V390" s="2" t="s">
        <v>263</v>
      </c>
      <c r="W390" s="2">
        <v>50</v>
      </c>
      <c r="X390" s="2">
        <v>90</v>
      </c>
      <c r="Y390" s="2">
        <v>50</v>
      </c>
      <c r="Z390" s="2" t="s">
        <v>1455</v>
      </c>
      <c r="AA390" s="2">
        <v>90</v>
      </c>
      <c r="AB390" s="2" t="s">
        <v>1456</v>
      </c>
      <c r="AC390" s="2">
        <v>50</v>
      </c>
      <c r="AD390" s="2">
        <v>60</v>
      </c>
      <c r="AE390" s="2">
        <v>50</v>
      </c>
      <c r="AF390" s="2" t="s">
        <v>346</v>
      </c>
      <c r="AG390" s="2">
        <v>50</v>
      </c>
      <c r="AH390" s="2" t="s">
        <v>1525</v>
      </c>
      <c r="AI390" s="2">
        <v>50</v>
      </c>
      <c r="AJ390" s="2" t="s">
        <v>268</v>
      </c>
      <c r="AK390" s="2">
        <v>50</v>
      </c>
    </row>
    <row r="391" spans="1:37" x14ac:dyDescent="0.25">
      <c r="A391" s="2" t="s">
        <v>176</v>
      </c>
      <c r="B391" s="2" t="s">
        <v>256</v>
      </c>
      <c r="C391" s="2" t="s">
        <v>9</v>
      </c>
      <c r="D391" s="3">
        <v>46080.530763888892</v>
      </c>
      <c r="E391" s="2">
        <v>67.62</v>
      </c>
      <c r="F391" s="2">
        <v>169</v>
      </c>
      <c r="G391" s="2">
        <v>0</v>
      </c>
      <c r="I391" s="2" t="s">
        <v>1501</v>
      </c>
      <c r="J391" s="2" t="s">
        <v>258</v>
      </c>
      <c r="K391" s="2">
        <v>10</v>
      </c>
      <c r="L391" s="2">
        <v>3504015926</v>
      </c>
      <c r="M391" s="2">
        <v>50</v>
      </c>
      <c r="N391" s="2" t="s">
        <v>1502</v>
      </c>
      <c r="O391" s="2">
        <v>50</v>
      </c>
      <c r="P391" s="2" t="s">
        <v>260</v>
      </c>
      <c r="Q391" s="2">
        <v>50</v>
      </c>
      <c r="R391" s="2" t="s">
        <v>1324</v>
      </c>
      <c r="S391" s="2">
        <v>50</v>
      </c>
      <c r="T391" s="2" t="s">
        <v>272</v>
      </c>
      <c r="U391" s="2">
        <v>50</v>
      </c>
      <c r="V391" s="2" t="s">
        <v>263</v>
      </c>
      <c r="W391" s="2">
        <v>50</v>
      </c>
      <c r="X391" s="2">
        <v>100</v>
      </c>
      <c r="Y391" s="2">
        <v>50</v>
      </c>
      <c r="Z391" s="2" t="s">
        <v>1515</v>
      </c>
      <c r="AA391" s="2">
        <v>90</v>
      </c>
      <c r="AB391" s="2" t="s">
        <v>1526</v>
      </c>
      <c r="AC391" s="2">
        <v>50</v>
      </c>
      <c r="AD391" s="2">
        <v>3</v>
      </c>
      <c r="AE391" s="2">
        <v>50</v>
      </c>
      <c r="AF391" s="2" t="s">
        <v>1380</v>
      </c>
      <c r="AG391" s="2">
        <v>50</v>
      </c>
      <c r="AH391" s="2" t="s">
        <v>1527</v>
      </c>
      <c r="AI391" s="2">
        <v>50</v>
      </c>
      <c r="AJ391" s="2" t="s">
        <v>268</v>
      </c>
      <c r="AK391" s="2">
        <v>50</v>
      </c>
    </row>
    <row r="392" spans="1:37" x14ac:dyDescent="0.25">
      <c r="A392" s="2" t="s">
        <v>176</v>
      </c>
      <c r="B392" s="2" t="s">
        <v>256</v>
      </c>
      <c r="C392" s="2" t="s">
        <v>9</v>
      </c>
      <c r="D392" s="3">
        <v>46080.530763888892</v>
      </c>
      <c r="E392" s="2">
        <v>67.62</v>
      </c>
      <c r="F392" s="2">
        <v>169</v>
      </c>
      <c r="G392" s="2">
        <v>0</v>
      </c>
      <c r="I392" s="2" t="s">
        <v>1501</v>
      </c>
      <c r="J392" s="2" t="s">
        <v>258</v>
      </c>
      <c r="K392" s="2">
        <v>11</v>
      </c>
      <c r="L392" s="2">
        <v>3504015926</v>
      </c>
      <c r="M392" s="2">
        <v>50</v>
      </c>
      <c r="N392" s="2" t="s">
        <v>1502</v>
      </c>
      <c r="O392" s="2">
        <v>50</v>
      </c>
      <c r="P392" s="2" t="s">
        <v>260</v>
      </c>
      <c r="Q392" s="2">
        <v>50</v>
      </c>
      <c r="R392" s="2" t="s">
        <v>1324</v>
      </c>
      <c r="S392" s="2">
        <v>50</v>
      </c>
      <c r="T392" s="2" t="s">
        <v>272</v>
      </c>
      <c r="U392" s="2">
        <v>50</v>
      </c>
      <c r="V392" s="2" t="s">
        <v>263</v>
      </c>
      <c r="W392" s="2">
        <v>50</v>
      </c>
      <c r="X392" s="2">
        <v>110</v>
      </c>
      <c r="Y392" s="2">
        <v>50</v>
      </c>
      <c r="Z392" s="2" t="s">
        <v>1528</v>
      </c>
      <c r="AA392" s="2">
        <v>88</v>
      </c>
      <c r="AB392" s="2" t="s">
        <v>1529</v>
      </c>
      <c r="AC392" s="2">
        <v>50</v>
      </c>
      <c r="AD392" s="2">
        <v>1</v>
      </c>
      <c r="AE392" s="2">
        <v>50</v>
      </c>
      <c r="AF392" s="2" t="s">
        <v>1380</v>
      </c>
      <c r="AG392" s="2">
        <v>50</v>
      </c>
      <c r="AH392" s="2" t="s">
        <v>1530</v>
      </c>
      <c r="AI392" s="2">
        <v>50</v>
      </c>
      <c r="AJ392" s="2" t="s">
        <v>268</v>
      </c>
      <c r="AK392" s="2">
        <v>50</v>
      </c>
    </row>
    <row r="393" spans="1:37" x14ac:dyDescent="0.25">
      <c r="A393" s="2" t="s">
        <v>176</v>
      </c>
      <c r="B393" s="2" t="s">
        <v>256</v>
      </c>
      <c r="C393" s="2" t="s">
        <v>9</v>
      </c>
      <c r="D393" s="3">
        <v>46080.530763888892</v>
      </c>
      <c r="E393" s="2">
        <v>67.62</v>
      </c>
      <c r="F393" s="2">
        <v>169</v>
      </c>
      <c r="G393" s="2">
        <v>0</v>
      </c>
      <c r="I393" s="2" t="s">
        <v>1501</v>
      </c>
      <c r="J393" s="2" t="s">
        <v>258</v>
      </c>
      <c r="K393" s="2">
        <v>12</v>
      </c>
      <c r="L393" s="2">
        <v>3504015926</v>
      </c>
      <c r="M393" s="2">
        <v>50</v>
      </c>
      <c r="N393" s="2" t="s">
        <v>1502</v>
      </c>
      <c r="O393" s="2">
        <v>50</v>
      </c>
      <c r="P393" s="2" t="s">
        <v>260</v>
      </c>
      <c r="Q393" s="2">
        <v>50</v>
      </c>
      <c r="R393" s="2" t="s">
        <v>1324</v>
      </c>
      <c r="S393" s="2">
        <v>50</v>
      </c>
      <c r="T393" s="2" t="s">
        <v>272</v>
      </c>
      <c r="U393" s="2">
        <v>50</v>
      </c>
      <c r="V393" s="2" t="s">
        <v>263</v>
      </c>
      <c r="W393" s="2">
        <v>50</v>
      </c>
      <c r="X393" s="2">
        <v>120</v>
      </c>
      <c r="Y393" s="2">
        <v>50</v>
      </c>
      <c r="Z393" s="2" t="s">
        <v>1531</v>
      </c>
      <c r="AA393" s="2">
        <v>90</v>
      </c>
      <c r="AB393" s="2" t="s">
        <v>1532</v>
      </c>
      <c r="AC393" s="2">
        <v>50</v>
      </c>
      <c r="AD393" s="2">
        <v>3</v>
      </c>
      <c r="AE393" s="2">
        <v>50</v>
      </c>
      <c r="AF393" s="2" t="s">
        <v>1380</v>
      </c>
      <c r="AG393" s="2">
        <v>50</v>
      </c>
      <c r="AH393" s="2" t="s">
        <v>1533</v>
      </c>
      <c r="AI393" s="2">
        <v>50</v>
      </c>
      <c r="AJ393" s="2" t="s">
        <v>268</v>
      </c>
      <c r="AK393" s="2">
        <v>50</v>
      </c>
    </row>
    <row r="394" spans="1:37" x14ac:dyDescent="0.25">
      <c r="A394" s="2" t="s">
        <v>176</v>
      </c>
      <c r="B394" s="2" t="s">
        <v>256</v>
      </c>
      <c r="C394" s="2" t="s">
        <v>9</v>
      </c>
      <c r="D394" s="3">
        <v>46080.530763888892</v>
      </c>
      <c r="E394" s="2">
        <v>67.62</v>
      </c>
      <c r="F394" s="2">
        <v>169</v>
      </c>
      <c r="G394" s="2">
        <v>0</v>
      </c>
      <c r="I394" s="2" t="s">
        <v>1501</v>
      </c>
      <c r="J394" s="2" t="s">
        <v>258</v>
      </c>
      <c r="K394" s="2">
        <v>13</v>
      </c>
      <c r="L394" s="2">
        <v>3504015926</v>
      </c>
      <c r="M394" s="2">
        <v>50</v>
      </c>
      <c r="N394" s="2" t="s">
        <v>1502</v>
      </c>
      <c r="O394" s="2">
        <v>50</v>
      </c>
      <c r="P394" s="2" t="s">
        <v>260</v>
      </c>
      <c r="Q394" s="2">
        <v>50</v>
      </c>
      <c r="R394" s="2" t="s">
        <v>1324</v>
      </c>
      <c r="S394" s="2">
        <v>50</v>
      </c>
      <c r="T394" s="2" t="s">
        <v>272</v>
      </c>
      <c r="U394" s="2">
        <v>50</v>
      </c>
      <c r="V394" s="2" t="s">
        <v>263</v>
      </c>
      <c r="W394" s="2">
        <v>50</v>
      </c>
      <c r="X394" s="2">
        <v>130</v>
      </c>
      <c r="Y394" s="2">
        <v>50</v>
      </c>
      <c r="Z394" s="2" t="s">
        <v>1534</v>
      </c>
      <c r="AA394" s="2">
        <v>90</v>
      </c>
      <c r="AB394" s="2" t="s">
        <v>1535</v>
      </c>
      <c r="AC394" s="2">
        <v>50</v>
      </c>
      <c r="AD394" s="2">
        <v>8</v>
      </c>
      <c r="AE394" s="2">
        <v>50</v>
      </c>
      <c r="AF394" s="2" t="s">
        <v>1380</v>
      </c>
      <c r="AG394" s="2">
        <v>50</v>
      </c>
      <c r="AH394" s="2" t="s">
        <v>1536</v>
      </c>
      <c r="AI394" s="2">
        <v>50</v>
      </c>
      <c r="AJ394" s="2" t="s">
        <v>268</v>
      </c>
      <c r="AK394" s="2">
        <v>50</v>
      </c>
    </row>
    <row r="395" spans="1:37" x14ac:dyDescent="0.25">
      <c r="A395" s="2" t="s">
        <v>158</v>
      </c>
      <c r="B395" s="2" t="s">
        <v>256</v>
      </c>
      <c r="C395" s="2" t="s">
        <v>9</v>
      </c>
      <c r="D395" s="3">
        <v>46080.530763888892</v>
      </c>
      <c r="E395" s="2">
        <v>93.45</v>
      </c>
      <c r="F395" s="2">
        <v>26</v>
      </c>
      <c r="G395" s="2">
        <v>0</v>
      </c>
      <c r="I395" s="2" t="s">
        <v>1537</v>
      </c>
      <c r="J395" s="2" t="s">
        <v>258</v>
      </c>
      <c r="K395" s="2">
        <v>1</v>
      </c>
      <c r="L395" s="2">
        <v>3507009731</v>
      </c>
      <c r="M395" s="2">
        <v>95</v>
      </c>
      <c r="N395" s="2" t="s">
        <v>1538</v>
      </c>
      <c r="O395" s="2">
        <v>95</v>
      </c>
      <c r="P395" s="2" t="s">
        <v>260</v>
      </c>
      <c r="Q395" s="2">
        <v>95</v>
      </c>
      <c r="R395" s="2" t="s">
        <v>787</v>
      </c>
      <c r="S395" s="2">
        <v>95</v>
      </c>
      <c r="T395" s="2" t="s">
        <v>272</v>
      </c>
      <c r="U395" s="2">
        <v>90</v>
      </c>
      <c r="V395" s="2" t="s">
        <v>263</v>
      </c>
      <c r="W395" s="2">
        <v>95</v>
      </c>
      <c r="X395" s="2">
        <v>1</v>
      </c>
      <c r="Y395" s="2">
        <v>90</v>
      </c>
      <c r="Z395" s="2" t="s">
        <v>1539</v>
      </c>
      <c r="AA395" s="2">
        <v>95</v>
      </c>
      <c r="AB395" s="2" t="s">
        <v>1540</v>
      </c>
      <c r="AC395" s="2">
        <v>92</v>
      </c>
      <c r="AD395" s="2">
        <v>10</v>
      </c>
      <c r="AE395" s="2">
        <v>90</v>
      </c>
      <c r="AF395" s="2" t="s">
        <v>790</v>
      </c>
      <c r="AG395" s="2">
        <v>85</v>
      </c>
      <c r="AH395" s="2" t="s">
        <v>1541</v>
      </c>
      <c r="AI395" s="2">
        <v>95</v>
      </c>
      <c r="AJ395" s="2" t="s">
        <v>277</v>
      </c>
      <c r="AK395" s="2">
        <v>95</v>
      </c>
    </row>
    <row r="396" spans="1:37" x14ac:dyDescent="0.25">
      <c r="A396" s="2" t="s">
        <v>158</v>
      </c>
      <c r="B396" s="2" t="s">
        <v>256</v>
      </c>
      <c r="C396" s="2" t="s">
        <v>9</v>
      </c>
      <c r="D396" s="3">
        <v>46080.530763888892</v>
      </c>
      <c r="E396" s="2">
        <v>93.45</v>
      </c>
      <c r="F396" s="2">
        <v>26</v>
      </c>
      <c r="G396" s="2">
        <v>0</v>
      </c>
      <c r="I396" s="2" t="s">
        <v>1537</v>
      </c>
      <c r="J396" s="2" t="s">
        <v>258</v>
      </c>
      <c r="K396" s="2">
        <v>2</v>
      </c>
      <c r="L396" s="2">
        <v>3507009731</v>
      </c>
      <c r="M396" s="2">
        <v>95</v>
      </c>
      <c r="N396" s="2" t="s">
        <v>1538</v>
      </c>
      <c r="O396" s="2">
        <v>95</v>
      </c>
      <c r="P396" s="2" t="s">
        <v>260</v>
      </c>
      <c r="Q396" s="2">
        <v>95</v>
      </c>
      <c r="R396" s="2" t="s">
        <v>787</v>
      </c>
      <c r="S396" s="2">
        <v>95</v>
      </c>
      <c r="T396" s="2" t="s">
        <v>272</v>
      </c>
      <c r="U396" s="2">
        <v>90</v>
      </c>
      <c r="V396" s="2" t="s">
        <v>263</v>
      </c>
      <c r="W396" s="2">
        <v>95</v>
      </c>
      <c r="X396" s="2">
        <v>2</v>
      </c>
      <c r="Y396" s="2">
        <v>90</v>
      </c>
      <c r="Z396" s="2" t="s">
        <v>1542</v>
      </c>
      <c r="AA396" s="2">
        <v>95</v>
      </c>
      <c r="AB396" s="2" t="s">
        <v>1543</v>
      </c>
      <c r="AC396" s="2">
        <v>92</v>
      </c>
      <c r="AD396" s="2">
        <v>5</v>
      </c>
      <c r="AE396" s="2">
        <v>95</v>
      </c>
      <c r="AF396" s="2" t="s">
        <v>346</v>
      </c>
      <c r="AG396" s="2">
        <v>95</v>
      </c>
      <c r="AH396" s="2" t="s">
        <v>1544</v>
      </c>
      <c r="AI396" s="2">
        <v>95</v>
      </c>
      <c r="AJ396" s="2" t="s">
        <v>277</v>
      </c>
      <c r="AK396" s="2">
        <v>95</v>
      </c>
    </row>
    <row r="397" spans="1:37" x14ac:dyDescent="0.25">
      <c r="A397" s="2" t="s">
        <v>183</v>
      </c>
      <c r="B397" s="2" t="s">
        <v>256</v>
      </c>
      <c r="C397" s="2" t="s">
        <v>9</v>
      </c>
      <c r="D397" s="3">
        <v>46080.530763888892</v>
      </c>
      <c r="E397" s="2">
        <v>93.11</v>
      </c>
      <c r="F397" s="2">
        <v>26</v>
      </c>
      <c r="G397" s="2">
        <v>0</v>
      </c>
      <c r="I397" s="2" t="s">
        <v>1545</v>
      </c>
      <c r="J397" s="2" t="s">
        <v>258</v>
      </c>
      <c r="K397" s="2">
        <v>1</v>
      </c>
      <c r="L397" s="2">
        <v>3501022494</v>
      </c>
      <c r="M397" s="2">
        <v>98</v>
      </c>
      <c r="N397" s="2" t="s">
        <v>1546</v>
      </c>
      <c r="O397" s="2">
        <v>95</v>
      </c>
      <c r="P397" s="2" t="s">
        <v>260</v>
      </c>
      <c r="Q397" s="2">
        <v>98</v>
      </c>
      <c r="R397" s="2" t="s">
        <v>723</v>
      </c>
      <c r="S397" s="2">
        <v>90</v>
      </c>
      <c r="T397" s="2" t="s">
        <v>1547</v>
      </c>
      <c r="U397" s="2">
        <v>95</v>
      </c>
      <c r="V397" s="2" t="s">
        <v>263</v>
      </c>
      <c r="W397" s="2">
        <v>95</v>
      </c>
      <c r="X397" s="2">
        <v>1</v>
      </c>
      <c r="Y397" s="2">
        <v>90</v>
      </c>
      <c r="Z397" s="2" t="s">
        <v>1548</v>
      </c>
      <c r="AA397" s="2">
        <v>98</v>
      </c>
      <c r="AB397" s="2" t="s">
        <v>1549</v>
      </c>
      <c r="AC397" s="2">
        <v>90</v>
      </c>
      <c r="AD397" s="2">
        <v>3</v>
      </c>
      <c r="AE397" s="2">
        <v>95</v>
      </c>
      <c r="AF397" s="2" t="s">
        <v>1550</v>
      </c>
      <c r="AG397" s="2">
        <v>85</v>
      </c>
      <c r="AH397" s="2" t="s">
        <v>1551</v>
      </c>
      <c r="AI397" s="2">
        <v>95</v>
      </c>
      <c r="AJ397" s="2" t="s">
        <v>277</v>
      </c>
      <c r="AK397" s="2">
        <v>95</v>
      </c>
    </row>
    <row r="398" spans="1:37" x14ac:dyDescent="0.25">
      <c r="A398" s="2" t="s">
        <v>183</v>
      </c>
      <c r="B398" s="2" t="s">
        <v>256</v>
      </c>
      <c r="C398" s="2" t="s">
        <v>9</v>
      </c>
      <c r="D398" s="3">
        <v>46080.530763888892</v>
      </c>
      <c r="E398" s="2">
        <v>93.11</v>
      </c>
      <c r="F398" s="2">
        <v>26</v>
      </c>
      <c r="G398" s="2">
        <v>0</v>
      </c>
      <c r="I398" s="2" t="s">
        <v>1545</v>
      </c>
      <c r="J398" s="2" t="s">
        <v>258</v>
      </c>
      <c r="K398" s="2">
        <v>2</v>
      </c>
      <c r="L398" s="2">
        <v>3501022494</v>
      </c>
      <c r="M398" s="2">
        <v>98</v>
      </c>
      <c r="N398" s="2" t="s">
        <v>1546</v>
      </c>
      <c r="O398" s="2">
        <v>95</v>
      </c>
      <c r="P398" s="2" t="s">
        <v>260</v>
      </c>
      <c r="Q398" s="2">
        <v>98</v>
      </c>
      <c r="R398" s="2" t="s">
        <v>723</v>
      </c>
      <c r="S398" s="2">
        <v>90</v>
      </c>
      <c r="T398" s="2" t="s">
        <v>1547</v>
      </c>
      <c r="U398" s="2">
        <v>95</v>
      </c>
      <c r="V398" s="2" t="s">
        <v>263</v>
      </c>
      <c r="W398" s="2">
        <v>95</v>
      </c>
      <c r="X398" s="2">
        <v>2</v>
      </c>
      <c r="Y398" s="2">
        <v>90</v>
      </c>
      <c r="Z398" s="2" t="s">
        <v>1552</v>
      </c>
      <c r="AA398" s="2">
        <v>98</v>
      </c>
      <c r="AB398" s="2" t="s">
        <v>1553</v>
      </c>
      <c r="AC398" s="2">
        <v>90</v>
      </c>
      <c r="AD398" s="2">
        <v>2</v>
      </c>
      <c r="AE398" s="2">
        <v>95</v>
      </c>
      <c r="AF398" s="2" t="s">
        <v>1550</v>
      </c>
      <c r="AG398" s="2">
        <v>85</v>
      </c>
      <c r="AH398" s="2" t="s">
        <v>1551</v>
      </c>
      <c r="AI398" s="2">
        <v>95</v>
      </c>
      <c r="AJ398" s="2" t="s">
        <v>277</v>
      </c>
      <c r="AK398" s="2">
        <v>95</v>
      </c>
    </row>
    <row r="399" spans="1:37" x14ac:dyDescent="0.25">
      <c r="A399" s="2" t="s">
        <v>141</v>
      </c>
      <c r="C399" s="2" t="s">
        <v>11</v>
      </c>
      <c r="D399" s="3">
        <v>46080.530763888892</v>
      </c>
      <c r="E399" s="2">
        <v>32</v>
      </c>
      <c r="F399" s="2">
        <v>0</v>
      </c>
      <c r="G399" s="2">
        <v>0</v>
      </c>
      <c r="I399" s="2" t="s">
        <v>1554</v>
      </c>
    </row>
    <row r="400" spans="1:37" x14ac:dyDescent="0.25">
      <c r="A400" s="2" t="s">
        <v>104</v>
      </c>
      <c r="B400" s="2" t="s">
        <v>256</v>
      </c>
      <c r="C400" s="2" t="s">
        <v>9</v>
      </c>
      <c r="D400" s="3">
        <v>46080.530763888892</v>
      </c>
      <c r="E400" s="2">
        <v>93.11</v>
      </c>
      <c r="F400" s="2">
        <v>26</v>
      </c>
      <c r="G400" s="2">
        <v>0</v>
      </c>
      <c r="I400" s="2" t="s">
        <v>1555</v>
      </c>
      <c r="J400" s="2" t="s">
        <v>258</v>
      </c>
      <c r="K400" s="2">
        <v>1</v>
      </c>
      <c r="L400" s="2">
        <v>3501022505</v>
      </c>
      <c r="M400" s="2">
        <v>95</v>
      </c>
      <c r="N400" s="2" t="s">
        <v>1556</v>
      </c>
      <c r="O400" s="2">
        <v>92</v>
      </c>
      <c r="P400" s="2" t="s">
        <v>260</v>
      </c>
      <c r="Q400" s="2">
        <v>96</v>
      </c>
      <c r="R400" s="2" t="s">
        <v>723</v>
      </c>
      <c r="S400" s="2">
        <v>90</v>
      </c>
      <c r="T400" s="2" t="s">
        <v>724</v>
      </c>
      <c r="U400" s="2">
        <v>92</v>
      </c>
      <c r="V400" s="2" t="s">
        <v>263</v>
      </c>
      <c r="W400" s="2">
        <v>95</v>
      </c>
      <c r="X400" s="2">
        <v>1</v>
      </c>
      <c r="Y400" s="2">
        <v>90</v>
      </c>
      <c r="Z400" s="2" t="s">
        <v>1557</v>
      </c>
      <c r="AA400" s="2">
        <v>94</v>
      </c>
      <c r="AB400" s="2" t="s">
        <v>1558</v>
      </c>
      <c r="AC400" s="2">
        <v>93</v>
      </c>
      <c r="AD400" s="2">
        <v>2</v>
      </c>
      <c r="AE400" s="2">
        <v>94</v>
      </c>
      <c r="AF400" s="2" t="s">
        <v>739</v>
      </c>
      <c r="AG400" s="2">
        <v>70</v>
      </c>
      <c r="AH400" s="2" t="s">
        <v>1559</v>
      </c>
      <c r="AI400" s="2">
        <v>95</v>
      </c>
      <c r="AJ400" s="2" t="s">
        <v>277</v>
      </c>
      <c r="AK400" s="2">
        <v>96</v>
      </c>
    </row>
    <row r="401" spans="1:37" x14ac:dyDescent="0.25">
      <c r="A401" s="2" t="s">
        <v>104</v>
      </c>
      <c r="B401" s="2" t="s">
        <v>256</v>
      </c>
      <c r="C401" s="2" t="s">
        <v>9</v>
      </c>
      <c r="D401" s="3">
        <v>46080.530763888892</v>
      </c>
      <c r="E401" s="2">
        <v>93.11</v>
      </c>
      <c r="F401" s="2">
        <v>26</v>
      </c>
      <c r="G401" s="2">
        <v>0</v>
      </c>
      <c r="I401" s="2" t="s">
        <v>1555</v>
      </c>
      <c r="J401" s="2" t="s">
        <v>258</v>
      </c>
      <c r="K401" s="2">
        <v>2</v>
      </c>
      <c r="L401" s="2">
        <v>3501022505</v>
      </c>
      <c r="M401" s="2">
        <v>95</v>
      </c>
      <c r="N401" s="2" t="s">
        <v>1556</v>
      </c>
      <c r="O401" s="2">
        <v>92</v>
      </c>
      <c r="P401" s="2" t="s">
        <v>260</v>
      </c>
      <c r="Q401" s="2">
        <v>96</v>
      </c>
      <c r="R401" s="2" t="s">
        <v>723</v>
      </c>
      <c r="S401" s="2">
        <v>90</v>
      </c>
      <c r="T401" s="2" t="s">
        <v>724</v>
      </c>
      <c r="U401" s="2">
        <v>92</v>
      </c>
      <c r="V401" s="2" t="s">
        <v>263</v>
      </c>
      <c r="W401" s="2">
        <v>95</v>
      </c>
      <c r="X401" s="2">
        <v>2</v>
      </c>
      <c r="Y401" s="2">
        <v>90</v>
      </c>
      <c r="Z401" s="2" t="s">
        <v>1362</v>
      </c>
      <c r="AA401" s="2">
        <v>90</v>
      </c>
      <c r="AB401" s="2" t="s">
        <v>1363</v>
      </c>
      <c r="AC401" s="2">
        <v>92</v>
      </c>
      <c r="AD401" s="2">
        <v>10</v>
      </c>
      <c r="AE401" s="2">
        <v>94</v>
      </c>
      <c r="AF401" s="2" t="s">
        <v>904</v>
      </c>
      <c r="AG401" s="2">
        <v>70</v>
      </c>
      <c r="AH401" s="2" t="s">
        <v>1560</v>
      </c>
      <c r="AI401" s="2">
        <v>95</v>
      </c>
      <c r="AJ401" s="2" t="s">
        <v>277</v>
      </c>
      <c r="AK401" s="2">
        <v>96</v>
      </c>
    </row>
    <row r="402" spans="1:37" x14ac:dyDescent="0.25">
      <c r="A402" s="2" t="s">
        <v>111</v>
      </c>
      <c r="B402" s="2" t="s">
        <v>256</v>
      </c>
      <c r="C402" s="2" t="s">
        <v>9</v>
      </c>
      <c r="D402" s="3">
        <v>46080.530763888892</v>
      </c>
      <c r="E402" s="2">
        <v>68.62</v>
      </c>
      <c r="F402" s="2">
        <v>391</v>
      </c>
      <c r="G402" s="2">
        <v>1</v>
      </c>
      <c r="I402" s="2" t="s">
        <v>1561</v>
      </c>
      <c r="J402" s="2" t="s">
        <v>258</v>
      </c>
      <c r="K402" s="2">
        <v>1</v>
      </c>
      <c r="L402" s="2">
        <v>3507009725</v>
      </c>
      <c r="M402" s="2">
        <v>99</v>
      </c>
      <c r="N402" s="2" t="s">
        <v>1562</v>
      </c>
      <c r="O402" s="2">
        <v>98</v>
      </c>
      <c r="P402" s="2" t="s">
        <v>260</v>
      </c>
      <c r="Q402" s="2">
        <v>98</v>
      </c>
      <c r="R402" s="2" t="s">
        <v>1563</v>
      </c>
      <c r="S402" s="2">
        <v>99</v>
      </c>
      <c r="T402" s="2" t="s">
        <v>1564</v>
      </c>
      <c r="U402" s="2">
        <v>95</v>
      </c>
      <c r="V402" s="2" t="s">
        <v>263</v>
      </c>
      <c r="W402" s="2">
        <v>98</v>
      </c>
      <c r="X402" s="2">
        <v>1</v>
      </c>
      <c r="Y402" s="2">
        <v>50</v>
      </c>
      <c r="Z402" s="2" t="s">
        <v>1565</v>
      </c>
      <c r="AA402" s="2">
        <v>90</v>
      </c>
      <c r="AB402" s="2" t="s">
        <v>1566</v>
      </c>
      <c r="AC402" s="2">
        <v>88</v>
      </c>
      <c r="AD402" s="2">
        <v>1</v>
      </c>
      <c r="AE402" s="2">
        <v>98</v>
      </c>
      <c r="AF402" s="2" t="s">
        <v>1567</v>
      </c>
      <c r="AG402" s="2">
        <v>50</v>
      </c>
      <c r="AH402" s="2" t="s">
        <v>1568</v>
      </c>
      <c r="AI402" s="2">
        <v>97</v>
      </c>
      <c r="AJ402" s="2" t="s">
        <v>350</v>
      </c>
      <c r="AK402" s="2">
        <v>95</v>
      </c>
    </row>
    <row r="403" spans="1:37" x14ac:dyDescent="0.25">
      <c r="A403" s="2" t="s">
        <v>111</v>
      </c>
      <c r="B403" s="2" t="s">
        <v>256</v>
      </c>
      <c r="C403" s="2" t="s">
        <v>9</v>
      </c>
      <c r="D403" s="3">
        <v>46080.530763888892</v>
      </c>
      <c r="E403" s="2">
        <v>68.62</v>
      </c>
      <c r="F403" s="2">
        <v>391</v>
      </c>
      <c r="G403" s="2">
        <v>1</v>
      </c>
      <c r="I403" s="2" t="s">
        <v>1561</v>
      </c>
      <c r="J403" s="2" t="s">
        <v>258</v>
      </c>
      <c r="K403" s="2">
        <v>2</v>
      </c>
      <c r="L403" s="2">
        <v>3507009725</v>
      </c>
      <c r="M403" s="2">
        <v>50</v>
      </c>
      <c r="N403" s="2" t="s">
        <v>1562</v>
      </c>
      <c r="O403" s="2">
        <v>50</v>
      </c>
      <c r="P403" s="2" t="s">
        <v>260</v>
      </c>
      <c r="Q403" s="2">
        <v>50</v>
      </c>
      <c r="R403" s="2" t="s">
        <v>1563</v>
      </c>
      <c r="S403" s="2">
        <v>50</v>
      </c>
      <c r="T403" s="2" t="s">
        <v>1564</v>
      </c>
      <c r="U403" s="2">
        <v>50</v>
      </c>
      <c r="V403" s="2" t="s">
        <v>263</v>
      </c>
      <c r="W403" s="2">
        <v>50</v>
      </c>
      <c r="X403" s="2">
        <v>2</v>
      </c>
      <c r="Y403" s="2">
        <v>50</v>
      </c>
      <c r="Z403" s="2" t="s">
        <v>1569</v>
      </c>
      <c r="AA403" s="2">
        <v>95</v>
      </c>
      <c r="AB403" s="2" t="s">
        <v>1570</v>
      </c>
      <c r="AC403" s="2">
        <v>50</v>
      </c>
      <c r="AD403" s="2">
        <v>4</v>
      </c>
      <c r="AE403" s="2">
        <v>50</v>
      </c>
      <c r="AF403" s="2" t="s">
        <v>1567</v>
      </c>
      <c r="AG403" s="2">
        <v>50</v>
      </c>
      <c r="AH403" s="2" t="s">
        <v>1571</v>
      </c>
      <c r="AI403" s="2">
        <v>50</v>
      </c>
      <c r="AJ403" s="2" t="s">
        <v>350</v>
      </c>
      <c r="AK403" s="2">
        <v>50</v>
      </c>
    </row>
    <row r="404" spans="1:37" x14ac:dyDescent="0.25">
      <c r="A404" s="2" t="s">
        <v>111</v>
      </c>
      <c r="B404" s="2" t="s">
        <v>256</v>
      </c>
      <c r="C404" s="2" t="s">
        <v>9</v>
      </c>
      <c r="D404" s="3">
        <v>46080.530763888892</v>
      </c>
      <c r="E404" s="2">
        <v>68.62</v>
      </c>
      <c r="F404" s="2">
        <v>391</v>
      </c>
      <c r="G404" s="2">
        <v>1</v>
      </c>
      <c r="I404" s="2" t="s">
        <v>1561</v>
      </c>
      <c r="J404" s="2" t="s">
        <v>258</v>
      </c>
      <c r="K404" s="2">
        <v>3</v>
      </c>
      <c r="L404" s="2">
        <v>3507009725</v>
      </c>
      <c r="M404" s="2">
        <v>50</v>
      </c>
      <c r="N404" s="2" t="s">
        <v>1562</v>
      </c>
      <c r="O404" s="2">
        <v>50</v>
      </c>
      <c r="P404" s="2" t="s">
        <v>260</v>
      </c>
      <c r="Q404" s="2">
        <v>50</v>
      </c>
      <c r="R404" s="2" t="s">
        <v>1563</v>
      </c>
      <c r="S404" s="2">
        <v>50</v>
      </c>
      <c r="T404" s="2" t="s">
        <v>1564</v>
      </c>
      <c r="U404" s="2">
        <v>50</v>
      </c>
      <c r="V404" s="2" t="s">
        <v>263</v>
      </c>
      <c r="W404" s="2">
        <v>50</v>
      </c>
      <c r="X404" s="2">
        <v>3</v>
      </c>
      <c r="Y404" s="2">
        <v>50</v>
      </c>
      <c r="Z404" s="2" t="s">
        <v>1572</v>
      </c>
      <c r="AA404" s="2">
        <v>95</v>
      </c>
      <c r="AB404" s="2" t="s">
        <v>1573</v>
      </c>
      <c r="AC404" s="2">
        <v>50</v>
      </c>
      <c r="AD404" s="2">
        <v>4</v>
      </c>
      <c r="AE404" s="2">
        <v>50</v>
      </c>
      <c r="AF404" s="2" t="s">
        <v>1567</v>
      </c>
      <c r="AG404" s="2">
        <v>50</v>
      </c>
      <c r="AH404" s="2" t="s">
        <v>1574</v>
      </c>
      <c r="AI404" s="2">
        <v>50</v>
      </c>
      <c r="AJ404" s="2" t="s">
        <v>350</v>
      </c>
      <c r="AK404" s="2">
        <v>50</v>
      </c>
    </row>
    <row r="405" spans="1:37" x14ac:dyDescent="0.25">
      <c r="A405" s="2" t="s">
        <v>111</v>
      </c>
      <c r="B405" s="2" t="s">
        <v>256</v>
      </c>
      <c r="C405" s="2" t="s">
        <v>9</v>
      </c>
      <c r="D405" s="3">
        <v>46080.530763888892</v>
      </c>
      <c r="E405" s="2">
        <v>68.62</v>
      </c>
      <c r="F405" s="2">
        <v>391</v>
      </c>
      <c r="G405" s="2">
        <v>1</v>
      </c>
      <c r="I405" s="2" t="s">
        <v>1561</v>
      </c>
      <c r="J405" s="2" t="s">
        <v>258</v>
      </c>
      <c r="K405" s="2">
        <v>4</v>
      </c>
      <c r="L405" s="2">
        <v>3507009725</v>
      </c>
      <c r="M405" s="2">
        <v>50</v>
      </c>
      <c r="N405" s="2" t="s">
        <v>1562</v>
      </c>
      <c r="O405" s="2">
        <v>50</v>
      </c>
      <c r="P405" s="2" t="s">
        <v>260</v>
      </c>
      <c r="Q405" s="2">
        <v>50</v>
      </c>
      <c r="R405" s="2" t="s">
        <v>1563</v>
      </c>
      <c r="S405" s="2">
        <v>50</v>
      </c>
      <c r="T405" s="2" t="s">
        <v>1564</v>
      </c>
      <c r="U405" s="2">
        <v>50</v>
      </c>
      <c r="V405" s="2" t="s">
        <v>263</v>
      </c>
      <c r="W405" s="2">
        <v>50</v>
      </c>
      <c r="X405" s="2">
        <v>4</v>
      </c>
      <c r="Y405" s="2">
        <v>50</v>
      </c>
      <c r="Z405" s="2" t="s">
        <v>1575</v>
      </c>
      <c r="AA405" s="2">
        <v>88</v>
      </c>
      <c r="AB405" s="2" t="s">
        <v>1576</v>
      </c>
      <c r="AC405" s="2">
        <v>50</v>
      </c>
      <c r="AD405" s="2">
        <v>1</v>
      </c>
      <c r="AE405" s="2">
        <v>50</v>
      </c>
      <c r="AF405" s="2" t="s">
        <v>1567</v>
      </c>
      <c r="AG405" s="2">
        <v>50</v>
      </c>
      <c r="AH405" s="2" t="s">
        <v>1577</v>
      </c>
      <c r="AI405" s="2">
        <v>50</v>
      </c>
      <c r="AJ405" s="2" t="s">
        <v>350</v>
      </c>
      <c r="AK405" s="2">
        <v>50</v>
      </c>
    </row>
    <row r="406" spans="1:37" x14ac:dyDescent="0.25">
      <c r="A406" s="2" t="s">
        <v>111</v>
      </c>
      <c r="B406" s="2" t="s">
        <v>256</v>
      </c>
      <c r="C406" s="2" t="s">
        <v>9</v>
      </c>
      <c r="D406" s="3">
        <v>46080.530763888892</v>
      </c>
      <c r="E406" s="2">
        <v>68.62</v>
      </c>
      <c r="F406" s="2">
        <v>391</v>
      </c>
      <c r="G406" s="2">
        <v>1</v>
      </c>
      <c r="I406" s="2" t="s">
        <v>1561</v>
      </c>
      <c r="J406" s="2" t="s">
        <v>258</v>
      </c>
      <c r="K406" s="2">
        <v>5</v>
      </c>
      <c r="L406" s="2">
        <v>3507009725</v>
      </c>
      <c r="M406" s="2">
        <v>50</v>
      </c>
      <c r="N406" s="2" t="s">
        <v>1562</v>
      </c>
      <c r="O406" s="2">
        <v>50</v>
      </c>
      <c r="P406" s="2" t="s">
        <v>260</v>
      </c>
      <c r="Q406" s="2">
        <v>50</v>
      </c>
      <c r="R406" s="2" t="s">
        <v>1563</v>
      </c>
      <c r="S406" s="2">
        <v>50</v>
      </c>
      <c r="T406" s="2" t="s">
        <v>1564</v>
      </c>
      <c r="U406" s="2">
        <v>50</v>
      </c>
      <c r="V406" s="2" t="s">
        <v>263</v>
      </c>
      <c r="W406" s="2">
        <v>50</v>
      </c>
      <c r="X406" s="2">
        <v>5</v>
      </c>
      <c r="Y406" s="2">
        <v>50</v>
      </c>
      <c r="Z406" s="2" t="s">
        <v>1578</v>
      </c>
      <c r="AA406" s="2">
        <v>90</v>
      </c>
      <c r="AB406" s="2" t="s">
        <v>1579</v>
      </c>
      <c r="AC406" s="2">
        <v>50</v>
      </c>
      <c r="AD406" s="2">
        <v>3</v>
      </c>
      <c r="AE406" s="2">
        <v>50</v>
      </c>
      <c r="AF406" s="2" t="s">
        <v>1567</v>
      </c>
      <c r="AG406" s="2">
        <v>50</v>
      </c>
      <c r="AH406" s="2" t="s">
        <v>1580</v>
      </c>
      <c r="AI406" s="2">
        <v>50</v>
      </c>
      <c r="AJ406" s="2" t="s">
        <v>350</v>
      </c>
      <c r="AK406" s="2">
        <v>50</v>
      </c>
    </row>
    <row r="407" spans="1:37" x14ac:dyDescent="0.25">
      <c r="A407" s="2" t="s">
        <v>111</v>
      </c>
      <c r="B407" s="2" t="s">
        <v>256</v>
      </c>
      <c r="C407" s="2" t="s">
        <v>9</v>
      </c>
      <c r="D407" s="3">
        <v>46080.530763888892</v>
      </c>
      <c r="E407" s="2">
        <v>68.62</v>
      </c>
      <c r="F407" s="2">
        <v>391</v>
      </c>
      <c r="G407" s="2">
        <v>1</v>
      </c>
      <c r="I407" s="2" t="s">
        <v>1561</v>
      </c>
      <c r="J407" s="2" t="s">
        <v>258</v>
      </c>
      <c r="K407" s="2">
        <v>6</v>
      </c>
      <c r="L407" s="2">
        <v>3507009725</v>
      </c>
      <c r="M407" s="2">
        <v>50</v>
      </c>
      <c r="N407" s="2" t="s">
        <v>1562</v>
      </c>
      <c r="O407" s="2">
        <v>50</v>
      </c>
      <c r="P407" s="2" t="s">
        <v>260</v>
      </c>
      <c r="Q407" s="2">
        <v>50</v>
      </c>
      <c r="R407" s="2" t="s">
        <v>1563</v>
      </c>
      <c r="S407" s="2">
        <v>50</v>
      </c>
      <c r="T407" s="2" t="s">
        <v>1564</v>
      </c>
      <c r="U407" s="2">
        <v>50</v>
      </c>
      <c r="V407" s="2" t="s">
        <v>263</v>
      </c>
      <c r="W407" s="2">
        <v>50</v>
      </c>
      <c r="X407" s="2">
        <v>6</v>
      </c>
      <c r="Y407" s="2">
        <v>50</v>
      </c>
      <c r="Z407" s="2" t="s">
        <v>1581</v>
      </c>
      <c r="AA407" s="2">
        <v>85</v>
      </c>
      <c r="AB407" s="2" t="s">
        <v>1582</v>
      </c>
      <c r="AC407" s="2">
        <v>50</v>
      </c>
      <c r="AD407" s="2">
        <v>1</v>
      </c>
      <c r="AE407" s="2">
        <v>50</v>
      </c>
      <c r="AF407" s="2" t="s">
        <v>1567</v>
      </c>
      <c r="AG407" s="2">
        <v>50</v>
      </c>
      <c r="AH407" s="2" t="s">
        <v>1583</v>
      </c>
      <c r="AI407" s="2">
        <v>50</v>
      </c>
      <c r="AJ407" s="2" t="s">
        <v>350</v>
      </c>
      <c r="AK407" s="2">
        <v>50</v>
      </c>
    </row>
    <row r="408" spans="1:37" x14ac:dyDescent="0.25">
      <c r="A408" s="2" t="s">
        <v>111</v>
      </c>
      <c r="B408" s="2" t="s">
        <v>256</v>
      </c>
      <c r="C408" s="2" t="s">
        <v>9</v>
      </c>
      <c r="D408" s="3">
        <v>46080.530763888892</v>
      </c>
      <c r="E408" s="2">
        <v>68.62</v>
      </c>
      <c r="F408" s="2">
        <v>391</v>
      </c>
      <c r="G408" s="2">
        <v>1</v>
      </c>
      <c r="I408" s="2" t="s">
        <v>1561</v>
      </c>
      <c r="J408" s="2" t="s">
        <v>258</v>
      </c>
      <c r="K408" s="2">
        <v>7</v>
      </c>
      <c r="L408" s="2">
        <v>3507009725</v>
      </c>
      <c r="M408" s="2">
        <v>50</v>
      </c>
      <c r="N408" s="2" t="s">
        <v>1562</v>
      </c>
      <c r="O408" s="2">
        <v>50</v>
      </c>
      <c r="P408" s="2" t="s">
        <v>260</v>
      </c>
      <c r="Q408" s="2">
        <v>50</v>
      </c>
      <c r="R408" s="2" t="s">
        <v>1563</v>
      </c>
      <c r="S408" s="2">
        <v>50</v>
      </c>
      <c r="T408" s="2" t="s">
        <v>1564</v>
      </c>
      <c r="U408" s="2">
        <v>50</v>
      </c>
      <c r="V408" s="2" t="s">
        <v>263</v>
      </c>
      <c r="W408" s="2">
        <v>50</v>
      </c>
      <c r="X408" s="2">
        <v>7</v>
      </c>
      <c r="Y408" s="2">
        <v>50</v>
      </c>
      <c r="Z408" s="2" t="s">
        <v>1584</v>
      </c>
      <c r="AA408" s="2">
        <v>92</v>
      </c>
      <c r="AB408" s="2" t="s">
        <v>1585</v>
      </c>
      <c r="AC408" s="2">
        <v>50</v>
      </c>
      <c r="AD408" s="2">
        <v>3</v>
      </c>
      <c r="AE408" s="2">
        <v>50</v>
      </c>
      <c r="AF408" s="2" t="s">
        <v>1567</v>
      </c>
      <c r="AG408" s="2">
        <v>50</v>
      </c>
      <c r="AH408" s="2" t="s">
        <v>1586</v>
      </c>
      <c r="AI408" s="2">
        <v>50</v>
      </c>
      <c r="AJ408" s="2" t="s">
        <v>350</v>
      </c>
      <c r="AK408" s="2">
        <v>50</v>
      </c>
    </row>
    <row r="409" spans="1:37" x14ac:dyDescent="0.25">
      <c r="A409" s="2" t="s">
        <v>111</v>
      </c>
      <c r="B409" s="2" t="s">
        <v>256</v>
      </c>
      <c r="C409" s="2" t="s">
        <v>9</v>
      </c>
      <c r="D409" s="3">
        <v>46080.530763888892</v>
      </c>
      <c r="E409" s="2">
        <v>68.62</v>
      </c>
      <c r="F409" s="2">
        <v>391</v>
      </c>
      <c r="G409" s="2">
        <v>1</v>
      </c>
      <c r="I409" s="2" t="s">
        <v>1561</v>
      </c>
      <c r="J409" s="2" t="s">
        <v>258</v>
      </c>
      <c r="K409" s="2">
        <v>8</v>
      </c>
      <c r="L409" s="2">
        <v>3507009725</v>
      </c>
      <c r="M409" s="2">
        <v>50</v>
      </c>
      <c r="N409" s="2" t="s">
        <v>1562</v>
      </c>
      <c r="O409" s="2">
        <v>50</v>
      </c>
      <c r="P409" s="2" t="s">
        <v>260</v>
      </c>
      <c r="Q409" s="2">
        <v>50</v>
      </c>
      <c r="R409" s="2" t="s">
        <v>1563</v>
      </c>
      <c r="S409" s="2">
        <v>50</v>
      </c>
      <c r="T409" s="2" t="s">
        <v>1564</v>
      </c>
      <c r="U409" s="2">
        <v>50</v>
      </c>
      <c r="V409" s="2" t="s">
        <v>263</v>
      </c>
      <c r="W409" s="2">
        <v>50</v>
      </c>
      <c r="X409" s="2">
        <v>8</v>
      </c>
      <c r="Y409" s="2">
        <v>50</v>
      </c>
      <c r="Z409" s="2" t="s">
        <v>1587</v>
      </c>
      <c r="AA409" s="2">
        <v>92</v>
      </c>
      <c r="AB409" s="2" t="s">
        <v>1588</v>
      </c>
      <c r="AC409" s="2">
        <v>50</v>
      </c>
      <c r="AD409" s="2">
        <v>2</v>
      </c>
      <c r="AE409" s="2">
        <v>50</v>
      </c>
      <c r="AF409" s="2" t="s">
        <v>1567</v>
      </c>
      <c r="AG409" s="2">
        <v>50</v>
      </c>
      <c r="AH409" s="2" t="s">
        <v>1589</v>
      </c>
      <c r="AI409" s="2">
        <v>50</v>
      </c>
      <c r="AJ409" s="2" t="s">
        <v>350</v>
      </c>
      <c r="AK409" s="2">
        <v>50</v>
      </c>
    </row>
    <row r="410" spans="1:37" x14ac:dyDescent="0.25">
      <c r="A410" s="2" t="s">
        <v>111</v>
      </c>
      <c r="B410" s="2" t="s">
        <v>256</v>
      </c>
      <c r="C410" s="2" t="s">
        <v>9</v>
      </c>
      <c r="D410" s="3">
        <v>46080.530763888892</v>
      </c>
      <c r="E410" s="2">
        <v>68.62</v>
      </c>
      <c r="F410" s="2">
        <v>391</v>
      </c>
      <c r="G410" s="2">
        <v>1</v>
      </c>
      <c r="I410" s="2" t="s">
        <v>1561</v>
      </c>
      <c r="J410" s="2" t="s">
        <v>258</v>
      </c>
      <c r="K410" s="2">
        <v>9</v>
      </c>
      <c r="L410" s="2">
        <v>3507009725</v>
      </c>
      <c r="M410" s="2">
        <v>50</v>
      </c>
      <c r="N410" s="2" t="s">
        <v>1562</v>
      </c>
      <c r="O410" s="2">
        <v>50</v>
      </c>
      <c r="P410" s="2" t="s">
        <v>260</v>
      </c>
      <c r="Q410" s="2">
        <v>50</v>
      </c>
      <c r="R410" s="2" t="s">
        <v>1563</v>
      </c>
      <c r="S410" s="2">
        <v>50</v>
      </c>
      <c r="T410" s="2" t="s">
        <v>1564</v>
      </c>
      <c r="U410" s="2">
        <v>50</v>
      </c>
      <c r="V410" s="2" t="s">
        <v>263</v>
      </c>
      <c r="W410" s="2">
        <v>50</v>
      </c>
      <c r="X410" s="2">
        <v>9</v>
      </c>
      <c r="Y410" s="2">
        <v>50</v>
      </c>
      <c r="Z410" s="2" t="s">
        <v>1590</v>
      </c>
      <c r="AA410" s="2">
        <v>92</v>
      </c>
      <c r="AB410" s="2" t="s">
        <v>1591</v>
      </c>
      <c r="AC410" s="2">
        <v>50</v>
      </c>
      <c r="AD410" s="2">
        <v>20</v>
      </c>
      <c r="AE410" s="2">
        <v>50</v>
      </c>
      <c r="AF410" s="2" t="s">
        <v>1567</v>
      </c>
      <c r="AG410" s="2">
        <v>50</v>
      </c>
      <c r="AH410" s="2" t="s">
        <v>1592</v>
      </c>
      <c r="AI410" s="2">
        <v>50</v>
      </c>
      <c r="AJ410" s="2" t="s">
        <v>350</v>
      </c>
      <c r="AK410" s="2">
        <v>50</v>
      </c>
    </row>
    <row r="411" spans="1:37" x14ac:dyDescent="0.25">
      <c r="A411" s="2" t="s">
        <v>111</v>
      </c>
      <c r="B411" s="2" t="s">
        <v>256</v>
      </c>
      <c r="C411" s="2" t="s">
        <v>9</v>
      </c>
      <c r="D411" s="3">
        <v>46080.530763888892</v>
      </c>
      <c r="E411" s="2">
        <v>68.62</v>
      </c>
      <c r="F411" s="2">
        <v>391</v>
      </c>
      <c r="G411" s="2">
        <v>1</v>
      </c>
      <c r="I411" s="2" t="s">
        <v>1561</v>
      </c>
      <c r="J411" s="2" t="s">
        <v>258</v>
      </c>
      <c r="K411" s="2">
        <v>10</v>
      </c>
      <c r="L411" s="2">
        <v>3507009725</v>
      </c>
      <c r="M411" s="2">
        <v>50</v>
      </c>
      <c r="N411" s="2" t="s">
        <v>1562</v>
      </c>
      <c r="O411" s="2">
        <v>50</v>
      </c>
      <c r="P411" s="2" t="s">
        <v>260</v>
      </c>
      <c r="Q411" s="2">
        <v>50</v>
      </c>
      <c r="R411" s="2" t="s">
        <v>1563</v>
      </c>
      <c r="S411" s="2">
        <v>50</v>
      </c>
      <c r="T411" s="2" t="s">
        <v>1564</v>
      </c>
      <c r="U411" s="2">
        <v>50</v>
      </c>
      <c r="V411" s="2" t="s">
        <v>263</v>
      </c>
      <c r="W411" s="2">
        <v>50</v>
      </c>
      <c r="X411" s="2">
        <v>10</v>
      </c>
      <c r="Y411" s="2">
        <v>50</v>
      </c>
      <c r="Z411" s="2" t="s">
        <v>1593</v>
      </c>
      <c r="AA411" s="2">
        <v>92</v>
      </c>
      <c r="AB411" s="2" t="s">
        <v>1594</v>
      </c>
      <c r="AC411" s="2">
        <v>50</v>
      </c>
      <c r="AD411" s="2">
        <v>20</v>
      </c>
      <c r="AE411" s="2">
        <v>50</v>
      </c>
      <c r="AF411" s="2" t="s">
        <v>1567</v>
      </c>
      <c r="AG411" s="2">
        <v>50</v>
      </c>
      <c r="AH411" s="2" t="s">
        <v>1595</v>
      </c>
      <c r="AI411" s="2">
        <v>50</v>
      </c>
      <c r="AJ411" s="2" t="s">
        <v>350</v>
      </c>
      <c r="AK411" s="2">
        <v>50</v>
      </c>
    </row>
    <row r="412" spans="1:37" x14ac:dyDescent="0.25">
      <c r="A412" s="2" t="s">
        <v>111</v>
      </c>
      <c r="B412" s="2" t="s">
        <v>256</v>
      </c>
      <c r="C412" s="2" t="s">
        <v>9</v>
      </c>
      <c r="D412" s="3">
        <v>46080.530763888892</v>
      </c>
      <c r="E412" s="2">
        <v>68.62</v>
      </c>
      <c r="F412" s="2">
        <v>391</v>
      </c>
      <c r="G412" s="2">
        <v>1</v>
      </c>
      <c r="I412" s="2" t="s">
        <v>1561</v>
      </c>
      <c r="J412" s="2" t="s">
        <v>258</v>
      </c>
      <c r="K412" s="2">
        <v>11</v>
      </c>
      <c r="L412" s="2">
        <v>3507009725</v>
      </c>
      <c r="M412" s="2">
        <v>50</v>
      </c>
      <c r="N412" s="2" t="s">
        <v>1562</v>
      </c>
      <c r="O412" s="2">
        <v>50</v>
      </c>
      <c r="P412" s="2" t="s">
        <v>260</v>
      </c>
      <c r="Q412" s="2">
        <v>50</v>
      </c>
      <c r="R412" s="2" t="s">
        <v>1563</v>
      </c>
      <c r="S412" s="2">
        <v>50</v>
      </c>
      <c r="T412" s="2" t="s">
        <v>1564</v>
      </c>
      <c r="U412" s="2">
        <v>50</v>
      </c>
      <c r="V412" s="2" t="s">
        <v>263</v>
      </c>
      <c r="W412" s="2">
        <v>50</v>
      </c>
      <c r="X412" s="2">
        <v>11</v>
      </c>
      <c r="Y412" s="2">
        <v>50</v>
      </c>
      <c r="Z412" s="2" t="s">
        <v>1596</v>
      </c>
      <c r="AA412" s="2">
        <v>92</v>
      </c>
      <c r="AB412" s="2" t="s">
        <v>1597</v>
      </c>
      <c r="AC412" s="2">
        <v>50</v>
      </c>
      <c r="AD412" s="2">
        <v>2</v>
      </c>
      <c r="AE412" s="2">
        <v>50</v>
      </c>
      <c r="AF412" s="2" t="s">
        <v>1567</v>
      </c>
      <c r="AG412" s="2">
        <v>50</v>
      </c>
      <c r="AH412" s="2" t="s">
        <v>1598</v>
      </c>
      <c r="AI412" s="2">
        <v>50</v>
      </c>
      <c r="AJ412" s="2" t="s">
        <v>350</v>
      </c>
      <c r="AK412" s="2">
        <v>50</v>
      </c>
    </row>
    <row r="413" spans="1:37" x14ac:dyDescent="0.25">
      <c r="A413" s="2" t="s">
        <v>111</v>
      </c>
      <c r="B413" s="2" t="s">
        <v>256</v>
      </c>
      <c r="C413" s="2" t="s">
        <v>9</v>
      </c>
      <c r="D413" s="3">
        <v>46080.530763888892</v>
      </c>
      <c r="E413" s="2">
        <v>68.62</v>
      </c>
      <c r="F413" s="2">
        <v>391</v>
      </c>
      <c r="G413" s="2">
        <v>1</v>
      </c>
      <c r="I413" s="2" t="s">
        <v>1561</v>
      </c>
      <c r="J413" s="2" t="s">
        <v>258</v>
      </c>
      <c r="K413" s="2">
        <v>12</v>
      </c>
      <c r="L413" s="2">
        <v>3507009725</v>
      </c>
      <c r="M413" s="2">
        <v>50</v>
      </c>
      <c r="N413" s="2" t="s">
        <v>1562</v>
      </c>
      <c r="O413" s="2">
        <v>50</v>
      </c>
      <c r="P413" s="2" t="s">
        <v>260</v>
      </c>
      <c r="Q413" s="2">
        <v>50</v>
      </c>
      <c r="R413" s="2" t="s">
        <v>1563</v>
      </c>
      <c r="S413" s="2">
        <v>50</v>
      </c>
      <c r="T413" s="2" t="s">
        <v>1564</v>
      </c>
      <c r="U413" s="2">
        <v>50</v>
      </c>
      <c r="V413" s="2" t="s">
        <v>263</v>
      </c>
      <c r="W413" s="2">
        <v>50</v>
      </c>
      <c r="X413" s="2">
        <v>12</v>
      </c>
      <c r="Y413" s="2">
        <v>50</v>
      </c>
      <c r="Z413" s="2" t="s">
        <v>1599</v>
      </c>
      <c r="AA413" s="2">
        <v>92</v>
      </c>
      <c r="AB413" s="2" t="s">
        <v>1600</v>
      </c>
      <c r="AC413" s="2">
        <v>50</v>
      </c>
      <c r="AD413" s="2">
        <v>2</v>
      </c>
      <c r="AE413" s="2">
        <v>50</v>
      </c>
      <c r="AF413" s="2" t="s">
        <v>1567</v>
      </c>
      <c r="AG413" s="2">
        <v>50</v>
      </c>
      <c r="AH413" s="2" t="s">
        <v>1601</v>
      </c>
      <c r="AI413" s="2">
        <v>50</v>
      </c>
      <c r="AJ413" s="2" t="s">
        <v>350</v>
      </c>
      <c r="AK413" s="2">
        <v>50</v>
      </c>
    </row>
    <row r="414" spans="1:37" x14ac:dyDescent="0.25">
      <c r="A414" s="2" t="s">
        <v>111</v>
      </c>
      <c r="B414" s="2" t="s">
        <v>256</v>
      </c>
      <c r="C414" s="2" t="s">
        <v>9</v>
      </c>
      <c r="D414" s="3">
        <v>46080.530763888892</v>
      </c>
      <c r="E414" s="2">
        <v>68.62</v>
      </c>
      <c r="F414" s="2">
        <v>391</v>
      </c>
      <c r="G414" s="2">
        <v>1</v>
      </c>
      <c r="I414" s="2" t="s">
        <v>1561</v>
      </c>
      <c r="J414" s="2" t="s">
        <v>258</v>
      </c>
      <c r="K414" s="2">
        <v>13</v>
      </c>
      <c r="L414" s="2">
        <v>3507009725</v>
      </c>
      <c r="M414" s="2">
        <v>50</v>
      </c>
      <c r="N414" s="2" t="s">
        <v>1562</v>
      </c>
      <c r="O414" s="2">
        <v>50</v>
      </c>
      <c r="P414" s="2" t="s">
        <v>260</v>
      </c>
      <c r="Q414" s="2">
        <v>50</v>
      </c>
      <c r="R414" s="2" t="s">
        <v>1563</v>
      </c>
      <c r="S414" s="2">
        <v>50</v>
      </c>
      <c r="T414" s="2" t="s">
        <v>1564</v>
      </c>
      <c r="U414" s="2">
        <v>50</v>
      </c>
      <c r="V414" s="2" t="s">
        <v>263</v>
      </c>
      <c r="W414" s="2">
        <v>50</v>
      </c>
      <c r="X414" s="2">
        <v>13</v>
      </c>
      <c r="Y414" s="2">
        <v>50</v>
      </c>
      <c r="Z414" s="2" t="s">
        <v>1602</v>
      </c>
      <c r="AA414" s="2">
        <v>92</v>
      </c>
      <c r="AB414" s="2" t="s">
        <v>1603</v>
      </c>
      <c r="AC414" s="2">
        <v>50</v>
      </c>
      <c r="AD414" s="2">
        <v>2</v>
      </c>
      <c r="AE414" s="2">
        <v>50</v>
      </c>
      <c r="AF414" s="2" t="s">
        <v>1567</v>
      </c>
      <c r="AG414" s="2">
        <v>50</v>
      </c>
      <c r="AH414" s="2" t="s">
        <v>1604</v>
      </c>
      <c r="AI414" s="2">
        <v>50</v>
      </c>
      <c r="AJ414" s="2" t="s">
        <v>350</v>
      </c>
      <c r="AK414" s="2">
        <v>50</v>
      </c>
    </row>
    <row r="415" spans="1:37" x14ac:dyDescent="0.25">
      <c r="A415" s="2" t="s">
        <v>111</v>
      </c>
      <c r="B415" s="2" t="s">
        <v>256</v>
      </c>
      <c r="C415" s="2" t="s">
        <v>9</v>
      </c>
      <c r="D415" s="3">
        <v>46080.530763888892</v>
      </c>
      <c r="E415" s="2">
        <v>68.62</v>
      </c>
      <c r="F415" s="2">
        <v>391</v>
      </c>
      <c r="G415" s="2">
        <v>1</v>
      </c>
      <c r="I415" s="2" t="s">
        <v>1561</v>
      </c>
      <c r="J415" s="2" t="s">
        <v>258</v>
      </c>
      <c r="K415" s="2">
        <v>14</v>
      </c>
      <c r="L415" s="2">
        <v>3507009725</v>
      </c>
      <c r="M415" s="2">
        <v>50</v>
      </c>
      <c r="N415" s="2" t="s">
        <v>1562</v>
      </c>
      <c r="O415" s="2">
        <v>50</v>
      </c>
      <c r="P415" s="2" t="s">
        <v>260</v>
      </c>
      <c r="Q415" s="2">
        <v>50</v>
      </c>
      <c r="R415" s="2" t="s">
        <v>1563</v>
      </c>
      <c r="S415" s="2">
        <v>50</v>
      </c>
      <c r="T415" s="2" t="s">
        <v>1564</v>
      </c>
      <c r="U415" s="2">
        <v>50</v>
      </c>
      <c r="V415" s="2" t="s">
        <v>263</v>
      </c>
      <c r="W415" s="2">
        <v>50</v>
      </c>
      <c r="X415" s="2">
        <v>14</v>
      </c>
      <c r="Y415" s="2">
        <v>50</v>
      </c>
      <c r="Z415" s="2" t="s">
        <v>1605</v>
      </c>
      <c r="AA415" s="2">
        <v>92</v>
      </c>
      <c r="AB415" s="2" t="s">
        <v>1606</v>
      </c>
      <c r="AC415" s="2">
        <v>50</v>
      </c>
      <c r="AD415" s="2">
        <v>1</v>
      </c>
      <c r="AE415" s="2">
        <v>50</v>
      </c>
      <c r="AF415" s="2" t="s">
        <v>1567</v>
      </c>
      <c r="AG415" s="2">
        <v>50</v>
      </c>
      <c r="AH415" s="2" t="s">
        <v>1607</v>
      </c>
      <c r="AI415" s="2">
        <v>50</v>
      </c>
      <c r="AJ415" s="2" t="s">
        <v>350</v>
      </c>
      <c r="AK415" s="2">
        <v>50</v>
      </c>
    </row>
    <row r="416" spans="1:37" x14ac:dyDescent="0.25">
      <c r="A416" s="2" t="s">
        <v>111</v>
      </c>
      <c r="B416" s="2" t="s">
        <v>256</v>
      </c>
      <c r="C416" s="2" t="s">
        <v>9</v>
      </c>
      <c r="D416" s="3">
        <v>46080.530763888892</v>
      </c>
      <c r="E416" s="2">
        <v>68.62</v>
      </c>
      <c r="F416" s="2">
        <v>391</v>
      </c>
      <c r="G416" s="2">
        <v>1</v>
      </c>
      <c r="I416" s="2" t="s">
        <v>1561</v>
      </c>
      <c r="J416" s="2" t="s">
        <v>258</v>
      </c>
      <c r="K416" s="2">
        <v>15</v>
      </c>
      <c r="L416" s="2">
        <v>3507009725</v>
      </c>
      <c r="M416" s="2">
        <v>50</v>
      </c>
      <c r="N416" s="2" t="s">
        <v>1562</v>
      </c>
      <c r="O416" s="2">
        <v>50</v>
      </c>
      <c r="P416" s="2" t="s">
        <v>260</v>
      </c>
      <c r="Q416" s="2">
        <v>50</v>
      </c>
      <c r="R416" s="2" t="s">
        <v>1563</v>
      </c>
      <c r="S416" s="2">
        <v>50</v>
      </c>
      <c r="T416" s="2" t="s">
        <v>1564</v>
      </c>
      <c r="U416" s="2">
        <v>50</v>
      </c>
      <c r="V416" s="2" t="s">
        <v>263</v>
      </c>
      <c r="W416" s="2">
        <v>50</v>
      </c>
      <c r="X416" s="2">
        <v>15</v>
      </c>
      <c r="Y416" s="2">
        <v>50</v>
      </c>
      <c r="Z416" s="2" t="s">
        <v>1608</v>
      </c>
      <c r="AA416" s="2">
        <v>90</v>
      </c>
      <c r="AB416" s="2" t="s">
        <v>1609</v>
      </c>
      <c r="AC416" s="2">
        <v>50</v>
      </c>
      <c r="AD416" s="2">
        <v>24</v>
      </c>
      <c r="AE416" s="2">
        <v>50</v>
      </c>
      <c r="AF416" s="2" t="s">
        <v>1567</v>
      </c>
      <c r="AG416" s="2">
        <v>50</v>
      </c>
      <c r="AH416" s="2" t="s">
        <v>1610</v>
      </c>
      <c r="AI416" s="2">
        <v>50</v>
      </c>
      <c r="AJ416" s="2" t="s">
        <v>350</v>
      </c>
      <c r="AK416" s="2">
        <v>50</v>
      </c>
    </row>
    <row r="417" spans="1:37" x14ac:dyDescent="0.25">
      <c r="A417" s="2" t="s">
        <v>111</v>
      </c>
      <c r="B417" s="2" t="s">
        <v>256</v>
      </c>
      <c r="C417" s="2" t="s">
        <v>9</v>
      </c>
      <c r="D417" s="3">
        <v>46080.530763888892</v>
      </c>
      <c r="E417" s="2">
        <v>68.62</v>
      </c>
      <c r="F417" s="2">
        <v>391</v>
      </c>
      <c r="G417" s="2">
        <v>1</v>
      </c>
      <c r="I417" s="2" t="s">
        <v>1561</v>
      </c>
      <c r="J417" s="2" t="s">
        <v>258</v>
      </c>
      <c r="K417" s="2">
        <v>16</v>
      </c>
      <c r="L417" s="2">
        <v>3507009725</v>
      </c>
      <c r="M417" s="2">
        <v>50</v>
      </c>
      <c r="N417" s="2" t="s">
        <v>1562</v>
      </c>
      <c r="O417" s="2">
        <v>50</v>
      </c>
      <c r="P417" s="2" t="s">
        <v>260</v>
      </c>
      <c r="Q417" s="2">
        <v>50</v>
      </c>
      <c r="R417" s="2" t="s">
        <v>1563</v>
      </c>
      <c r="S417" s="2">
        <v>50</v>
      </c>
      <c r="T417" s="2" t="s">
        <v>1564</v>
      </c>
      <c r="U417" s="2">
        <v>50</v>
      </c>
      <c r="V417" s="2" t="s">
        <v>263</v>
      </c>
      <c r="W417" s="2">
        <v>50</v>
      </c>
      <c r="X417" s="2">
        <v>16</v>
      </c>
      <c r="Y417" s="2">
        <v>50</v>
      </c>
      <c r="Z417" s="2" t="s">
        <v>1611</v>
      </c>
      <c r="AA417" s="2">
        <v>92</v>
      </c>
      <c r="AB417" s="2" t="s">
        <v>1612</v>
      </c>
      <c r="AC417" s="2">
        <v>50</v>
      </c>
      <c r="AD417" s="2">
        <v>2</v>
      </c>
      <c r="AE417" s="2">
        <v>50</v>
      </c>
      <c r="AF417" s="2" t="s">
        <v>1567</v>
      </c>
      <c r="AG417" s="2">
        <v>50</v>
      </c>
      <c r="AH417" s="2" t="s">
        <v>1613</v>
      </c>
      <c r="AI417" s="2">
        <v>50</v>
      </c>
      <c r="AJ417" s="2" t="s">
        <v>350</v>
      </c>
      <c r="AK417" s="2">
        <v>50</v>
      </c>
    </row>
    <row r="418" spans="1:37" x14ac:dyDescent="0.25">
      <c r="A418" s="2" t="s">
        <v>111</v>
      </c>
      <c r="B418" s="2" t="s">
        <v>256</v>
      </c>
      <c r="C418" s="2" t="s">
        <v>9</v>
      </c>
      <c r="D418" s="3">
        <v>46080.530763888892</v>
      </c>
      <c r="E418" s="2">
        <v>68.62</v>
      </c>
      <c r="F418" s="2">
        <v>391</v>
      </c>
      <c r="G418" s="2">
        <v>1</v>
      </c>
      <c r="I418" s="2" t="s">
        <v>1561</v>
      </c>
      <c r="J418" s="2" t="s">
        <v>258</v>
      </c>
      <c r="K418" s="2">
        <v>17</v>
      </c>
      <c r="L418" s="2">
        <v>3507009725</v>
      </c>
      <c r="M418" s="2">
        <v>50</v>
      </c>
      <c r="N418" s="2" t="s">
        <v>1562</v>
      </c>
      <c r="O418" s="2">
        <v>50</v>
      </c>
      <c r="P418" s="2" t="s">
        <v>260</v>
      </c>
      <c r="Q418" s="2">
        <v>50</v>
      </c>
      <c r="R418" s="2" t="s">
        <v>1563</v>
      </c>
      <c r="S418" s="2">
        <v>50</v>
      </c>
      <c r="T418" s="2" t="s">
        <v>1564</v>
      </c>
      <c r="U418" s="2">
        <v>50</v>
      </c>
      <c r="V418" s="2" t="s">
        <v>263</v>
      </c>
      <c r="W418" s="2">
        <v>50</v>
      </c>
      <c r="X418" s="2">
        <v>17</v>
      </c>
      <c r="Y418" s="2">
        <v>50</v>
      </c>
      <c r="Z418" s="2" t="s">
        <v>1614</v>
      </c>
      <c r="AA418" s="2">
        <v>92</v>
      </c>
      <c r="AB418" s="2" t="s">
        <v>1615</v>
      </c>
      <c r="AC418" s="2">
        <v>50</v>
      </c>
      <c r="AD418" s="2">
        <v>4</v>
      </c>
      <c r="AE418" s="2">
        <v>50</v>
      </c>
      <c r="AF418" s="2" t="s">
        <v>1567</v>
      </c>
      <c r="AG418" s="2">
        <v>50</v>
      </c>
      <c r="AH418" s="2" t="s">
        <v>1616</v>
      </c>
      <c r="AI418" s="2">
        <v>50</v>
      </c>
      <c r="AJ418" s="2" t="s">
        <v>350</v>
      </c>
      <c r="AK418" s="2">
        <v>50</v>
      </c>
    </row>
    <row r="419" spans="1:37" x14ac:dyDescent="0.25">
      <c r="A419" s="2" t="s">
        <v>111</v>
      </c>
      <c r="B419" s="2" t="s">
        <v>256</v>
      </c>
      <c r="C419" s="2" t="s">
        <v>9</v>
      </c>
      <c r="D419" s="3">
        <v>46080.530763888892</v>
      </c>
      <c r="E419" s="2">
        <v>68.62</v>
      </c>
      <c r="F419" s="2">
        <v>391</v>
      </c>
      <c r="G419" s="2">
        <v>1</v>
      </c>
      <c r="I419" s="2" t="s">
        <v>1561</v>
      </c>
      <c r="J419" s="2" t="s">
        <v>258</v>
      </c>
      <c r="K419" s="2">
        <v>18</v>
      </c>
      <c r="L419" s="2">
        <v>3507009725</v>
      </c>
      <c r="M419" s="2">
        <v>50</v>
      </c>
      <c r="N419" s="2" t="s">
        <v>1562</v>
      </c>
      <c r="O419" s="2">
        <v>50</v>
      </c>
      <c r="P419" s="2" t="s">
        <v>260</v>
      </c>
      <c r="Q419" s="2">
        <v>50</v>
      </c>
      <c r="R419" s="2" t="s">
        <v>1563</v>
      </c>
      <c r="S419" s="2">
        <v>50</v>
      </c>
      <c r="T419" s="2" t="s">
        <v>1564</v>
      </c>
      <c r="U419" s="2">
        <v>50</v>
      </c>
      <c r="V419" s="2" t="s">
        <v>263</v>
      </c>
      <c r="W419" s="2">
        <v>50</v>
      </c>
      <c r="X419" s="2">
        <v>18</v>
      </c>
      <c r="Y419" s="2">
        <v>50</v>
      </c>
      <c r="Z419" s="2" t="s">
        <v>1617</v>
      </c>
      <c r="AA419" s="2">
        <v>90</v>
      </c>
      <c r="AB419" s="2" t="s">
        <v>1618</v>
      </c>
      <c r="AC419" s="2">
        <v>50</v>
      </c>
      <c r="AD419" s="2">
        <v>2</v>
      </c>
      <c r="AE419" s="2">
        <v>50</v>
      </c>
      <c r="AF419" s="2" t="s">
        <v>1567</v>
      </c>
      <c r="AG419" s="2">
        <v>50</v>
      </c>
      <c r="AH419" s="2" t="s">
        <v>1619</v>
      </c>
      <c r="AI419" s="2">
        <v>50</v>
      </c>
      <c r="AJ419" s="2" t="s">
        <v>350</v>
      </c>
      <c r="AK419" s="2">
        <v>50</v>
      </c>
    </row>
    <row r="420" spans="1:37" x14ac:dyDescent="0.25">
      <c r="A420" s="2" t="s">
        <v>111</v>
      </c>
      <c r="B420" s="2" t="s">
        <v>256</v>
      </c>
      <c r="C420" s="2" t="s">
        <v>9</v>
      </c>
      <c r="D420" s="3">
        <v>46080.530763888892</v>
      </c>
      <c r="E420" s="2">
        <v>68.62</v>
      </c>
      <c r="F420" s="2">
        <v>391</v>
      </c>
      <c r="G420" s="2">
        <v>1</v>
      </c>
      <c r="I420" s="2" t="s">
        <v>1561</v>
      </c>
      <c r="J420" s="2" t="s">
        <v>258</v>
      </c>
      <c r="K420" s="2">
        <v>19</v>
      </c>
      <c r="L420" s="2">
        <v>3507009725</v>
      </c>
      <c r="M420" s="2">
        <v>50</v>
      </c>
      <c r="N420" s="2" t="s">
        <v>1562</v>
      </c>
      <c r="O420" s="2">
        <v>50</v>
      </c>
      <c r="P420" s="2" t="s">
        <v>260</v>
      </c>
      <c r="Q420" s="2">
        <v>50</v>
      </c>
      <c r="R420" s="2" t="s">
        <v>1563</v>
      </c>
      <c r="S420" s="2">
        <v>50</v>
      </c>
      <c r="T420" s="2" t="s">
        <v>1564</v>
      </c>
      <c r="U420" s="2">
        <v>50</v>
      </c>
      <c r="V420" s="2" t="s">
        <v>263</v>
      </c>
      <c r="W420" s="2">
        <v>50</v>
      </c>
      <c r="X420" s="2">
        <v>19</v>
      </c>
      <c r="Y420" s="2">
        <v>50</v>
      </c>
      <c r="Z420" s="2" t="s">
        <v>1620</v>
      </c>
      <c r="AA420" s="2">
        <v>92</v>
      </c>
      <c r="AB420" s="2" t="s">
        <v>1621</v>
      </c>
      <c r="AC420" s="2">
        <v>50</v>
      </c>
      <c r="AD420" s="2">
        <v>3</v>
      </c>
      <c r="AE420" s="2">
        <v>50</v>
      </c>
      <c r="AF420" s="2" t="s">
        <v>1567</v>
      </c>
      <c r="AG420" s="2">
        <v>50</v>
      </c>
      <c r="AH420" s="2" t="s">
        <v>1622</v>
      </c>
      <c r="AI420" s="2">
        <v>50</v>
      </c>
      <c r="AJ420" s="2" t="s">
        <v>350</v>
      </c>
      <c r="AK420" s="2">
        <v>50</v>
      </c>
    </row>
    <row r="421" spans="1:37" x14ac:dyDescent="0.25">
      <c r="A421" s="2" t="s">
        <v>111</v>
      </c>
      <c r="B421" s="2" t="s">
        <v>256</v>
      </c>
      <c r="C421" s="2" t="s">
        <v>9</v>
      </c>
      <c r="D421" s="3">
        <v>46080.530763888892</v>
      </c>
      <c r="E421" s="2">
        <v>68.62</v>
      </c>
      <c r="F421" s="2">
        <v>391</v>
      </c>
      <c r="G421" s="2">
        <v>1</v>
      </c>
      <c r="I421" s="2" t="s">
        <v>1561</v>
      </c>
      <c r="J421" s="2" t="s">
        <v>258</v>
      </c>
      <c r="K421" s="2">
        <v>20</v>
      </c>
      <c r="L421" s="2">
        <v>3507009725</v>
      </c>
      <c r="M421" s="2">
        <v>50</v>
      </c>
      <c r="N421" s="2" t="s">
        <v>1562</v>
      </c>
      <c r="O421" s="2">
        <v>50</v>
      </c>
      <c r="P421" s="2" t="s">
        <v>260</v>
      </c>
      <c r="Q421" s="2">
        <v>50</v>
      </c>
      <c r="R421" s="2" t="s">
        <v>1563</v>
      </c>
      <c r="S421" s="2">
        <v>50</v>
      </c>
      <c r="T421" s="2" t="s">
        <v>1564</v>
      </c>
      <c r="U421" s="2">
        <v>50</v>
      </c>
      <c r="V421" s="2" t="s">
        <v>263</v>
      </c>
      <c r="W421" s="2">
        <v>50</v>
      </c>
      <c r="X421" s="2">
        <v>20</v>
      </c>
      <c r="Y421" s="2">
        <v>50</v>
      </c>
      <c r="Z421" s="2" t="s">
        <v>1623</v>
      </c>
      <c r="AA421" s="2">
        <v>92</v>
      </c>
      <c r="AB421" s="2" t="s">
        <v>1624</v>
      </c>
      <c r="AC421" s="2">
        <v>50</v>
      </c>
      <c r="AD421" s="2">
        <v>4</v>
      </c>
      <c r="AE421" s="2">
        <v>50</v>
      </c>
      <c r="AF421" s="2" t="s">
        <v>1567</v>
      </c>
      <c r="AG421" s="2">
        <v>50</v>
      </c>
      <c r="AH421" s="2" t="s">
        <v>1625</v>
      </c>
      <c r="AI421" s="2">
        <v>50</v>
      </c>
      <c r="AJ421" s="2" t="s">
        <v>350</v>
      </c>
      <c r="AK421" s="2">
        <v>50</v>
      </c>
    </row>
    <row r="422" spans="1:37" x14ac:dyDescent="0.25">
      <c r="A422" s="2" t="s">
        <v>111</v>
      </c>
      <c r="B422" s="2" t="s">
        <v>256</v>
      </c>
      <c r="C422" s="2" t="s">
        <v>9</v>
      </c>
      <c r="D422" s="3">
        <v>46080.530763888892</v>
      </c>
      <c r="E422" s="2">
        <v>68.62</v>
      </c>
      <c r="F422" s="2">
        <v>391</v>
      </c>
      <c r="G422" s="2">
        <v>1</v>
      </c>
      <c r="I422" s="2" t="s">
        <v>1561</v>
      </c>
      <c r="J422" s="2" t="s">
        <v>258</v>
      </c>
      <c r="K422" s="2">
        <v>21</v>
      </c>
      <c r="L422" s="2">
        <v>3507009725</v>
      </c>
      <c r="M422" s="2">
        <v>50</v>
      </c>
      <c r="N422" s="2" t="s">
        <v>1562</v>
      </c>
      <c r="O422" s="2">
        <v>50</v>
      </c>
      <c r="P422" s="2" t="s">
        <v>260</v>
      </c>
      <c r="Q422" s="2">
        <v>50</v>
      </c>
      <c r="R422" s="2" t="s">
        <v>1563</v>
      </c>
      <c r="S422" s="2">
        <v>50</v>
      </c>
      <c r="T422" s="2" t="s">
        <v>1564</v>
      </c>
      <c r="U422" s="2">
        <v>50</v>
      </c>
      <c r="V422" s="2" t="s">
        <v>263</v>
      </c>
      <c r="W422" s="2">
        <v>50</v>
      </c>
      <c r="X422" s="2">
        <v>21</v>
      </c>
      <c r="Y422" s="2">
        <v>50</v>
      </c>
      <c r="Z422" s="2" t="s">
        <v>1626</v>
      </c>
      <c r="AA422" s="2">
        <v>92</v>
      </c>
      <c r="AB422" s="2" t="s">
        <v>1627</v>
      </c>
      <c r="AC422" s="2">
        <v>50</v>
      </c>
      <c r="AD422" s="2">
        <v>3</v>
      </c>
      <c r="AE422" s="2">
        <v>50</v>
      </c>
      <c r="AF422" s="2" t="s">
        <v>1567</v>
      </c>
      <c r="AG422" s="2">
        <v>50</v>
      </c>
      <c r="AH422" s="2" t="s">
        <v>1625</v>
      </c>
      <c r="AI422" s="2">
        <v>50</v>
      </c>
      <c r="AJ422" s="2" t="s">
        <v>350</v>
      </c>
      <c r="AK422" s="2">
        <v>50</v>
      </c>
    </row>
    <row r="423" spans="1:37" x14ac:dyDescent="0.25">
      <c r="A423" s="2" t="s">
        <v>111</v>
      </c>
      <c r="B423" s="2" t="s">
        <v>256</v>
      </c>
      <c r="C423" s="2" t="s">
        <v>9</v>
      </c>
      <c r="D423" s="3">
        <v>46080.530763888892</v>
      </c>
      <c r="E423" s="2">
        <v>68.62</v>
      </c>
      <c r="F423" s="2">
        <v>391</v>
      </c>
      <c r="G423" s="2">
        <v>1</v>
      </c>
      <c r="I423" s="2" t="s">
        <v>1561</v>
      </c>
      <c r="J423" s="2" t="s">
        <v>258</v>
      </c>
      <c r="K423" s="2">
        <v>22</v>
      </c>
      <c r="L423" s="2">
        <v>3507009725</v>
      </c>
      <c r="M423" s="2">
        <v>50</v>
      </c>
      <c r="N423" s="2" t="s">
        <v>1562</v>
      </c>
      <c r="O423" s="2">
        <v>50</v>
      </c>
      <c r="P423" s="2" t="s">
        <v>260</v>
      </c>
      <c r="Q423" s="2">
        <v>50</v>
      </c>
      <c r="R423" s="2" t="s">
        <v>1563</v>
      </c>
      <c r="S423" s="2">
        <v>50</v>
      </c>
      <c r="T423" s="2" t="s">
        <v>1564</v>
      </c>
      <c r="U423" s="2">
        <v>50</v>
      </c>
      <c r="V423" s="2" t="s">
        <v>263</v>
      </c>
      <c r="W423" s="2">
        <v>50</v>
      </c>
      <c r="X423" s="2">
        <v>22</v>
      </c>
      <c r="Y423" s="2">
        <v>50</v>
      </c>
      <c r="Z423" s="2" t="s">
        <v>1628</v>
      </c>
      <c r="AA423" s="2">
        <v>92</v>
      </c>
      <c r="AB423" s="2" t="s">
        <v>1629</v>
      </c>
      <c r="AC423" s="2">
        <v>50</v>
      </c>
      <c r="AD423" s="2">
        <v>2</v>
      </c>
      <c r="AE423" s="2">
        <v>50</v>
      </c>
      <c r="AF423" s="2" t="s">
        <v>1567</v>
      </c>
      <c r="AG423" s="2">
        <v>50</v>
      </c>
      <c r="AH423" s="2" t="s">
        <v>1625</v>
      </c>
      <c r="AI423" s="2">
        <v>50</v>
      </c>
      <c r="AJ423" s="2" t="s">
        <v>350</v>
      </c>
      <c r="AK423" s="2">
        <v>50</v>
      </c>
    </row>
    <row r="424" spans="1:37" x14ac:dyDescent="0.25">
      <c r="A424" s="2" t="s">
        <v>111</v>
      </c>
      <c r="B424" s="2" t="s">
        <v>256</v>
      </c>
      <c r="C424" s="2" t="s">
        <v>9</v>
      </c>
      <c r="D424" s="3">
        <v>46080.530763888892</v>
      </c>
      <c r="E424" s="2">
        <v>68.62</v>
      </c>
      <c r="F424" s="2">
        <v>391</v>
      </c>
      <c r="G424" s="2">
        <v>1</v>
      </c>
      <c r="I424" s="2" t="s">
        <v>1561</v>
      </c>
      <c r="J424" s="2" t="s">
        <v>258</v>
      </c>
      <c r="K424" s="2">
        <v>23</v>
      </c>
      <c r="L424" s="2">
        <v>3507009725</v>
      </c>
      <c r="M424" s="2">
        <v>50</v>
      </c>
      <c r="N424" s="2" t="s">
        <v>1562</v>
      </c>
      <c r="O424" s="2">
        <v>50</v>
      </c>
      <c r="P424" s="2" t="s">
        <v>260</v>
      </c>
      <c r="Q424" s="2">
        <v>50</v>
      </c>
      <c r="R424" s="2" t="s">
        <v>1563</v>
      </c>
      <c r="S424" s="2">
        <v>50</v>
      </c>
      <c r="T424" s="2" t="s">
        <v>1564</v>
      </c>
      <c r="U424" s="2">
        <v>50</v>
      </c>
      <c r="V424" s="2" t="s">
        <v>263</v>
      </c>
      <c r="W424" s="2">
        <v>50</v>
      </c>
      <c r="X424" s="2">
        <v>23</v>
      </c>
      <c r="Y424" s="2">
        <v>50</v>
      </c>
      <c r="Z424" s="2" t="s">
        <v>1630</v>
      </c>
      <c r="AA424" s="2">
        <v>92</v>
      </c>
      <c r="AB424" s="2" t="s">
        <v>1631</v>
      </c>
      <c r="AC424" s="2">
        <v>50</v>
      </c>
      <c r="AD424" s="2">
        <v>1</v>
      </c>
      <c r="AE424" s="2">
        <v>50</v>
      </c>
      <c r="AF424" s="2" t="s">
        <v>1567</v>
      </c>
      <c r="AG424" s="2">
        <v>50</v>
      </c>
      <c r="AH424" s="2" t="s">
        <v>1632</v>
      </c>
      <c r="AI424" s="2">
        <v>50</v>
      </c>
      <c r="AJ424" s="2" t="s">
        <v>350</v>
      </c>
      <c r="AK424" s="2">
        <v>50</v>
      </c>
    </row>
    <row r="425" spans="1:37" x14ac:dyDescent="0.25">
      <c r="A425" s="2" t="s">
        <v>111</v>
      </c>
      <c r="B425" s="2" t="s">
        <v>256</v>
      </c>
      <c r="C425" s="2" t="s">
        <v>9</v>
      </c>
      <c r="D425" s="3">
        <v>46080.530763888892</v>
      </c>
      <c r="E425" s="2">
        <v>68.62</v>
      </c>
      <c r="F425" s="2">
        <v>391</v>
      </c>
      <c r="G425" s="2">
        <v>1</v>
      </c>
      <c r="I425" s="2" t="s">
        <v>1561</v>
      </c>
      <c r="J425" s="2" t="s">
        <v>258</v>
      </c>
      <c r="K425" s="2">
        <v>24</v>
      </c>
      <c r="L425" s="2">
        <v>3507009725</v>
      </c>
      <c r="M425" s="2">
        <v>50</v>
      </c>
      <c r="N425" s="2" t="s">
        <v>1562</v>
      </c>
      <c r="O425" s="2">
        <v>50</v>
      </c>
      <c r="P425" s="2" t="s">
        <v>260</v>
      </c>
      <c r="Q425" s="2">
        <v>50</v>
      </c>
      <c r="R425" s="2" t="s">
        <v>1563</v>
      </c>
      <c r="S425" s="2">
        <v>50</v>
      </c>
      <c r="T425" s="2" t="s">
        <v>1564</v>
      </c>
      <c r="U425" s="2">
        <v>50</v>
      </c>
      <c r="V425" s="2" t="s">
        <v>263</v>
      </c>
      <c r="W425" s="2">
        <v>50</v>
      </c>
      <c r="X425" s="2">
        <v>24</v>
      </c>
      <c r="Y425" s="2">
        <v>50</v>
      </c>
      <c r="Z425" s="2" t="s">
        <v>1633</v>
      </c>
      <c r="AA425" s="2">
        <v>95</v>
      </c>
      <c r="AB425" s="2" t="s">
        <v>1634</v>
      </c>
      <c r="AC425" s="2">
        <v>50</v>
      </c>
      <c r="AD425" s="2">
        <v>4</v>
      </c>
      <c r="AE425" s="2">
        <v>50</v>
      </c>
      <c r="AF425" s="2" t="s">
        <v>1567</v>
      </c>
      <c r="AG425" s="2">
        <v>50</v>
      </c>
      <c r="AH425" s="2" t="s">
        <v>1635</v>
      </c>
      <c r="AI425" s="2">
        <v>50</v>
      </c>
      <c r="AJ425" s="2" t="s">
        <v>350</v>
      </c>
      <c r="AK425" s="2">
        <v>50</v>
      </c>
    </row>
    <row r="426" spans="1:37" x14ac:dyDescent="0.25">
      <c r="A426" s="2" t="s">
        <v>111</v>
      </c>
      <c r="B426" s="2" t="s">
        <v>256</v>
      </c>
      <c r="C426" s="2" t="s">
        <v>9</v>
      </c>
      <c r="D426" s="3">
        <v>46080.530763888892</v>
      </c>
      <c r="E426" s="2">
        <v>68.62</v>
      </c>
      <c r="F426" s="2">
        <v>391</v>
      </c>
      <c r="G426" s="2">
        <v>1</v>
      </c>
      <c r="I426" s="2" t="s">
        <v>1561</v>
      </c>
      <c r="J426" s="2" t="s">
        <v>258</v>
      </c>
      <c r="K426" s="2">
        <v>25</v>
      </c>
      <c r="L426" s="2">
        <v>3507009725</v>
      </c>
      <c r="M426" s="2">
        <v>50</v>
      </c>
      <c r="N426" s="2" t="s">
        <v>1562</v>
      </c>
      <c r="O426" s="2">
        <v>50</v>
      </c>
      <c r="P426" s="2" t="s">
        <v>260</v>
      </c>
      <c r="Q426" s="2">
        <v>50</v>
      </c>
      <c r="R426" s="2" t="s">
        <v>1563</v>
      </c>
      <c r="S426" s="2">
        <v>50</v>
      </c>
      <c r="T426" s="2" t="s">
        <v>1564</v>
      </c>
      <c r="U426" s="2">
        <v>50</v>
      </c>
      <c r="V426" s="2" t="s">
        <v>263</v>
      </c>
      <c r="W426" s="2">
        <v>50</v>
      </c>
      <c r="X426" s="2">
        <v>25</v>
      </c>
      <c r="Y426" s="2">
        <v>50</v>
      </c>
      <c r="Z426" s="2" t="s">
        <v>1636</v>
      </c>
      <c r="AA426" s="2">
        <v>92</v>
      </c>
      <c r="AB426" s="2" t="s">
        <v>1637</v>
      </c>
      <c r="AC426" s="2">
        <v>50</v>
      </c>
      <c r="AD426" s="2">
        <v>63</v>
      </c>
      <c r="AE426" s="2">
        <v>50</v>
      </c>
      <c r="AF426" s="2" t="s">
        <v>1567</v>
      </c>
      <c r="AG426" s="2">
        <v>50</v>
      </c>
      <c r="AH426" s="2" t="s">
        <v>1638</v>
      </c>
      <c r="AI426" s="2">
        <v>50</v>
      </c>
      <c r="AJ426" s="2" t="s">
        <v>350</v>
      </c>
      <c r="AK426" s="2">
        <v>50</v>
      </c>
    </row>
    <row r="427" spans="1:37" x14ac:dyDescent="0.25">
      <c r="A427" s="2" t="s">
        <v>111</v>
      </c>
      <c r="B427" s="2" t="s">
        <v>256</v>
      </c>
      <c r="C427" s="2" t="s">
        <v>9</v>
      </c>
      <c r="D427" s="3">
        <v>46080.530763888892</v>
      </c>
      <c r="E427" s="2">
        <v>68.62</v>
      </c>
      <c r="F427" s="2">
        <v>391</v>
      </c>
      <c r="G427" s="2">
        <v>1</v>
      </c>
      <c r="I427" s="2" t="s">
        <v>1561</v>
      </c>
      <c r="J427" s="2" t="s">
        <v>258</v>
      </c>
      <c r="K427" s="2">
        <v>26</v>
      </c>
      <c r="L427" s="2">
        <v>3507009725</v>
      </c>
      <c r="M427" s="2">
        <v>50</v>
      </c>
      <c r="N427" s="2" t="s">
        <v>1562</v>
      </c>
      <c r="O427" s="2">
        <v>50</v>
      </c>
      <c r="P427" s="2" t="s">
        <v>260</v>
      </c>
      <c r="Q427" s="2">
        <v>50</v>
      </c>
      <c r="R427" s="2" t="s">
        <v>1563</v>
      </c>
      <c r="S427" s="2">
        <v>50</v>
      </c>
      <c r="T427" s="2" t="s">
        <v>1564</v>
      </c>
      <c r="U427" s="2">
        <v>50</v>
      </c>
      <c r="V427" s="2" t="s">
        <v>263</v>
      </c>
      <c r="W427" s="2">
        <v>50</v>
      </c>
      <c r="X427" s="2">
        <v>26</v>
      </c>
      <c r="Y427" s="2">
        <v>50</v>
      </c>
      <c r="Z427" s="2" t="s">
        <v>1639</v>
      </c>
      <c r="AA427" s="2">
        <v>95</v>
      </c>
      <c r="AB427" s="2" t="s">
        <v>1640</v>
      </c>
      <c r="AC427" s="2">
        <v>50</v>
      </c>
      <c r="AD427" s="2">
        <v>1</v>
      </c>
      <c r="AE427" s="2">
        <v>50</v>
      </c>
      <c r="AF427" s="2" t="s">
        <v>1567</v>
      </c>
      <c r="AG427" s="2">
        <v>50</v>
      </c>
      <c r="AH427" s="2" t="s">
        <v>1641</v>
      </c>
      <c r="AI427" s="2">
        <v>50</v>
      </c>
      <c r="AJ427" s="2" t="s">
        <v>350</v>
      </c>
      <c r="AK427" s="2">
        <v>50</v>
      </c>
    </row>
    <row r="428" spans="1:37" x14ac:dyDescent="0.25">
      <c r="A428" s="2" t="s">
        <v>111</v>
      </c>
      <c r="B428" s="2" t="s">
        <v>256</v>
      </c>
      <c r="C428" s="2" t="s">
        <v>9</v>
      </c>
      <c r="D428" s="3">
        <v>46080.530763888892</v>
      </c>
      <c r="E428" s="2">
        <v>68.62</v>
      </c>
      <c r="F428" s="2">
        <v>391</v>
      </c>
      <c r="G428" s="2">
        <v>1</v>
      </c>
      <c r="I428" s="2" t="s">
        <v>1561</v>
      </c>
      <c r="J428" s="2" t="s">
        <v>258</v>
      </c>
      <c r="K428" s="2">
        <v>27</v>
      </c>
      <c r="L428" s="2">
        <v>3507009725</v>
      </c>
      <c r="M428" s="2">
        <v>50</v>
      </c>
      <c r="N428" s="2" t="s">
        <v>1562</v>
      </c>
      <c r="O428" s="2">
        <v>50</v>
      </c>
      <c r="P428" s="2" t="s">
        <v>260</v>
      </c>
      <c r="Q428" s="2">
        <v>50</v>
      </c>
      <c r="R428" s="2" t="s">
        <v>1563</v>
      </c>
      <c r="S428" s="2">
        <v>50</v>
      </c>
      <c r="T428" s="2" t="s">
        <v>1564</v>
      </c>
      <c r="U428" s="2">
        <v>50</v>
      </c>
      <c r="V428" s="2" t="s">
        <v>263</v>
      </c>
      <c r="W428" s="2">
        <v>50</v>
      </c>
      <c r="X428" s="2">
        <v>27</v>
      </c>
      <c r="Y428" s="2">
        <v>50</v>
      </c>
      <c r="Z428" s="2" t="s">
        <v>1642</v>
      </c>
      <c r="AA428" s="2">
        <v>90</v>
      </c>
      <c r="AB428" s="2" t="s">
        <v>1643</v>
      </c>
      <c r="AC428" s="2">
        <v>50</v>
      </c>
      <c r="AD428" s="2">
        <v>24</v>
      </c>
      <c r="AE428" s="2">
        <v>50</v>
      </c>
      <c r="AF428" s="2" t="s">
        <v>1567</v>
      </c>
      <c r="AG428" s="2">
        <v>50</v>
      </c>
      <c r="AH428" s="2" t="s">
        <v>1644</v>
      </c>
      <c r="AI428" s="2">
        <v>50</v>
      </c>
      <c r="AJ428" s="2" t="s">
        <v>350</v>
      </c>
      <c r="AK428" s="2">
        <v>50</v>
      </c>
    </row>
    <row r="429" spans="1:37" x14ac:dyDescent="0.25">
      <c r="A429" s="2" t="s">
        <v>111</v>
      </c>
      <c r="B429" s="2" t="s">
        <v>256</v>
      </c>
      <c r="C429" s="2" t="s">
        <v>9</v>
      </c>
      <c r="D429" s="3">
        <v>46080.530763888892</v>
      </c>
      <c r="E429" s="2">
        <v>68.62</v>
      </c>
      <c r="F429" s="2">
        <v>391</v>
      </c>
      <c r="G429" s="2">
        <v>1</v>
      </c>
      <c r="I429" s="2" t="s">
        <v>1561</v>
      </c>
      <c r="J429" s="2" t="s">
        <v>258</v>
      </c>
      <c r="K429" s="2">
        <v>28</v>
      </c>
      <c r="L429" s="2">
        <v>3507009725</v>
      </c>
      <c r="M429" s="2">
        <v>50</v>
      </c>
      <c r="N429" s="2" t="s">
        <v>1562</v>
      </c>
      <c r="O429" s="2">
        <v>50</v>
      </c>
      <c r="P429" s="2" t="s">
        <v>260</v>
      </c>
      <c r="Q429" s="2">
        <v>50</v>
      </c>
      <c r="R429" s="2" t="s">
        <v>1563</v>
      </c>
      <c r="S429" s="2">
        <v>50</v>
      </c>
      <c r="T429" s="2" t="s">
        <v>1564</v>
      </c>
      <c r="U429" s="2">
        <v>50</v>
      </c>
      <c r="V429" s="2" t="s">
        <v>263</v>
      </c>
      <c r="W429" s="2">
        <v>50</v>
      </c>
      <c r="X429" s="2">
        <v>28</v>
      </c>
      <c r="Y429" s="2">
        <v>50</v>
      </c>
      <c r="Z429" s="2" t="s">
        <v>1645</v>
      </c>
      <c r="AA429" s="2">
        <v>92</v>
      </c>
      <c r="AB429" s="2" t="s">
        <v>1646</v>
      </c>
      <c r="AC429" s="2">
        <v>50</v>
      </c>
      <c r="AD429" s="2">
        <v>3</v>
      </c>
      <c r="AE429" s="2">
        <v>50</v>
      </c>
      <c r="AF429" s="2" t="s">
        <v>1567</v>
      </c>
      <c r="AG429" s="2">
        <v>50</v>
      </c>
      <c r="AH429" s="2" t="s">
        <v>1647</v>
      </c>
      <c r="AI429" s="2">
        <v>50</v>
      </c>
      <c r="AJ429" s="2" t="s">
        <v>350</v>
      </c>
      <c r="AK429" s="2">
        <v>50</v>
      </c>
    </row>
    <row r="430" spans="1:37" x14ac:dyDescent="0.25">
      <c r="A430" s="2" t="s">
        <v>111</v>
      </c>
      <c r="B430" s="2" t="s">
        <v>256</v>
      </c>
      <c r="C430" s="2" t="s">
        <v>9</v>
      </c>
      <c r="D430" s="3">
        <v>46080.530763888892</v>
      </c>
      <c r="E430" s="2">
        <v>68.62</v>
      </c>
      <c r="F430" s="2">
        <v>391</v>
      </c>
      <c r="G430" s="2">
        <v>1</v>
      </c>
      <c r="I430" s="2" t="s">
        <v>1561</v>
      </c>
      <c r="J430" s="2" t="s">
        <v>258</v>
      </c>
      <c r="K430" s="2">
        <v>29</v>
      </c>
      <c r="L430" s="2">
        <v>3507009725</v>
      </c>
      <c r="M430" s="2">
        <v>50</v>
      </c>
      <c r="N430" s="2" t="s">
        <v>1562</v>
      </c>
      <c r="O430" s="2">
        <v>50</v>
      </c>
      <c r="P430" s="2" t="s">
        <v>260</v>
      </c>
      <c r="Q430" s="2">
        <v>50</v>
      </c>
      <c r="R430" s="2" t="s">
        <v>1563</v>
      </c>
      <c r="S430" s="2">
        <v>50</v>
      </c>
      <c r="T430" s="2" t="s">
        <v>1564</v>
      </c>
      <c r="U430" s="2">
        <v>50</v>
      </c>
      <c r="V430" s="2" t="s">
        <v>263</v>
      </c>
      <c r="W430" s="2">
        <v>50</v>
      </c>
      <c r="X430" s="2">
        <v>29</v>
      </c>
      <c r="Y430" s="2">
        <v>50</v>
      </c>
      <c r="Z430" s="2" t="s">
        <v>1645</v>
      </c>
      <c r="AA430" s="2">
        <v>92</v>
      </c>
      <c r="AB430" s="2" t="s">
        <v>1646</v>
      </c>
      <c r="AC430" s="2">
        <v>50</v>
      </c>
      <c r="AD430" s="2">
        <v>1</v>
      </c>
      <c r="AE430" s="2">
        <v>50</v>
      </c>
      <c r="AF430" s="2" t="s">
        <v>1567</v>
      </c>
      <c r="AG430" s="2">
        <v>50</v>
      </c>
      <c r="AH430" s="2" t="s">
        <v>1647</v>
      </c>
      <c r="AI430" s="2">
        <v>50</v>
      </c>
      <c r="AJ430" s="2" t="s">
        <v>350</v>
      </c>
      <c r="AK430" s="2">
        <v>50</v>
      </c>
    </row>
    <row r="431" spans="1:37" x14ac:dyDescent="0.25">
      <c r="A431" s="2" t="s">
        <v>111</v>
      </c>
      <c r="B431" s="2" t="s">
        <v>256</v>
      </c>
      <c r="C431" s="2" t="s">
        <v>9</v>
      </c>
      <c r="D431" s="3">
        <v>46080.530763888892</v>
      </c>
      <c r="E431" s="2">
        <v>68.62</v>
      </c>
      <c r="F431" s="2">
        <v>391</v>
      </c>
      <c r="G431" s="2">
        <v>1</v>
      </c>
      <c r="I431" s="2" t="s">
        <v>1561</v>
      </c>
      <c r="J431" s="2" t="s">
        <v>258</v>
      </c>
      <c r="K431" s="2">
        <v>30</v>
      </c>
      <c r="L431" s="2">
        <v>3507009725</v>
      </c>
      <c r="M431" s="2">
        <v>50</v>
      </c>
      <c r="N431" s="2" t="s">
        <v>1562</v>
      </c>
      <c r="O431" s="2">
        <v>50</v>
      </c>
      <c r="P431" s="2" t="s">
        <v>260</v>
      </c>
      <c r="Q431" s="2">
        <v>50</v>
      </c>
      <c r="R431" s="2" t="s">
        <v>1563</v>
      </c>
      <c r="S431" s="2">
        <v>50</v>
      </c>
      <c r="T431" s="2" t="s">
        <v>1564</v>
      </c>
      <c r="U431" s="2">
        <v>50</v>
      </c>
      <c r="V431" s="2" t="s">
        <v>263</v>
      </c>
      <c r="W431" s="2">
        <v>50</v>
      </c>
      <c r="X431" s="2">
        <v>30</v>
      </c>
      <c r="Y431" s="2">
        <v>50</v>
      </c>
      <c r="Z431" s="2" t="s">
        <v>1630</v>
      </c>
      <c r="AA431" s="2">
        <v>92</v>
      </c>
      <c r="AB431" s="2" t="s">
        <v>1648</v>
      </c>
      <c r="AC431" s="2">
        <v>50</v>
      </c>
      <c r="AD431" s="2">
        <v>8</v>
      </c>
      <c r="AE431" s="2">
        <v>50</v>
      </c>
      <c r="AF431" s="2" t="s">
        <v>1567</v>
      </c>
      <c r="AG431" s="2">
        <v>50</v>
      </c>
      <c r="AH431" s="2" t="s">
        <v>1632</v>
      </c>
      <c r="AI431" s="2">
        <v>50</v>
      </c>
      <c r="AJ431" s="2" t="s">
        <v>350</v>
      </c>
      <c r="AK431" s="2">
        <v>50</v>
      </c>
    </row>
    <row r="432" spans="1:37" x14ac:dyDescent="0.25">
      <c r="A432" s="2" t="s">
        <v>153</v>
      </c>
      <c r="B432" s="2" t="s">
        <v>256</v>
      </c>
      <c r="C432" s="2" t="s">
        <v>9</v>
      </c>
      <c r="D432" s="3">
        <v>46080.530752314815</v>
      </c>
      <c r="E432" s="2">
        <v>93.11</v>
      </c>
      <c r="F432" s="2">
        <v>26</v>
      </c>
      <c r="G432" s="2">
        <v>0</v>
      </c>
      <c r="I432" s="2" t="s">
        <v>861</v>
      </c>
      <c r="J432" s="2" t="s">
        <v>258</v>
      </c>
      <c r="K432" s="2">
        <v>1</v>
      </c>
      <c r="L432" s="2">
        <v>3507009729</v>
      </c>
      <c r="M432" s="2">
        <v>95</v>
      </c>
      <c r="N432" s="2" t="s">
        <v>862</v>
      </c>
      <c r="O432" s="2">
        <v>95</v>
      </c>
      <c r="P432" s="2" t="s">
        <v>260</v>
      </c>
      <c r="Q432" s="2">
        <v>95</v>
      </c>
      <c r="R432" s="2" t="s">
        <v>863</v>
      </c>
      <c r="S432" s="2">
        <v>95</v>
      </c>
      <c r="T432" s="2" t="s">
        <v>364</v>
      </c>
      <c r="U432" s="2">
        <v>90</v>
      </c>
      <c r="V432" s="2" t="s">
        <v>263</v>
      </c>
      <c r="W432" s="2">
        <v>95</v>
      </c>
      <c r="X432" s="2">
        <v>10</v>
      </c>
      <c r="Y432" s="2">
        <v>95</v>
      </c>
      <c r="Z432" s="2" t="s">
        <v>865</v>
      </c>
      <c r="AA432" s="2">
        <v>92</v>
      </c>
      <c r="AB432" s="2" t="s">
        <v>866</v>
      </c>
      <c r="AC432" s="2">
        <v>88</v>
      </c>
      <c r="AD432" s="2">
        <v>24</v>
      </c>
      <c r="AE432" s="2">
        <v>95</v>
      </c>
      <c r="AF432" s="2" t="s">
        <v>346</v>
      </c>
      <c r="AG432" s="2">
        <v>90</v>
      </c>
      <c r="AH432" s="2" t="s">
        <v>867</v>
      </c>
      <c r="AI432" s="2">
        <v>93</v>
      </c>
      <c r="AJ432" s="2" t="s">
        <v>268</v>
      </c>
      <c r="AK432" s="2">
        <v>90</v>
      </c>
    </row>
    <row r="433" spans="1:37" x14ac:dyDescent="0.25">
      <c r="A433" s="2" t="s">
        <v>153</v>
      </c>
      <c r="B433" s="2" t="s">
        <v>256</v>
      </c>
      <c r="C433" s="2" t="s">
        <v>9</v>
      </c>
      <c r="D433" s="3">
        <v>46080.530752314815</v>
      </c>
      <c r="E433" s="2">
        <v>93.11</v>
      </c>
      <c r="F433" s="2">
        <v>26</v>
      </c>
      <c r="G433" s="2">
        <v>0</v>
      </c>
      <c r="I433" s="2" t="s">
        <v>861</v>
      </c>
      <c r="J433" s="2" t="s">
        <v>258</v>
      </c>
      <c r="K433" s="2">
        <v>2</v>
      </c>
      <c r="L433" s="2">
        <v>3507009729</v>
      </c>
      <c r="M433" s="2">
        <v>95</v>
      </c>
      <c r="N433" s="2" t="s">
        <v>862</v>
      </c>
      <c r="O433" s="2">
        <v>95</v>
      </c>
      <c r="P433" s="2" t="s">
        <v>260</v>
      </c>
      <c r="Q433" s="2">
        <v>95</v>
      </c>
      <c r="R433" s="2" t="s">
        <v>863</v>
      </c>
      <c r="S433" s="2">
        <v>95</v>
      </c>
      <c r="T433" s="2" t="s">
        <v>364</v>
      </c>
      <c r="U433" s="2">
        <v>90</v>
      </c>
      <c r="V433" s="2" t="s">
        <v>263</v>
      </c>
      <c r="W433" s="2">
        <v>95</v>
      </c>
      <c r="X433" s="2">
        <v>20</v>
      </c>
      <c r="Y433" s="2">
        <v>95</v>
      </c>
      <c r="Z433" s="2" t="s">
        <v>868</v>
      </c>
      <c r="AA433" s="2">
        <v>92</v>
      </c>
      <c r="AB433" s="2" t="s">
        <v>1649</v>
      </c>
      <c r="AC433" s="2">
        <v>87</v>
      </c>
      <c r="AD433" s="2">
        <v>24</v>
      </c>
      <c r="AE433" s="2">
        <v>95</v>
      </c>
      <c r="AF433" s="2" t="s">
        <v>346</v>
      </c>
      <c r="AG433" s="2">
        <v>90</v>
      </c>
      <c r="AH433" s="2" t="s">
        <v>870</v>
      </c>
      <c r="AI433" s="2">
        <v>93</v>
      </c>
      <c r="AJ433" s="2" t="s">
        <v>268</v>
      </c>
      <c r="AK433" s="2">
        <v>90</v>
      </c>
    </row>
    <row r="434" spans="1:37" x14ac:dyDescent="0.25">
      <c r="A434" s="2" t="s">
        <v>122</v>
      </c>
      <c r="B434" s="2" t="s">
        <v>256</v>
      </c>
      <c r="C434" s="2" t="s">
        <v>9</v>
      </c>
      <c r="D434" s="3">
        <v>46080.530752314815</v>
      </c>
      <c r="E434" s="2">
        <v>77.180000000000007</v>
      </c>
      <c r="F434" s="2">
        <v>169</v>
      </c>
      <c r="G434" s="2">
        <v>0</v>
      </c>
      <c r="I434" s="2" t="s">
        <v>1650</v>
      </c>
      <c r="J434" s="2" t="s">
        <v>258</v>
      </c>
      <c r="K434" s="2">
        <v>1</v>
      </c>
      <c r="L434" s="2">
        <v>3501022494</v>
      </c>
      <c r="M434" s="2">
        <v>98</v>
      </c>
      <c r="N434" s="2" t="s">
        <v>1651</v>
      </c>
      <c r="O434" s="2">
        <v>50</v>
      </c>
      <c r="P434" s="2" t="s">
        <v>260</v>
      </c>
      <c r="Q434" s="2">
        <v>50</v>
      </c>
      <c r="R434" s="2" t="s">
        <v>723</v>
      </c>
      <c r="S434" s="2">
        <v>50</v>
      </c>
      <c r="T434" s="2" t="s">
        <v>724</v>
      </c>
      <c r="U434" s="2">
        <v>50</v>
      </c>
      <c r="V434" s="2" t="s">
        <v>263</v>
      </c>
      <c r="W434" s="2">
        <v>50</v>
      </c>
      <c r="X434" s="2">
        <v>1</v>
      </c>
      <c r="Y434" s="2">
        <v>50</v>
      </c>
      <c r="Z434" s="2" t="s">
        <v>1652</v>
      </c>
      <c r="AA434" s="2">
        <v>95</v>
      </c>
      <c r="AB434" s="2" t="s">
        <v>1653</v>
      </c>
      <c r="AC434" s="2">
        <v>50</v>
      </c>
      <c r="AD434" s="2">
        <v>36</v>
      </c>
      <c r="AE434" s="2">
        <v>96</v>
      </c>
      <c r="AF434" s="2" t="s">
        <v>1350</v>
      </c>
      <c r="AG434" s="2">
        <v>50</v>
      </c>
      <c r="AH434" s="2" t="s">
        <v>1654</v>
      </c>
      <c r="AI434" s="2">
        <v>95</v>
      </c>
      <c r="AJ434" s="2" t="s">
        <v>277</v>
      </c>
      <c r="AK434" s="2">
        <v>97</v>
      </c>
    </row>
    <row r="435" spans="1:37" x14ac:dyDescent="0.25">
      <c r="A435" s="2" t="s">
        <v>122</v>
      </c>
      <c r="B435" s="2" t="s">
        <v>256</v>
      </c>
      <c r="C435" s="2" t="s">
        <v>9</v>
      </c>
      <c r="D435" s="3">
        <v>46080.530752314815</v>
      </c>
      <c r="E435" s="2">
        <v>77.180000000000007</v>
      </c>
      <c r="F435" s="2">
        <v>169</v>
      </c>
      <c r="G435" s="2">
        <v>0</v>
      </c>
      <c r="I435" s="2" t="s">
        <v>1650</v>
      </c>
      <c r="J435" s="2" t="s">
        <v>258</v>
      </c>
      <c r="K435" s="2">
        <v>2</v>
      </c>
      <c r="L435" s="2">
        <v>3501022494</v>
      </c>
      <c r="M435" s="2">
        <v>98</v>
      </c>
      <c r="N435" s="2" t="s">
        <v>1651</v>
      </c>
      <c r="O435" s="2">
        <v>50</v>
      </c>
      <c r="P435" s="2" t="s">
        <v>260</v>
      </c>
      <c r="Q435" s="2">
        <v>50</v>
      </c>
      <c r="R435" s="2" t="s">
        <v>723</v>
      </c>
      <c r="S435" s="2">
        <v>50</v>
      </c>
      <c r="T435" s="2" t="s">
        <v>724</v>
      </c>
      <c r="U435" s="2">
        <v>50</v>
      </c>
      <c r="V435" s="2" t="s">
        <v>263</v>
      </c>
      <c r="W435" s="2">
        <v>50</v>
      </c>
      <c r="X435" s="2">
        <v>2</v>
      </c>
      <c r="Y435" s="2">
        <v>50</v>
      </c>
      <c r="Z435" s="2" t="s">
        <v>1655</v>
      </c>
      <c r="AA435" s="2">
        <v>95</v>
      </c>
      <c r="AB435" s="2" t="s">
        <v>1656</v>
      </c>
      <c r="AC435" s="2">
        <v>50</v>
      </c>
      <c r="AD435" s="2">
        <v>5</v>
      </c>
      <c r="AE435" s="2">
        <v>96</v>
      </c>
      <c r="AF435" s="2" t="s">
        <v>880</v>
      </c>
      <c r="AG435" s="2">
        <v>50</v>
      </c>
      <c r="AH435" s="2" t="s">
        <v>1657</v>
      </c>
      <c r="AI435" s="2">
        <v>94</v>
      </c>
      <c r="AJ435" s="2" t="s">
        <v>277</v>
      </c>
      <c r="AK435" s="2">
        <v>97</v>
      </c>
    </row>
    <row r="436" spans="1:37" x14ac:dyDescent="0.25">
      <c r="A436" s="2" t="s">
        <v>122</v>
      </c>
      <c r="B436" s="2" t="s">
        <v>256</v>
      </c>
      <c r="C436" s="2" t="s">
        <v>9</v>
      </c>
      <c r="D436" s="3">
        <v>46080.530752314815</v>
      </c>
      <c r="E436" s="2">
        <v>77.180000000000007</v>
      </c>
      <c r="F436" s="2">
        <v>169</v>
      </c>
      <c r="G436" s="2">
        <v>0</v>
      </c>
      <c r="I436" s="2" t="s">
        <v>1650</v>
      </c>
      <c r="J436" s="2" t="s">
        <v>258</v>
      </c>
      <c r="K436" s="2">
        <v>3</v>
      </c>
      <c r="L436" s="2">
        <v>3501022494</v>
      </c>
      <c r="M436" s="2">
        <v>98</v>
      </c>
      <c r="N436" s="2" t="s">
        <v>1651</v>
      </c>
      <c r="O436" s="2">
        <v>50</v>
      </c>
      <c r="P436" s="2" t="s">
        <v>260</v>
      </c>
      <c r="Q436" s="2">
        <v>50</v>
      </c>
      <c r="R436" s="2" t="s">
        <v>723</v>
      </c>
      <c r="S436" s="2">
        <v>50</v>
      </c>
      <c r="T436" s="2" t="s">
        <v>724</v>
      </c>
      <c r="U436" s="2">
        <v>50</v>
      </c>
      <c r="V436" s="2" t="s">
        <v>263</v>
      </c>
      <c r="W436" s="2">
        <v>50</v>
      </c>
      <c r="X436" s="2">
        <v>3</v>
      </c>
      <c r="Y436" s="2">
        <v>50</v>
      </c>
      <c r="Z436" s="2" t="s">
        <v>1658</v>
      </c>
      <c r="AA436" s="2">
        <v>95</v>
      </c>
      <c r="AB436" s="2" t="s">
        <v>1659</v>
      </c>
      <c r="AC436" s="2">
        <v>50</v>
      </c>
      <c r="AD436" s="2">
        <v>18</v>
      </c>
      <c r="AE436" s="2">
        <v>96</v>
      </c>
      <c r="AF436" s="2" t="s">
        <v>735</v>
      </c>
      <c r="AG436" s="2">
        <v>50</v>
      </c>
      <c r="AH436" s="2" t="s">
        <v>1660</v>
      </c>
      <c r="AI436" s="2">
        <v>95</v>
      </c>
      <c r="AJ436" s="2" t="s">
        <v>277</v>
      </c>
      <c r="AK436" s="2">
        <v>97</v>
      </c>
    </row>
    <row r="437" spans="1:37" x14ac:dyDescent="0.25">
      <c r="A437" s="2" t="s">
        <v>122</v>
      </c>
      <c r="B437" s="2" t="s">
        <v>256</v>
      </c>
      <c r="C437" s="2" t="s">
        <v>9</v>
      </c>
      <c r="D437" s="3">
        <v>46080.530752314815</v>
      </c>
      <c r="E437" s="2">
        <v>77.180000000000007</v>
      </c>
      <c r="F437" s="2">
        <v>169</v>
      </c>
      <c r="G437" s="2">
        <v>0</v>
      </c>
      <c r="I437" s="2" t="s">
        <v>1650</v>
      </c>
      <c r="J437" s="2" t="s">
        <v>258</v>
      </c>
      <c r="K437" s="2">
        <v>4</v>
      </c>
      <c r="L437" s="2">
        <v>3501022494</v>
      </c>
      <c r="M437" s="2">
        <v>98</v>
      </c>
      <c r="N437" s="2" t="s">
        <v>1651</v>
      </c>
      <c r="O437" s="2">
        <v>50</v>
      </c>
      <c r="P437" s="2" t="s">
        <v>260</v>
      </c>
      <c r="Q437" s="2">
        <v>50</v>
      </c>
      <c r="R437" s="2" t="s">
        <v>723</v>
      </c>
      <c r="S437" s="2">
        <v>50</v>
      </c>
      <c r="T437" s="2" t="s">
        <v>724</v>
      </c>
      <c r="U437" s="2">
        <v>50</v>
      </c>
      <c r="V437" s="2" t="s">
        <v>263</v>
      </c>
      <c r="W437" s="2">
        <v>50</v>
      </c>
      <c r="X437" s="2">
        <v>4</v>
      </c>
      <c r="Y437" s="2">
        <v>50</v>
      </c>
      <c r="Z437" s="2" t="s">
        <v>1661</v>
      </c>
      <c r="AA437" s="2">
        <v>94</v>
      </c>
      <c r="AB437" s="2" t="s">
        <v>1662</v>
      </c>
      <c r="AC437" s="2">
        <v>50</v>
      </c>
      <c r="AD437" s="2">
        <v>5</v>
      </c>
      <c r="AE437" s="2">
        <v>95</v>
      </c>
      <c r="AF437" s="2" t="s">
        <v>1663</v>
      </c>
      <c r="AG437" s="2">
        <v>50</v>
      </c>
      <c r="AH437" s="2" t="s">
        <v>1664</v>
      </c>
      <c r="AI437" s="2">
        <v>95</v>
      </c>
      <c r="AJ437" s="2" t="s">
        <v>277</v>
      </c>
      <c r="AK437" s="2">
        <v>96</v>
      </c>
    </row>
    <row r="438" spans="1:37" x14ac:dyDescent="0.25">
      <c r="A438" s="2" t="s">
        <v>122</v>
      </c>
      <c r="B438" s="2" t="s">
        <v>256</v>
      </c>
      <c r="C438" s="2" t="s">
        <v>9</v>
      </c>
      <c r="D438" s="3">
        <v>46080.530752314815</v>
      </c>
      <c r="E438" s="2">
        <v>77.180000000000007</v>
      </c>
      <c r="F438" s="2">
        <v>169</v>
      </c>
      <c r="G438" s="2">
        <v>0</v>
      </c>
      <c r="I438" s="2" t="s">
        <v>1650</v>
      </c>
      <c r="J438" s="2" t="s">
        <v>258</v>
      </c>
      <c r="K438" s="2">
        <v>5</v>
      </c>
      <c r="L438" s="2">
        <v>3501022494</v>
      </c>
      <c r="M438" s="2">
        <v>98</v>
      </c>
      <c r="N438" s="2" t="s">
        <v>1651</v>
      </c>
      <c r="O438" s="2">
        <v>50</v>
      </c>
      <c r="P438" s="2" t="s">
        <v>260</v>
      </c>
      <c r="Q438" s="2">
        <v>50</v>
      </c>
      <c r="R438" s="2" t="s">
        <v>723</v>
      </c>
      <c r="S438" s="2">
        <v>50</v>
      </c>
      <c r="T438" s="2" t="s">
        <v>724</v>
      </c>
      <c r="U438" s="2">
        <v>50</v>
      </c>
      <c r="V438" s="2" t="s">
        <v>263</v>
      </c>
      <c r="W438" s="2">
        <v>50</v>
      </c>
      <c r="X438" s="2">
        <v>5</v>
      </c>
      <c r="Y438" s="2">
        <v>50</v>
      </c>
      <c r="Z438" s="2" t="s">
        <v>1665</v>
      </c>
      <c r="AA438" s="2">
        <v>95</v>
      </c>
      <c r="AB438" s="2" t="s">
        <v>1666</v>
      </c>
      <c r="AC438" s="2">
        <v>50</v>
      </c>
      <c r="AD438" s="2">
        <v>4</v>
      </c>
      <c r="AE438" s="2">
        <v>96</v>
      </c>
      <c r="AF438" s="2" t="s">
        <v>1667</v>
      </c>
      <c r="AG438" s="2">
        <v>50</v>
      </c>
      <c r="AH438" s="2" t="s">
        <v>1668</v>
      </c>
      <c r="AI438" s="2">
        <v>95</v>
      </c>
      <c r="AJ438" s="2" t="s">
        <v>277</v>
      </c>
      <c r="AK438" s="2">
        <v>96</v>
      </c>
    </row>
    <row r="439" spans="1:37" x14ac:dyDescent="0.25">
      <c r="A439" s="2" t="s">
        <v>122</v>
      </c>
      <c r="B439" s="2" t="s">
        <v>256</v>
      </c>
      <c r="C439" s="2" t="s">
        <v>9</v>
      </c>
      <c r="D439" s="3">
        <v>46080.530752314815</v>
      </c>
      <c r="E439" s="2">
        <v>77.180000000000007</v>
      </c>
      <c r="F439" s="2">
        <v>169</v>
      </c>
      <c r="G439" s="2">
        <v>0</v>
      </c>
      <c r="I439" s="2" t="s">
        <v>1650</v>
      </c>
      <c r="J439" s="2" t="s">
        <v>258</v>
      </c>
      <c r="K439" s="2">
        <v>6</v>
      </c>
      <c r="L439" s="2">
        <v>3501022494</v>
      </c>
      <c r="M439" s="2">
        <v>98</v>
      </c>
      <c r="N439" s="2" t="s">
        <v>1651</v>
      </c>
      <c r="O439" s="2">
        <v>50</v>
      </c>
      <c r="P439" s="2" t="s">
        <v>260</v>
      </c>
      <c r="Q439" s="2">
        <v>50</v>
      </c>
      <c r="R439" s="2" t="s">
        <v>723</v>
      </c>
      <c r="S439" s="2">
        <v>50</v>
      </c>
      <c r="T439" s="2" t="s">
        <v>724</v>
      </c>
      <c r="U439" s="2">
        <v>50</v>
      </c>
      <c r="V439" s="2" t="s">
        <v>263</v>
      </c>
      <c r="W439" s="2">
        <v>50</v>
      </c>
      <c r="X439" s="2">
        <v>6</v>
      </c>
      <c r="Y439" s="2">
        <v>50</v>
      </c>
      <c r="Z439" s="2" t="s">
        <v>1669</v>
      </c>
      <c r="AA439" s="2">
        <v>95</v>
      </c>
      <c r="AB439" s="2" t="s">
        <v>1670</v>
      </c>
      <c r="AC439" s="2">
        <v>50</v>
      </c>
      <c r="AD439" s="2">
        <v>4</v>
      </c>
      <c r="AE439" s="2">
        <v>96</v>
      </c>
      <c r="AF439" s="2" t="s">
        <v>762</v>
      </c>
      <c r="AG439" s="2">
        <v>50</v>
      </c>
      <c r="AH439" s="2" t="s">
        <v>1671</v>
      </c>
      <c r="AI439" s="2">
        <v>95</v>
      </c>
      <c r="AJ439" s="2" t="s">
        <v>277</v>
      </c>
      <c r="AK439" s="2">
        <v>96</v>
      </c>
    </row>
    <row r="440" spans="1:37" x14ac:dyDescent="0.25">
      <c r="A440" s="2" t="s">
        <v>122</v>
      </c>
      <c r="B440" s="2" t="s">
        <v>256</v>
      </c>
      <c r="C440" s="2" t="s">
        <v>9</v>
      </c>
      <c r="D440" s="3">
        <v>46080.530752314815</v>
      </c>
      <c r="E440" s="2">
        <v>77.180000000000007</v>
      </c>
      <c r="F440" s="2">
        <v>169</v>
      </c>
      <c r="G440" s="2">
        <v>0</v>
      </c>
      <c r="I440" s="2" t="s">
        <v>1650</v>
      </c>
      <c r="J440" s="2" t="s">
        <v>258</v>
      </c>
      <c r="K440" s="2">
        <v>7</v>
      </c>
      <c r="L440" s="2">
        <v>3501022494</v>
      </c>
      <c r="M440" s="2">
        <v>98</v>
      </c>
      <c r="N440" s="2" t="s">
        <v>1651</v>
      </c>
      <c r="O440" s="2">
        <v>50</v>
      </c>
      <c r="P440" s="2" t="s">
        <v>260</v>
      </c>
      <c r="Q440" s="2">
        <v>50</v>
      </c>
      <c r="R440" s="2" t="s">
        <v>723</v>
      </c>
      <c r="S440" s="2">
        <v>50</v>
      </c>
      <c r="T440" s="2" t="s">
        <v>724</v>
      </c>
      <c r="U440" s="2">
        <v>50</v>
      </c>
      <c r="V440" s="2" t="s">
        <v>263</v>
      </c>
      <c r="W440" s="2">
        <v>50</v>
      </c>
      <c r="X440" s="2">
        <v>7</v>
      </c>
      <c r="Y440" s="2">
        <v>50</v>
      </c>
      <c r="Z440" s="2" t="s">
        <v>1672</v>
      </c>
      <c r="AA440" s="2">
        <v>95</v>
      </c>
      <c r="AB440" s="2" t="s">
        <v>1673</v>
      </c>
      <c r="AC440" s="2">
        <v>50</v>
      </c>
      <c r="AD440" s="2">
        <v>2</v>
      </c>
      <c r="AE440" s="2">
        <v>96</v>
      </c>
      <c r="AF440" s="2" t="s">
        <v>1354</v>
      </c>
      <c r="AG440" s="2">
        <v>50</v>
      </c>
      <c r="AH440" s="2" t="s">
        <v>1674</v>
      </c>
      <c r="AI440" s="2">
        <v>95</v>
      </c>
      <c r="AJ440" s="2" t="s">
        <v>277</v>
      </c>
      <c r="AK440" s="2">
        <v>96</v>
      </c>
    </row>
    <row r="441" spans="1:37" x14ac:dyDescent="0.25">
      <c r="A441" s="2" t="s">
        <v>122</v>
      </c>
      <c r="B441" s="2" t="s">
        <v>256</v>
      </c>
      <c r="C441" s="2" t="s">
        <v>9</v>
      </c>
      <c r="D441" s="3">
        <v>46080.530752314815</v>
      </c>
      <c r="E441" s="2">
        <v>77.180000000000007</v>
      </c>
      <c r="F441" s="2">
        <v>169</v>
      </c>
      <c r="G441" s="2">
        <v>0</v>
      </c>
      <c r="I441" s="2" t="s">
        <v>1650</v>
      </c>
      <c r="J441" s="2" t="s">
        <v>258</v>
      </c>
      <c r="K441" s="2">
        <v>8</v>
      </c>
      <c r="L441" s="2">
        <v>3501022494</v>
      </c>
      <c r="M441" s="2">
        <v>98</v>
      </c>
      <c r="N441" s="2" t="s">
        <v>1651</v>
      </c>
      <c r="O441" s="2">
        <v>50</v>
      </c>
      <c r="P441" s="2" t="s">
        <v>260</v>
      </c>
      <c r="Q441" s="2">
        <v>50</v>
      </c>
      <c r="R441" s="2" t="s">
        <v>723</v>
      </c>
      <c r="S441" s="2">
        <v>50</v>
      </c>
      <c r="T441" s="2" t="s">
        <v>724</v>
      </c>
      <c r="U441" s="2">
        <v>50</v>
      </c>
      <c r="V441" s="2" t="s">
        <v>263</v>
      </c>
      <c r="W441" s="2">
        <v>50</v>
      </c>
      <c r="X441" s="2">
        <v>8</v>
      </c>
      <c r="Y441" s="2">
        <v>50</v>
      </c>
      <c r="Z441" s="2" t="s">
        <v>1675</v>
      </c>
      <c r="AA441" s="2">
        <v>95</v>
      </c>
      <c r="AB441" s="2" t="s">
        <v>1676</v>
      </c>
      <c r="AC441" s="2">
        <v>50</v>
      </c>
      <c r="AD441" s="2">
        <v>15</v>
      </c>
      <c r="AE441" s="2">
        <v>96</v>
      </c>
      <c r="AF441" s="2" t="s">
        <v>1677</v>
      </c>
      <c r="AG441" s="2">
        <v>50</v>
      </c>
      <c r="AH441" s="2" t="s">
        <v>1678</v>
      </c>
      <c r="AI441" s="2">
        <v>95</v>
      </c>
      <c r="AJ441" s="2" t="s">
        <v>277</v>
      </c>
      <c r="AK441" s="2">
        <v>96</v>
      </c>
    </row>
    <row r="442" spans="1:37" x14ac:dyDescent="0.25">
      <c r="A442" s="2" t="s">
        <v>122</v>
      </c>
      <c r="B442" s="2" t="s">
        <v>256</v>
      </c>
      <c r="C442" s="2" t="s">
        <v>9</v>
      </c>
      <c r="D442" s="3">
        <v>46080.530752314815</v>
      </c>
      <c r="E442" s="2">
        <v>77.180000000000007</v>
      </c>
      <c r="F442" s="2">
        <v>169</v>
      </c>
      <c r="G442" s="2">
        <v>0</v>
      </c>
      <c r="I442" s="2" t="s">
        <v>1650</v>
      </c>
      <c r="J442" s="2" t="s">
        <v>258</v>
      </c>
      <c r="K442" s="2">
        <v>9</v>
      </c>
      <c r="L442" s="2">
        <v>3501022494</v>
      </c>
      <c r="M442" s="2">
        <v>98</v>
      </c>
      <c r="N442" s="2" t="s">
        <v>1651</v>
      </c>
      <c r="O442" s="2">
        <v>50</v>
      </c>
      <c r="P442" s="2" t="s">
        <v>260</v>
      </c>
      <c r="Q442" s="2">
        <v>50</v>
      </c>
      <c r="R442" s="2" t="s">
        <v>723</v>
      </c>
      <c r="S442" s="2">
        <v>50</v>
      </c>
      <c r="T442" s="2" t="s">
        <v>724</v>
      </c>
      <c r="U442" s="2">
        <v>50</v>
      </c>
      <c r="V442" s="2" t="s">
        <v>263</v>
      </c>
      <c r="W442" s="2">
        <v>50</v>
      </c>
      <c r="X442" s="2">
        <v>9</v>
      </c>
      <c r="Y442" s="2">
        <v>50</v>
      </c>
      <c r="Z442" s="2" t="s">
        <v>1679</v>
      </c>
      <c r="AA442" s="2">
        <v>95</v>
      </c>
      <c r="AB442" s="2" t="s">
        <v>1680</v>
      </c>
      <c r="AC442" s="2">
        <v>50</v>
      </c>
      <c r="AD442" s="2">
        <v>30</v>
      </c>
      <c r="AE442" s="2">
        <v>96</v>
      </c>
      <c r="AF442" s="2" t="s">
        <v>1681</v>
      </c>
      <c r="AG442" s="2">
        <v>50</v>
      </c>
      <c r="AH442" s="2" t="s">
        <v>1682</v>
      </c>
      <c r="AI442" s="2">
        <v>95</v>
      </c>
      <c r="AJ442" s="2" t="s">
        <v>277</v>
      </c>
      <c r="AK442" s="2">
        <v>96</v>
      </c>
    </row>
    <row r="443" spans="1:37" x14ac:dyDescent="0.25">
      <c r="A443" s="2" t="s">
        <v>122</v>
      </c>
      <c r="B443" s="2" t="s">
        <v>256</v>
      </c>
      <c r="C443" s="2" t="s">
        <v>9</v>
      </c>
      <c r="D443" s="3">
        <v>46080.530752314815</v>
      </c>
      <c r="E443" s="2">
        <v>77.180000000000007</v>
      </c>
      <c r="F443" s="2">
        <v>169</v>
      </c>
      <c r="G443" s="2">
        <v>0</v>
      </c>
      <c r="I443" s="2" t="s">
        <v>1650</v>
      </c>
      <c r="J443" s="2" t="s">
        <v>258</v>
      </c>
      <c r="K443" s="2">
        <v>10</v>
      </c>
      <c r="L443" s="2">
        <v>3501022494</v>
      </c>
      <c r="M443" s="2">
        <v>98</v>
      </c>
      <c r="N443" s="2" t="s">
        <v>1651</v>
      </c>
      <c r="O443" s="2">
        <v>50</v>
      </c>
      <c r="P443" s="2" t="s">
        <v>260</v>
      </c>
      <c r="Q443" s="2">
        <v>50</v>
      </c>
      <c r="R443" s="2" t="s">
        <v>723</v>
      </c>
      <c r="S443" s="2">
        <v>50</v>
      </c>
      <c r="T443" s="2" t="s">
        <v>724</v>
      </c>
      <c r="U443" s="2">
        <v>50</v>
      </c>
      <c r="V443" s="2" t="s">
        <v>263</v>
      </c>
      <c r="W443" s="2">
        <v>50</v>
      </c>
      <c r="X443" s="2">
        <v>10</v>
      </c>
      <c r="Y443" s="2">
        <v>50</v>
      </c>
      <c r="Z443" s="2" t="s">
        <v>1683</v>
      </c>
      <c r="AA443" s="2">
        <v>95</v>
      </c>
      <c r="AB443" s="2" t="s">
        <v>1684</v>
      </c>
      <c r="AC443" s="2">
        <v>50</v>
      </c>
      <c r="AD443" s="2">
        <v>4</v>
      </c>
      <c r="AE443" s="2">
        <v>96</v>
      </c>
      <c r="AF443" s="2" t="s">
        <v>1685</v>
      </c>
      <c r="AG443" s="2">
        <v>50</v>
      </c>
      <c r="AH443" s="2" t="s">
        <v>1686</v>
      </c>
      <c r="AI443" s="2">
        <v>95</v>
      </c>
      <c r="AJ443" s="2" t="s">
        <v>277</v>
      </c>
      <c r="AK443" s="2">
        <v>96</v>
      </c>
    </row>
    <row r="444" spans="1:37" x14ac:dyDescent="0.25">
      <c r="A444" s="2" t="s">
        <v>122</v>
      </c>
      <c r="B444" s="2" t="s">
        <v>256</v>
      </c>
      <c r="C444" s="2" t="s">
        <v>9</v>
      </c>
      <c r="D444" s="3">
        <v>46080.530752314815</v>
      </c>
      <c r="E444" s="2">
        <v>77.180000000000007</v>
      </c>
      <c r="F444" s="2">
        <v>169</v>
      </c>
      <c r="G444" s="2">
        <v>0</v>
      </c>
      <c r="I444" s="2" t="s">
        <v>1650</v>
      </c>
      <c r="J444" s="2" t="s">
        <v>258</v>
      </c>
      <c r="K444" s="2">
        <v>11</v>
      </c>
      <c r="L444" s="2">
        <v>3501022494</v>
      </c>
      <c r="M444" s="2">
        <v>98</v>
      </c>
      <c r="N444" s="2" t="s">
        <v>1651</v>
      </c>
      <c r="O444" s="2">
        <v>50</v>
      </c>
      <c r="P444" s="2" t="s">
        <v>260</v>
      </c>
      <c r="Q444" s="2">
        <v>50</v>
      </c>
      <c r="R444" s="2" t="s">
        <v>723</v>
      </c>
      <c r="S444" s="2">
        <v>50</v>
      </c>
      <c r="T444" s="2" t="s">
        <v>724</v>
      </c>
      <c r="U444" s="2">
        <v>50</v>
      </c>
      <c r="V444" s="2" t="s">
        <v>263</v>
      </c>
      <c r="W444" s="2">
        <v>50</v>
      </c>
      <c r="X444" s="2">
        <v>11</v>
      </c>
      <c r="Y444" s="2">
        <v>50</v>
      </c>
      <c r="Z444" s="2" t="s">
        <v>1687</v>
      </c>
      <c r="AA444" s="2">
        <v>95</v>
      </c>
      <c r="AB444" s="2" t="s">
        <v>1688</v>
      </c>
      <c r="AC444" s="2">
        <v>50</v>
      </c>
      <c r="AD444" s="2">
        <v>2</v>
      </c>
      <c r="AE444" s="2">
        <v>96</v>
      </c>
      <c r="AF444" s="2" t="s">
        <v>1689</v>
      </c>
      <c r="AG444" s="2">
        <v>50</v>
      </c>
      <c r="AH444" s="2" t="s">
        <v>1690</v>
      </c>
      <c r="AI444" s="2">
        <v>95</v>
      </c>
      <c r="AJ444" s="2" t="s">
        <v>277</v>
      </c>
      <c r="AK444" s="2">
        <v>96</v>
      </c>
    </row>
    <row r="445" spans="1:37" x14ac:dyDescent="0.25">
      <c r="A445" s="2" t="s">
        <v>122</v>
      </c>
      <c r="B445" s="2" t="s">
        <v>256</v>
      </c>
      <c r="C445" s="2" t="s">
        <v>9</v>
      </c>
      <c r="D445" s="3">
        <v>46080.530752314815</v>
      </c>
      <c r="E445" s="2">
        <v>77.180000000000007</v>
      </c>
      <c r="F445" s="2">
        <v>169</v>
      </c>
      <c r="G445" s="2">
        <v>0</v>
      </c>
      <c r="I445" s="2" t="s">
        <v>1650</v>
      </c>
      <c r="J445" s="2" t="s">
        <v>258</v>
      </c>
      <c r="K445" s="2">
        <v>12</v>
      </c>
      <c r="L445" s="2">
        <v>3501022494</v>
      </c>
      <c r="M445" s="2">
        <v>98</v>
      </c>
      <c r="N445" s="2" t="s">
        <v>1651</v>
      </c>
      <c r="O445" s="2">
        <v>50</v>
      </c>
      <c r="P445" s="2" t="s">
        <v>260</v>
      </c>
      <c r="Q445" s="2">
        <v>50</v>
      </c>
      <c r="R445" s="2" t="s">
        <v>723</v>
      </c>
      <c r="S445" s="2">
        <v>50</v>
      </c>
      <c r="T445" s="2" t="s">
        <v>724</v>
      </c>
      <c r="U445" s="2">
        <v>50</v>
      </c>
      <c r="V445" s="2" t="s">
        <v>263</v>
      </c>
      <c r="W445" s="2">
        <v>50</v>
      </c>
      <c r="X445" s="2">
        <v>12</v>
      </c>
      <c r="Y445" s="2">
        <v>50</v>
      </c>
      <c r="Z445" s="2" t="s">
        <v>764</v>
      </c>
      <c r="AA445" s="2">
        <v>95</v>
      </c>
      <c r="AB445" s="2" t="s">
        <v>765</v>
      </c>
      <c r="AC445" s="2">
        <v>50</v>
      </c>
      <c r="AD445" s="2">
        <v>17</v>
      </c>
      <c r="AE445" s="2">
        <v>96</v>
      </c>
      <c r="AF445" s="2" t="s">
        <v>766</v>
      </c>
      <c r="AG445" s="2">
        <v>50</v>
      </c>
      <c r="AH445" s="2" t="s">
        <v>1691</v>
      </c>
      <c r="AI445" s="2">
        <v>95</v>
      </c>
      <c r="AJ445" s="2" t="s">
        <v>277</v>
      </c>
      <c r="AK445" s="2">
        <v>96</v>
      </c>
    </row>
    <row r="446" spans="1:37" x14ac:dyDescent="0.25">
      <c r="A446" s="2" t="s">
        <v>122</v>
      </c>
      <c r="B446" s="2" t="s">
        <v>256</v>
      </c>
      <c r="C446" s="2" t="s">
        <v>9</v>
      </c>
      <c r="D446" s="3">
        <v>46080.530752314815</v>
      </c>
      <c r="E446" s="2">
        <v>77.180000000000007</v>
      </c>
      <c r="F446" s="2">
        <v>169</v>
      </c>
      <c r="G446" s="2">
        <v>0</v>
      </c>
      <c r="I446" s="2" t="s">
        <v>1650</v>
      </c>
      <c r="J446" s="2" t="s">
        <v>258</v>
      </c>
      <c r="K446" s="2">
        <v>13</v>
      </c>
      <c r="L446" s="2">
        <v>3501022494</v>
      </c>
      <c r="M446" s="2">
        <v>98</v>
      </c>
      <c r="N446" s="2" t="s">
        <v>1651</v>
      </c>
      <c r="O446" s="2">
        <v>50</v>
      </c>
      <c r="P446" s="2" t="s">
        <v>260</v>
      </c>
      <c r="Q446" s="2">
        <v>50</v>
      </c>
      <c r="R446" s="2" t="s">
        <v>723</v>
      </c>
      <c r="S446" s="2">
        <v>50</v>
      </c>
      <c r="T446" s="2" t="s">
        <v>724</v>
      </c>
      <c r="U446" s="2">
        <v>50</v>
      </c>
      <c r="V446" s="2" t="s">
        <v>263</v>
      </c>
      <c r="W446" s="2">
        <v>50</v>
      </c>
      <c r="X446" s="2">
        <v>13</v>
      </c>
      <c r="Y446" s="2">
        <v>50</v>
      </c>
      <c r="Z446" s="2" t="s">
        <v>1692</v>
      </c>
      <c r="AA446" s="2">
        <v>94</v>
      </c>
      <c r="AB446" s="2" t="s">
        <v>1693</v>
      </c>
      <c r="AC446" s="2">
        <v>50</v>
      </c>
      <c r="AD446" s="2">
        <v>100</v>
      </c>
      <c r="AE446" s="2">
        <v>96</v>
      </c>
      <c r="AF446" s="2" t="s">
        <v>1694</v>
      </c>
      <c r="AG446" s="2">
        <v>50</v>
      </c>
      <c r="AH446" s="2" t="s">
        <v>1695</v>
      </c>
      <c r="AI446" s="2">
        <v>95</v>
      </c>
      <c r="AJ446" s="2" t="s">
        <v>277</v>
      </c>
      <c r="AK446" s="2">
        <v>96</v>
      </c>
    </row>
    <row r="447" spans="1:37" x14ac:dyDescent="0.25">
      <c r="A447" s="2" t="s">
        <v>141</v>
      </c>
      <c r="C447" s="2" t="s">
        <v>11</v>
      </c>
      <c r="D447" s="3">
        <v>46080.530752314815</v>
      </c>
      <c r="E447" s="2">
        <v>20</v>
      </c>
      <c r="F447" s="2">
        <v>0</v>
      </c>
      <c r="G447" s="2">
        <v>0</v>
      </c>
      <c r="I447" s="2" t="s">
        <v>1696</v>
      </c>
    </row>
    <row r="448" spans="1:37" x14ac:dyDescent="0.25">
      <c r="A448" s="2" t="s">
        <v>107</v>
      </c>
      <c r="B448" s="2" t="s">
        <v>256</v>
      </c>
      <c r="C448" s="2" t="s">
        <v>9</v>
      </c>
      <c r="D448" s="3">
        <v>46080.530752314815</v>
      </c>
      <c r="E448" s="2">
        <v>80.66</v>
      </c>
      <c r="F448" s="2">
        <v>13</v>
      </c>
      <c r="G448" s="2">
        <v>2</v>
      </c>
      <c r="I448" s="2" t="s">
        <v>1697</v>
      </c>
      <c r="J448" s="2" t="s">
        <v>258</v>
      </c>
      <c r="K448" s="2">
        <v>1</v>
      </c>
      <c r="L448" s="2">
        <v>167924591</v>
      </c>
      <c r="M448" s="2">
        <v>80</v>
      </c>
      <c r="N448" s="2" t="s">
        <v>1698</v>
      </c>
      <c r="O448" s="2">
        <v>80</v>
      </c>
      <c r="P448" s="2" t="s">
        <v>260</v>
      </c>
      <c r="Q448" s="2">
        <v>95</v>
      </c>
      <c r="R448" s="2" t="s">
        <v>716</v>
      </c>
      <c r="S448" s="2">
        <v>95</v>
      </c>
      <c r="T448" s="2" t="s">
        <v>717</v>
      </c>
      <c r="U448" s="2">
        <v>90</v>
      </c>
      <c r="V448" s="2" t="s">
        <v>263</v>
      </c>
      <c r="W448" s="2">
        <v>90</v>
      </c>
      <c r="X448" s="2">
        <v>1</v>
      </c>
      <c r="Y448" s="2">
        <v>85</v>
      </c>
      <c r="Z448" s="2" t="s">
        <v>1219</v>
      </c>
      <c r="AA448" s="2">
        <v>85</v>
      </c>
      <c r="AB448" s="2" t="s">
        <v>1699</v>
      </c>
      <c r="AC448" s="2">
        <v>90</v>
      </c>
      <c r="AD448" s="2">
        <v>1</v>
      </c>
      <c r="AE448" s="2">
        <v>95</v>
      </c>
      <c r="AG448" s="2">
        <v>30</v>
      </c>
      <c r="AH448" s="2" t="s">
        <v>1700</v>
      </c>
      <c r="AI448" s="2">
        <v>90</v>
      </c>
      <c r="AK448" s="2">
        <v>30</v>
      </c>
    </row>
    <row r="449" spans="1:37" x14ac:dyDescent="0.25">
      <c r="A449" s="2" t="s">
        <v>186</v>
      </c>
      <c r="C449" s="2" t="s">
        <v>11</v>
      </c>
      <c r="D449" s="3">
        <v>46080.530752314815</v>
      </c>
      <c r="E449" s="2">
        <v>28</v>
      </c>
      <c r="F449" s="2">
        <v>0</v>
      </c>
      <c r="G449" s="2">
        <v>0</v>
      </c>
      <c r="I449" s="2" t="s">
        <v>1701</v>
      </c>
    </row>
    <row r="450" spans="1:37" x14ac:dyDescent="0.25">
      <c r="A450" s="2" t="s">
        <v>159</v>
      </c>
      <c r="B450" s="2" t="s">
        <v>256</v>
      </c>
      <c r="C450" s="2" t="s">
        <v>9</v>
      </c>
      <c r="D450" s="3">
        <v>46080.530752314815</v>
      </c>
      <c r="E450" s="2">
        <v>86.43</v>
      </c>
      <c r="F450" s="2">
        <v>13</v>
      </c>
      <c r="G450" s="2">
        <v>1</v>
      </c>
      <c r="I450" s="2" t="s">
        <v>1702</v>
      </c>
      <c r="J450" s="2" t="s">
        <v>258</v>
      </c>
      <c r="K450" s="2">
        <v>1</v>
      </c>
      <c r="L450" s="2">
        <v>6507004833</v>
      </c>
      <c r="M450" s="2">
        <v>95</v>
      </c>
      <c r="N450" s="2" t="s">
        <v>1703</v>
      </c>
      <c r="O450" s="2">
        <v>95</v>
      </c>
      <c r="P450" s="2" t="s">
        <v>260</v>
      </c>
      <c r="Q450" s="2">
        <v>95</v>
      </c>
      <c r="R450" s="2" t="s">
        <v>642</v>
      </c>
      <c r="S450" s="2">
        <v>95</v>
      </c>
      <c r="T450" s="2" t="s">
        <v>376</v>
      </c>
      <c r="U450" s="2">
        <v>95</v>
      </c>
      <c r="V450" s="2" t="s">
        <v>263</v>
      </c>
      <c r="W450" s="2">
        <v>90</v>
      </c>
      <c r="X450" s="2">
        <v>10</v>
      </c>
      <c r="Y450" s="2">
        <v>95</v>
      </c>
      <c r="Z450" s="2" t="s">
        <v>1259</v>
      </c>
      <c r="AA450" s="2">
        <v>95</v>
      </c>
      <c r="AB450" s="2" t="s">
        <v>1260</v>
      </c>
      <c r="AC450" s="2">
        <v>90</v>
      </c>
      <c r="AD450" s="2">
        <v>1</v>
      </c>
      <c r="AE450" s="2">
        <v>90</v>
      </c>
      <c r="AF450" s="2" t="s">
        <v>432</v>
      </c>
      <c r="AG450" s="2">
        <v>80</v>
      </c>
      <c r="AH450" s="2" t="s">
        <v>1261</v>
      </c>
      <c r="AI450" s="2">
        <v>85</v>
      </c>
      <c r="AK450" s="2">
        <v>40</v>
      </c>
    </row>
    <row r="451" spans="1:37" x14ac:dyDescent="0.25">
      <c r="A451" s="2" t="s">
        <v>177</v>
      </c>
      <c r="B451" s="2" t="s">
        <v>256</v>
      </c>
      <c r="C451" s="2" t="s">
        <v>9</v>
      </c>
      <c r="D451" s="3">
        <v>46080.530752314815</v>
      </c>
      <c r="E451" s="2">
        <v>76.459999999999994</v>
      </c>
      <c r="F451" s="2">
        <v>13</v>
      </c>
      <c r="G451" s="2">
        <v>3</v>
      </c>
      <c r="I451" s="2" t="s">
        <v>1704</v>
      </c>
      <c r="J451" s="2" t="s">
        <v>258</v>
      </c>
      <c r="K451" s="2">
        <v>1</v>
      </c>
      <c r="L451" s="2">
        <v>2507017017</v>
      </c>
      <c r="M451" s="2">
        <v>98</v>
      </c>
      <c r="O451" s="2">
        <v>10</v>
      </c>
      <c r="P451" s="2" t="s">
        <v>260</v>
      </c>
      <c r="Q451" s="2">
        <v>95</v>
      </c>
      <c r="R451" s="2" t="s">
        <v>927</v>
      </c>
      <c r="S451" s="2">
        <v>90</v>
      </c>
      <c r="T451" s="2" t="s">
        <v>1705</v>
      </c>
      <c r="U451" s="2">
        <v>92</v>
      </c>
      <c r="W451" s="2">
        <v>20</v>
      </c>
      <c r="X451" s="2">
        <v>1</v>
      </c>
      <c r="Y451" s="2">
        <v>80</v>
      </c>
      <c r="Z451" s="2" t="s">
        <v>1706</v>
      </c>
      <c r="AA451" s="2">
        <v>96</v>
      </c>
      <c r="AB451" s="2" t="s">
        <v>1707</v>
      </c>
      <c r="AC451" s="2">
        <v>94</v>
      </c>
      <c r="AD451" s="2">
        <v>4</v>
      </c>
      <c r="AE451" s="2">
        <v>96</v>
      </c>
      <c r="AF451" s="2" t="s">
        <v>1391</v>
      </c>
      <c r="AG451" s="2">
        <v>75</v>
      </c>
      <c r="AI451" s="2">
        <v>10</v>
      </c>
      <c r="AJ451" s="2" t="s">
        <v>1708</v>
      </c>
      <c r="AK451" s="2">
        <v>95</v>
      </c>
    </row>
    <row r="452" spans="1:37" x14ac:dyDescent="0.25">
      <c r="A452" s="2" t="s">
        <v>136</v>
      </c>
      <c r="B452" s="2" t="s">
        <v>256</v>
      </c>
      <c r="C452" s="2" t="s">
        <v>9</v>
      </c>
      <c r="D452" s="3">
        <v>46080.530752314815</v>
      </c>
      <c r="E452" s="2">
        <v>89.54</v>
      </c>
      <c r="F452" s="2">
        <v>39</v>
      </c>
      <c r="G452" s="2">
        <v>1</v>
      </c>
      <c r="I452" s="2" t="s">
        <v>1709</v>
      </c>
      <c r="J452" s="2" t="s">
        <v>258</v>
      </c>
      <c r="K452" s="2">
        <v>1</v>
      </c>
      <c r="L452" s="2">
        <v>2508010179</v>
      </c>
      <c r="M452" s="2">
        <v>99</v>
      </c>
      <c r="N452" s="2" t="s">
        <v>1710</v>
      </c>
      <c r="O452" s="2">
        <v>98</v>
      </c>
      <c r="P452" s="2" t="s">
        <v>667</v>
      </c>
      <c r="Q452" s="2">
        <v>98</v>
      </c>
      <c r="R452" s="2" t="s">
        <v>1027</v>
      </c>
      <c r="S452" s="2">
        <v>95</v>
      </c>
      <c r="T452" s="2" t="s">
        <v>1028</v>
      </c>
      <c r="U452" s="2">
        <v>95</v>
      </c>
      <c r="V452" s="2" t="s">
        <v>263</v>
      </c>
      <c r="W452" s="2">
        <v>98</v>
      </c>
      <c r="X452" s="2">
        <v>10</v>
      </c>
      <c r="Y452" s="2">
        <v>98</v>
      </c>
      <c r="Z452" s="2" t="s">
        <v>1711</v>
      </c>
      <c r="AA452" s="2">
        <v>98</v>
      </c>
      <c r="AB452" s="2" t="s">
        <v>1712</v>
      </c>
      <c r="AC452" s="2">
        <v>90</v>
      </c>
      <c r="AD452" s="2">
        <v>12</v>
      </c>
      <c r="AE452" s="2">
        <v>95</v>
      </c>
      <c r="AF452" s="2" t="s">
        <v>379</v>
      </c>
      <c r="AG452" s="2">
        <v>95</v>
      </c>
      <c r="AH452" s="2" t="s">
        <v>1713</v>
      </c>
      <c r="AI452" s="2">
        <v>95</v>
      </c>
      <c r="AK452" s="2">
        <v>40</v>
      </c>
    </row>
    <row r="453" spans="1:37" x14ac:dyDescent="0.25">
      <c r="A453" s="2" t="s">
        <v>136</v>
      </c>
      <c r="B453" s="2" t="s">
        <v>256</v>
      </c>
      <c r="C453" s="2" t="s">
        <v>9</v>
      </c>
      <c r="D453" s="3">
        <v>46080.530752314815</v>
      </c>
      <c r="E453" s="2">
        <v>89.54</v>
      </c>
      <c r="F453" s="2">
        <v>39</v>
      </c>
      <c r="G453" s="2">
        <v>1</v>
      </c>
      <c r="I453" s="2" t="s">
        <v>1709</v>
      </c>
      <c r="J453" s="2" t="s">
        <v>258</v>
      </c>
      <c r="K453" s="2">
        <v>2</v>
      </c>
      <c r="L453" s="2">
        <v>2508010179</v>
      </c>
      <c r="M453" s="2">
        <v>99</v>
      </c>
      <c r="N453" s="2" t="s">
        <v>1710</v>
      </c>
      <c r="O453" s="2">
        <v>98</v>
      </c>
      <c r="P453" s="2" t="s">
        <v>667</v>
      </c>
      <c r="Q453" s="2">
        <v>98</v>
      </c>
      <c r="R453" s="2" t="s">
        <v>1027</v>
      </c>
      <c r="S453" s="2">
        <v>95</v>
      </c>
      <c r="T453" s="2" t="s">
        <v>1028</v>
      </c>
      <c r="U453" s="2">
        <v>95</v>
      </c>
      <c r="V453" s="2" t="s">
        <v>263</v>
      </c>
      <c r="W453" s="2">
        <v>98</v>
      </c>
      <c r="X453" s="2">
        <v>20</v>
      </c>
      <c r="Y453" s="2">
        <v>98</v>
      </c>
      <c r="Z453" s="2" t="s">
        <v>1714</v>
      </c>
      <c r="AA453" s="2">
        <v>98</v>
      </c>
      <c r="AB453" s="2" t="s">
        <v>1715</v>
      </c>
      <c r="AC453" s="2">
        <v>93</v>
      </c>
      <c r="AD453" s="2">
        <v>12</v>
      </c>
      <c r="AE453" s="2">
        <v>95</v>
      </c>
      <c r="AF453" s="2" t="s">
        <v>379</v>
      </c>
      <c r="AG453" s="2">
        <v>95</v>
      </c>
      <c r="AH453" s="2" t="s">
        <v>1716</v>
      </c>
      <c r="AI453" s="2">
        <v>95</v>
      </c>
      <c r="AJ453" s="2" t="s">
        <v>381</v>
      </c>
      <c r="AK453" s="2">
        <v>98</v>
      </c>
    </row>
    <row r="454" spans="1:37" x14ac:dyDescent="0.25">
      <c r="A454" s="2" t="s">
        <v>136</v>
      </c>
      <c r="B454" s="2" t="s">
        <v>256</v>
      </c>
      <c r="C454" s="2" t="s">
        <v>9</v>
      </c>
      <c r="D454" s="3">
        <v>46080.530752314815</v>
      </c>
      <c r="E454" s="2">
        <v>89.54</v>
      </c>
      <c r="F454" s="2">
        <v>39</v>
      </c>
      <c r="G454" s="2">
        <v>1</v>
      </c>
      <c r="I454" s="2" t="s">
        <v>1709</v>
      </c>
      <c r="J454" s="2" t="s">
        <v>258</v>
      </c>
      <c r="K454" s="2">
        <v>3</v>
      </c>
      <c r="L454" s="2">
        <v>2508010179</v>
      </c>
      <c r="M454" s="2">
        <v>99</v>
      </c>
      <c r="N454" s="2" t="s">
        <v>1710</v>
      </c>
      <c r="O454" s="2">
        <v>98</v>
      </c>
      <c r="P454" s="2" t="s">
        <v>667</v>
      </c>
      <c r="Q454" s="2">
        <v>98</v>
      </c>
      <c r="R454" s="2" t="s">
        <v>1027</v>
      </c>
      <c r="S454" s="2">
        <v>95</v>
      </c>
      <c r="T454" s="2" t="s">
        <v>1028</v>
      </c>
      <c r="U454" s="2">
        <v>95</v>
      </c>
      <c r="V454" s="2" t="s">
        <v>263</v>
      </c>
      <c r="W454" s="2">
        <v>98</v>
      </c>
      <c r="X454" s="2">
        <v>30</v>
      </c>
      <c r="Y454" s="2">
        <v>98</v>
      </c>
      <c r="Z454" s="2" t="s">
        <v>1717</v>
      </c>
      <c r="AA454" s="2">
        <v>98</v>
      </c>
      <c r="AB454" s="2" t="s">
        <v>1718</v>
      </c>
      <c r="AC454" s="2">
        <v>93</v>
      </c>
      <c r="AD454" s="2">
        <v>6</v>
      </c>
      <c r="AE454" s="2">
        <v>95</v>
      </c>
      <c r="AF454" s="2" t="s">
        <v>379</v>
      </c>
      <c r="AG454" s="2">
        <v>95</v>
      </c>
      <c r="AH454" s="2" t="s">
        <v>1719</v>
      </c>
      <c r="AI454" s="2">
        <v>95</v>
      </c>
      <c r="AJ454" s="2" t="s">
        <v>381</v>
      </c>
      <c r="AK454" s="2">
        <v>98</v>
      </c>
    </row>
    <row r="455" spans="1:37" x14ac:dyDescent="0.25">
      <c r="A455" s="2" t="s">
        <v>151</v>
      </c>
      <c r="B455" s="2" t="s">
        <v>256</v>
      </c>
      <c r="C455" s="2" t="s">
        <v>9</v>
      </c>
      <c r="D455" s="3">
        <v>46080.530752314815</v>
      </c>
      <c r="E455" s="2">
        <v>81.05</v>
      </c>
      <c r="F455" s="2">
        <v>13</v>
      </c>
      <c r="G455" s="2">
        <v>1</v>
      </c>
      <c r="I455" s="2" t="s">
        <v>1720</v>
      </c>
      <c r="J455" s="2" t="s">
        <v>258</v>
      </c>
      <c r="K455" s="2">
        <v>1</v>
      </c>
      <c r="L455" s="2">
        <v>2501201300</v>
      </c>
      <c r="M455" s="2">
        <v>50</v>
      </c>
      <c r="N455" s="2" t="s">
        <v>1721</v>
      </c>
      <c r="O455" s="2">
        <v>95</v>
      </c>
      <c r="P455" s="2" t="s">
        <v>260</v>
      </c>
      <c r="Q455" s="2">
        <v>95</v>
      </c>
      <c r="R455" s="2" t="s">
        <v>668</v>
      </c>
      <c r="S455" s="2">
        <v>90</v>
      </c>
      <c r="T455" s="2" t="s">
        <v>1722</v>
      </c>
      <c r="U455" s="2">
        <v>90</v>
      </c>
      <c r="V455" s="2" t="s">
        <v>263</v>
      </c>
      <c r="W455" s="2">
        <v>95</v>
      </c>
      <c r="Y455" s="2">
        <v>20</v>
      </c>
      <c r="Z455" s="2" t="s">
        <v>1723</v>
      </c>
      <c r="AA455" s="2">
        <v>95</v>
      </c>
      <c r="AB455" s="2" t="s">
        <v>1724</v>
      </c>
      <c r="AC455" s="2">
        <v>90</v>
      </c>
      <c r="AD455" s="2">
        <v>6</v>
      </c>
      <c r="AE455" s="2">
        <v>95</v>
      </c>
      <c r="AF455" s="2" t="s">
        <v>672</v>
      </c>
      <c r="AG455" s="2">
        <v>85</v>
      </c>
      <c r="AH455" s="2" t="s">
        <v>1725</v>
      </c>
      <c r="AI455" s="2">
        <v>90</v>
      </c>
      <c r="AJ455" s="2" t="s">
        <v>381</v>
      </c>
      <c r="AK455" s="2">
        <v>95</v>
      </c>
    </row>
    <row r="456" spans="1:37" x14ac:dyDescent="0.25">
      <c r="A456" s="2" t="s">
        <v>133</v>
      </c>
      <c r="B456" s="2" t="s">
        <v>256</v>
      </c>
      <c r="C456" s="2" t="s">
        <v>9</v>
      </c>
      <c r="D456" s="3">
        <v>46080.530752314815</v>
      </c>
      <c r="E456" s="2">
        <v>75.569999999999993</v>
      </c>
      <c r="F456" s="2">
        <v>143</v>
      </c>
      <c r="G456" s="2">
        <v>0</v>
      </c>
      <c r="I456" s="2" t="s">
        <v>1038</v>
      </c>
      <c r="J456" s="2" t="s">
        <v>258</v>
      </c>
      <c r="K456" s="2">
        <v>1</v>
      </c>
      <c r="L456" s="2">
        <v>3508007476</v>
      </c>
      <c r="M456" s="2">
        <v>50</v>
      </c>
      <c r="N456" s="2" t="s">
        <v>1726</v>
      </c>
      <c r="O456" s="2">
        <v>50</v>
      </c>
      <c r="P456" s="2" t="s">
        <v>1727</v>
      </c>
      <c r="Q456" s="2">
        <v>50</v>
      </c>
      <c r="R456" s="2" t="s">
        <v>1041</v>
      </c>
      <c r="S456" s="2">
        <v>50</v>
      </c>
      <c r="T456" s="2" t="s">
        <v>1042</v>
      </c>
      <c r="U456" s="2">
        <v>50</v>
      </c>
      <c r="V456" s="2" t="s">
        <v>263</v>
      </c>
      <c r="W456" s="2">
        <v>50</v>
      </c>
      <c r="X456" s="2">
        <v>10</v>
      </c>
      <c r="Y456" s="2">
        <v>50</v>
      </c>
      <c r="Z456" s="2" t="s">
        <v>1728</v>
      </c>
      <c r="AA456" s="2">
        <v>85</v>
      </c>
      <c r="AB456" s="2" t="s">
        <v>1729</v>
      </c>
      <c r="AC456" s="2">
        <v>90</v>
      </c>
      <c r="AD456" s="2">
        <v>239</v>
      </c>
      <c r="AE456" s="2">
        <v>85</v>
      </c>
      <c r="AF456" s="2" t="s">
        <v>1387</v>
      </c>
      <c r="AG456" s="2">
        <v>80</v>
      </c>
      <c r="AH456" s="2" t="s">
        <v>1730</v>
      </c>
      <c r="AI456" s="2">
        <v>90</v>
      </c>
      <c r="AJ456" s="2" t="s">
        <v>1047</v>
      </c>
      <c r="AK456" s="2">
        <v>85</v>
      </c>
    </row>
    <row r="457" spans="1:37" x14ac:dyDescent="0.25">
      <c r="A457" s="2" t="s">
        <v>133</v>
      </c>
      <c r="B457" s="2" t="s">
        <v>256</v>
      </c>
      <c r="C457" s="2" t="s">
        <v>9</v>
      </c>
      <c r="D457" s="3">
        <v>46080.530752314815</v>
      </c>
      <c r="E457" s="2">
        <v>75.569999999999993</v>
      </c>
      <c r="F457" s="2">
        <v>143</v>
      </c>
      <c r="G457" s="2">
        <v>0</v>
      </c>
      <c r="I457" s="2" t="s">
        <v>1038</v>
      </c>
      <c r="J457" s="2" t="s">
        <v>258</v>
      </c>
      <c r="K457" s="2">
        <v>2</v>
      </c>
      <c r="L457" s="2">
        <v>3508007476</v>
      </c>
      <c r="M457" s="2">
        <v>50</v>
      </c>
      <c r="N457" s="2" t="s">
        <v>1726</v>
      </c>
      <c r="O457" s="2">
        <v>50</v>
      </c>
      <c r="P457" s="2" t="s">
        <v>1727</v>
      </c>
      <c r="Q457" s="2">
        <v>50</v>
      </c>
      <c r="R457" s="2" t="s">
        <v>1041</v>
      </c>
      <c r="S457" s="2">
        <v>50</v>
      </c>
      <c r="T457" s="2" t="s">
        <v>1042</v>
      </c>
      <c r="U457" s="2">
        <v>50</v>
      </c>
      <c r="V457" s="2" t="s">
        <v>263</v>
      </c>
      <c r="W457" s="2">
        <v>50</v>
      </c>
      <c r="X457" s="2">
        <v>20</v>
      </c>
      <c r="Y457" s="2">
        <v>50</v>
      </c>
      <c r="Z457" s="2" t="s">
        <v>1731</v>
      </c>
      <c r="AA457" s="2">
        <v>85</v>
      </c>
      <c r="AB457" s="2" t="s">
        <v>1732</v>
      </c>
      <c r="AC457" s="2">
        <v>90</v>
      </c>
      <c r="AD457" s="2">
        <v>2</v>
      </c>
      <c r="AE457" s="2">
        <v>85</v>
      </c>
      <c r="AF457" s="2" t="s">
        <v>1380</v>
      </c>
      <c r="AG457" s="2">
        <v>80</v>
      </c>
      <c r="AH457" s="2" t="s">
        <v>1733</v>
      </c>
      <c r="AI457" s="2">
        <v>90</v>
      </c>
      <c r="AJ457" s="2" t="s">
        <v>1047</v>
      </c>
      <c r="AK457" s="2">
        <v>85</v>
      </c>
    </row>
    <row r="458" spans="1:37" x14ac:dyDescent="0.25">
      <c r="A458" s="2" t="s">
        <v>133</v>
      </c>
      <c r="B458" s="2" t="s">
        <v>256</v>
      </c>
      <c r="C458" s="2" t="s">
        <v>9</v>
      </c>
      <c r="D458" s="3">
        <v>46080.530752314815</v>
      </c>
      <c r="E458" s="2">
        <v>75.569999999999993</v>
      </c>
      <c r="F458" s="2">
        <v>143</v>
      </c>
      <c r="G458" s="2">
        <v>0</v>
      </c>
      <c r="I458" s="2" t="s">
        <v>1038</v>
      </c>
      <c r="J458" s="2" t="s">
        <v>258</v>
      </c>
      <c r="K458" s="2">
        <v>3</v>
      </c>
      <c r="L458" s="2">
        <v>3508007476</v>
      </c>
      <c r="M458" s="2">
        <v>50</v>
      </c>
      <c r="N458" s="2" t="s">
        <v>1726</v>
      </c>
      <c r="O458" s="2">
        <v>50</v>
      </c>
      <c r="P458" s="2" t="s">
        <v>1727</v>
      </c>
      <c r="Q458" s="2">
        <v>50</v>
      </c>
      <c r="R458" s="2" t="s">
        <v>1041</v>
      </c>
      <c r="S458" s="2">
        <v>50</v>
      </c>
      <c r="T458" s="2" t="s">
        <v>1042</v>
      </c>
      <c r="U458" s="2">
        <v>50</v>
      </c>
      <c r="V458" s="2" t="s">
        <v>263</v>
      </c>
      <c r="W458" s="2">
        <v>50</v>
      </c>
      <c r="X458" s="2">
        <v>30</v>
      </c>
      <c r="Y458" s="2">
        <v>50</v>
      </c>
      <c r="Z458" s="2" t="s">
        <v>1734</v>
      </c>
      <c r="AA458" s="2">
        <v>85</v>
      </c>
      <c r="AB458" s="2" t="s">
        <v>1729</v>
      </c>
      <c r="AC458" s="2">
        <v>90</v>
      </c>
      <c r="AD458" s="2">
        <v>2</v>
      </c>
      <c r="AE458" s="2">
        <v>85</v>
      </c>
      <c r="AF458" s="2" t="s">
        <v>1380</v>
      </c>
      <c r="AG458" s="2">
        <v>80</v>
      </c>
      <c r="AH458" s="2" t="s">
        <v>1735</v>
      </c>
      <c r="AI458" s="2">
        <v>90</v>
      </c>
      <c r="AJ458" s="2" t="s">
        <v>1047</v>
      </c>
      <c r="AK458" s="2">
        <v>85</v>
      </c>
    </row>
    <row r="459" spans="1:37" x14ac:dyDescent="0.25">
      <c r="A459" s="2" t="s">
        <v>133</v>
      </c>
      <c r="B459" s="2" t="s">
        <v>256</v>
      </c>
      <c r="C459" s="2" t="s">
        <v>9</v>
      </c>
      <c r="D459" s="3">
        <v>46080.530752314815</v>
      </c>
      <c r="E459" s="2">
        <v>75.569999999999993</v>
      </c>
      <c r="F459" s="2">
        <v>143</v>
      </c>
      <c r="G459" s="2">
        <v>0</v>
      </c>
      <c r="I459" s="2" t="s">
        <v>1038</v>
      </c>
      <c r="J459" s="2" t="s">
        <v>258</v>
      </c>
      <c r="K459" s="2">
        <v>4</v>
      </c>
      <c r="L459" s="2">
        <v>3508007476</v>
      </c>
      <c r="M459" s="2">
        <v>50</v>
      </c>
      <c r="N459" s="2" t="s">
        <v>1726</v>
      </c>
      <c r="O459" s="2">
        <v>50</v>
      </c>
      <c r="P459" s="2" t="s">
        <v>1727</v>
      </c>
      <c r="Q459" s="2">
        <v>50</v>
      </c>
      <c r="R459" s="2" t="s">
        <v>1041</v>
      </c>
      <c r="S459" s="2">
        <v>50</v>
      </c>
      <c r="T459" s="2" t="s">
        <v>1042</v>
      </c>
      <c r="U459" s="2">
        <v>50</v>
      </c>
      <c r="V459" s="2" t="s">
        <v>263</v>
      </c>
      <c r="W459" s="2">
        <v>50</v>
      </c>
      <c r="X459" s="2">
        <v>40</v>
      </c>
      <c r="Y459" s="2">
        <v>50</v>
      </c>
      <c r="Z459" s="2" t="s">
        <v>1736</v>
      </c>
      <c r="AA459" s="2">
        <v>85</v>
      </c>
      <c r="AB459" s="2" t="s">
        <v>1732</v>
      </c>
      <c r="AC459" s="2">
        <v>90</v>
      </c>
      <c r="AD459" s="2">
        <v>4</v>
      </c>
      <c r="AE459" s="2">
        <v>85</v>
      </c>
      <c r="AF459" s="2" t="s">
        <v>1380</v>
      </c>
      <c r="AG459" s="2">
        <v>80</v>
      </c>
      <c r="AH459" s="2" t="s">
        <v>1737</v>
      </c>
      <c r="AI459" s="2">
        <v>90</v>
      </c>
      <c r="AJ459" s="2" t="s">
        <v>1047</v>
      </c>
      <c r="AK459" s="2">
        <v>85</v>
      </c>
    </row>
    <row r="460" spans="1:37" x14ac:dyDescent="0.25">
      <c r="A460" s="2" t="s">
        <v>133</v>
      </c>
      <c r="B460" s="2" t="s">
        <v>256</v>
      </c>
      <c r="C460" s="2" t="s">
        <v>9</v>
      </c>
      <c r="D460" s="3">
        <v>46080.530752314815</v>
      </c>
      <c r="E460" s="2">
        <v>75.569999999999993</v>
      </c>
      <c r="F460" s="2">
        <v>143</v>
      </c>
      <c r="G460" s="2">
        <v>0</v>
      </c>
      <c r="I460" s="2" t="s">
        <v>1038</v>
      </c>
      <c r="J460" s="2" t="s">
        <v>258</v>
      </c>
      <c r="K460" s="2">
        <v>5</v>
      </c>
      <c r="L460" s="2">
        <v>3508007476</v>
      </c>
      <c r="M460" s="2">
        <v>50</v>
      </c>
      <c r="N460" s="2" t="s">
        <v>1726</v>
      </c>
      <c r="O460" s="2">
        <v>50</v>
      </c>
      <c r="P460" s="2" t="s">
        <v>1727</v>
      </c>
      <c r="Q460" s="2">
        <v>50</v>
      </c>
      <c r="R460" s="2" t="s">
        <v>1041</v>
      </c>
      <c r="S460" s="2">
        <v>50</v>
      </c>
      <c r="T460" s="2" t="s">
        <v>1042</v>
      </c>
      <c r="U460" s="2">
        <v>50</v>
      </c>
      <c r="V460" s="2" t="s">
        <v>263</v>
      </c>
      <c r="W460" s="2">
        <v>50</v>
      </c>
      <c r="X460" s="2">
        <v>50</v>
      </c>
      <c r="Y460" s="2">
        <v>50</v>
      </c>
      <c r="Z460" s="2" t="s">
        <v>1738</v>
      </c>
      <c r="AA460" s="2">
        <v>85</v>
      </c>
      <c r="AB460" s="2" t="s">
        <v>1739</v>
      </c>
      <c r="AC460" s="2">
        <v>90</v>
      </c>
      <c r="AD460" s="2">
        <v>35</v>
      </c>
      <c r="AE460" s="2">
        <v>85</v>
      </c>
      <c r="AF460" s="2" t="s">
        <v>1380</v>
      </c>
      <c r="AG460" s="2">
        <v>80</v>
      </c>
      <c r="AH460" s="2" t="s">
        <v>1740</v>
      </c>
      <c r="AI460" s="2">
        <v>90</v>
      </c>
      <c r="AJ460" s="2" t="s">
        <v>1047</v>
      </c>
      <c r="AK460" s="2">
        <v>85</v>
      </c>
    </row>
    <row r="461" spans="1:37" x14ac:dyDescent="0.25">
      <c r="A461" s="2" t="s">
        <v>133</v>
      </c>
      <c r="B461" s="2" t="s">
        <v>256</v>
      </c>
      <c r="C461" s="2" t="s">
        <v>9</v>
      </c>
      <c r="D461" s="3">
        <v>46080.530752314815</v>
      </c>
      <c r="E461" s="2">
        <v>75.569999999999993</v>
      </c>
      <c r="F461" s="2">
        <v>143</v>
      </c>
      <c r="G461" s="2">
        <v>0</v>
      </c>
      <c r="I461" s="2" t="s">
        <v>1038</v>
      </c>
      <c r="J461" s="2" t="s">
        <v>258</v>
      </c>
      <c r="K461" s="2">
        <v>6</v>
      </c>
      <c r="L461" s="2">
        <v>3508007476</v>
      </c>
      <c r="M461" s="2">
        <v>50</v>
      </c>
      <c r="N461" s="2" t="s">
        <v>1726</v>
      </c>
      <c r="O461" s="2">
        <v>50</v>
      </c>
      <c r="P461" s="2" t="s">
        <v>1727</v>
      </c>
      <c r="Q461" s="2">
        <v>50</v>
      </c>
      <c r="R461" s="2" t="s">
        <v>1041</v>
      </c>
      <c r="S461" s="2">
        <v>50</v>
      </c>
      <c r="T461" s="2" t="s">
        <v>1042</v>
      </c>
      <c r="U461" s="2">
        <v>50</v>
      </c>
      <c r="V461" s="2" t="s">
        <v>263</v>
      </c>
      <c r="W461" s="2">
        <v>50</v>
      </c>
      <c r="X461" s="2">
        <v>60</v>
      </c>
      <c r="Y461" s="2">
        <v>50</v>
      </c>
      <c r="Z461" s="2" t="s">
        <v>1469</v>
      </c>
      <c r="AA461" s="2">
        <v>85</v>
      </c>
      <c r="AB461" s="2" t="s">
        <v>1741</v>
      </c>
      <c r="AC461" s="2">
        <v>90</v>
      </c>
      <c r="AD461" s="2">
        <v>2</v>
      </c>
      <c r="AE461" s="2">
        <v>85</v>
      </c>
      <c r="AF461" s="2" t="s">
        <v>1380</v>
      </c>
      <c r="AG461" s="2">
        <v>80</v>
      </c>
      <c r="AH461" s="2" t="s">
        <v>1742</v>
      </c>
      <c r="AI461" s="2">
        <v>90</v>
      </c>
      <c r="AJ461" s="2" t="s">
        <v>1047</v>
      </c>
      <c r="AK461" s="2">
        <v>85</v>
      </c>
    </row>
    <row r="462" spans="1:37" x14ac:dyDescent="0.25">
      <c r="A462" s="2" t="s">
        <v>133</v>
      </c>
      <c r="B462" s="2" t="s">
        <v>256</v>
      </c>
      <c r="C462" s="2" t="s">
        <v>9</v>
      </c>
      <c r="D462" s="3">
        <v>46080.530752314815</v>
      </c>
      <c r="E462" s="2">
        <v>75.569999999999993</v>
      </c>
      <c r="F462" s="2">
        <v>143</v>
      </c>
      <c r="G462" s="2">
        <v>0</v>
      </c>
      <c r="I462" s="2" t="s">
        <v>1038</v>
      </c>
      <c r="J462" s="2" t="s">
        <v>258</v>
      </c>
      <c r="K462" s="2">
        <v>7</v>
      </c>
      <c r="L462" s="2">
        <v>3508007476</v>
      </c>
      <c r="M462" s="2">
        <v>50</v>
      </c>
      <c r="N462" s="2" t="s">
        <v>1726</v>
      </c>
      <c r="O462" s="2">
        <v>50</v>
      </c>
      <c r="P462" s="2" t="s">
        <v>1727</v>
      </c>
      <c r="Q462" s="2">
        <v>50</v>
      </c>
      <c r="R462" s="2" t="s">
        <v>1041</v>
      </c>
      <c r="S462" s="2">
        <v>50</v>
      </c>
      <c r="T462" s="2" t="s">
        <v>1042</v>
      </c>
      <c r="U462" s="2">
        <v>50</v>
      </c>
      <c r="V462" s="2" t="s">
        <v>263</v>
      </c>
      <c r="W462" s="2">
        <v>50</v>
      </c>
      <c r="X462" s="2">
        <v>70</v>
      </c>
      <c r="Y462" s="2">
        <v>50</v>
      </c>
      <c r="Z462" s="2" t="s">
        <v>1743</v>
      </c>
      <c r="AA462" s="2">
        <v>75</v>
      </c>
      <c r="AB462" s="2" t="s">
        <v>1744</v>
      </c>
      <c r="AC462" s="2">
        <v>88</v>
      </c>
      <c r="AD462" s="2">
        <v>9</v>
      </c>
      <c r="AE462" s="2">
        <v>80</v>
      </c>
      <c r="AF462" s="2" t="s">
        <v>1380</v>
      </c>
      <c r="AG462" s="2">
        <v>75</v>
      </c>
      <c r="AH462" s="2" t="s">
        <v>1745</v>
      </c>
      <c r="AI462" s="2">
        <v>88</v>
      </c>
      <c r="AJ462" s="2" t="s">
        <v>1047</v>
      </c>
      <c r="AK462" s="2">
        <v>80</v>
      </c>
    </row>
    <row r="463" spans="1:37" x14ac:dyDescent="0.25">
      <c r="A463" s="2" t="s">
        <v>133</v>
      </c>
      <c r="B463" s="2" t="s">
        <v>256</v>
      </c>
      <c r="C463" s="2" t="s">
        <v>9</v>
      </c>
      <c r="D463" s="3">
        <v>46080.530752314815</v>
      </c>
      <c r="E463" s="2">
        <v>75.569999999999993</v>
      </c>
      <c r="F463" s="2">
        <v>143</v>
      </c>
      <c r="G463" s="2">
        <v>0</v>
      </c>
      <c r="I463" s="2" t="s">
        <v>1038</v>
      </c>
      <c r="J463" s="2" t="s">
        <v>258</v>
      </c>
      <c r="K463" s="2">
        <v>8</v>
      </c>
      <c r="L463" s="2">
        <v>3508007476</v>
      </c>
      <c r="M463" s="2">
        <v>50</v>
      </c>
      <c r="N463" s="2" t="s">
        <v>1726</v>
      </c>
      <c r="O463" s="2">
        <v>50</v>
      </c>
      <c r="P463" s="2" t="s">
        <v>1727</v>
      </c>
      <c r="Q463" s="2">
        <v>50</v>
      </c>
      <c r="R463" s="2" t="s">
        <v>1041</v>
      </c>
      <c r="S463" s="2">
        <v>50</v>
      </c>
      <c r="T463" s="2" t="s">
        <v>1042</v>
      </c>
      <c r="U463" s="2">
        <v>50</v>
      </c>
      <c r="V463" s="2" t="s">
        <v>263</v>
      </c>
      <c r="W463" s="2">
        <v>50</v>
      </c>
      <c r="X463" s="2">
        <v>80</v>
      </c>
      <c r="Y463" s="2">
        <v>50</v>
      </c>
      <c r="Z463" s="2" t="s">
        <v>1422</v>
      </c>
      <c r="AA463" s="2">
        <v>85</v>
      </c>
      <c r="AB463" s="2" t="s">
        <v>1746</v>
      </c>
      <c r="AC463" s="2">
        <v>90</v>
      </c>
      <c r="AD463" s="2">
        <v>1</v>
      </c>
      <c r="AE463" s="2">
        <v>88</v>
      </c>
      <c r="AF463" s="2" t="s">
        <v>1380</v>
      </c>
      <c r="AG463" s="2">
        <v>80</v>
      </c>
      <c r="AH463" s="2" t="s">
        <v>1747</v>
      </c>
      <c r="AI463" s="2">
        <v>90</v>
      </c>
      <c r="AJ463" s="2" t="s">
        <v>1047</v>
      </c>
      <c r="AK463" s="2">
        <v>85</v>
      </c>
    </row>
    <row r="464" spans="1:37" x14ac:dyDescent="0.25">
      <c r="A464" s="2" t="s">
        <v>133</v>
      </c>
      <c r="B464" s="2" t="s">
        <v>256</v>
      </c>
      <c r="C464" s="2" t="s">
        <v>9</v>
      </c>
      <c r="D464" s="3">
        <v>46080.530752314815</v>
      </c>
      <c r="E464" s="2">
        <v>75.569999999999993</v>
      </c>
      <c r="F464" s="2">
        <v>143</v>
      </c>
      <c r="G464" s="2">
        <v>0</v>
      </c>
      <c r="I464" s="2" t="s">
        <v>1038</v>
      </c>
      <c r="J464" s="2" t="s">
        <v>258</v>
      </c>
      <c r="K464" s="2">
        <v>9</v>
      </c>
      <c r="L464" s="2">
        <v>3508007476</v>
      </c>
      <c r="M464" s="2">
        <v>50</v>
      </c>
      <c r="N464" s="2" t="s">
        <v>1726</v>
      </c>
      <c r="O464" s="2">
        <v>50</v>
      </c>
      <c r="P464" s="2" t="s">
        <v>1727</v>
      </c>
      <c r="Q464" s="2">
        <v>50</v>
      </c>
      <c r="R464" s="2" t="s">
        <v>1041</v>
      </c>
      <c r="S464" s="2">
        <v>50</v>
      </c>
      <c r="T464" s="2" t="s">
        <v>1042</v>
      </c>
      <c r="U464" s="2">
        <v>50</v>
      </c>
      <c r="V464" s="2" t="s">
        <v>263</v>
      </c>
      <c r="W464" s="2">
        <v>50</v>
      </c>
      <c r="X464" s="2">
        <v>90</v>
      </c>
      <c r="Y464" s="2">
        <v>50</v>
      </c>
      <c r="Z464" s="2" t="s">
        <v>1748</v>
      </c>
      <c r="AA464" s="2">
        <v>85</v>
      </c>
      <c r="AB464" s="2" t="s">
        <v>1749</v>
      </c>
      <c r="AC464" s="2">
        <v>90</v>
      </c>
      <c r="AD464" s="2">
        <v>280</v>
      </c>
      <c r="AE464" s="2">
        <v>85</v>
      </c>
      <c r="AF464" s="2" t="s">
        <v>1387</v>
      </c>
      <c r="AG464" s="2">
        <v>80</v>
      </c>
      <c r="AH464" s="2" t="s">
        <v>1730</v>
      </c>
      <c r="AI464" s="2">
        <v>90</v>
      </c>
      <c r="AJ464" s="2" t="s">
        <v>1047</v>
      </c>
      <c r="AK464" s="2">
        <v>85</v>
      </c>
    </row>
    <row r="465" spans="1:37" x14ac:dyDescent="0.25">
      <c r="A465" s="2" t="s">
        <v>133</v>
      </c>
      <c r="B465" s="2" t="s">
        <v>256</v>
      </c>
      <c r="C465" s="2" t="s">
        <v>9</v>
      </c>
      <c r="D465" s="3">
        <v>46080.530752314815</v>
      </c>
      <c r="E465" s="2">
        <v>75.569999999999993</v>
      </c>
      <c r="F465" s="2">
        <v>143</v>
      </c>
      <c r="G465" s="2">
        <v>0</v>
      </c>
      <c r="I465" s="2" t="s">
        <v>1038</v>
      </c>
      <c r="J465" s="2" t="s">
        <v>258</v>
      </c>
      <c r="K465" s="2">
        <v>10</v>
      </c>
      <c r="L465" s="2">
        <v>3508007476</v>
      </c>
      <c r="M465" s="2">
        <v>50</v>
      </c>
      <c r="N465" s="2" t="s">
        <v>1726</v>
      </c>
      <c r="O465" s="2">
        <v>50</v>
      </c>
      <c r="P465" s="2" t="s">
        <v>1727</v>
      </c>
      <c r="Q465" s="2">
        <v>50</v>
      </c>
      <c r="R465" s="2" t="s">
        <v>1041</v>
      </c>
      <c r="S465" s="2">
        <v>50</v>
      </c>
      <c r="T465" s="2" t="s">
        <v>1042</v>
      </c>
      <c r="U465" s="2">
        <v>50</v>
      </c>
      <c r="V465" s="2" t="s">
        <v>263</v>
      </c>
      <c r="W465" s="2">
        <v>50</v>
      </c>
      <c r="X465" s="2">
        <v>100</v>
      </c>
      <c r="Y465" s="2">
        <v>50</v>
      </c>
      <c r="Z465" s="2" t="s">
        <v>1534</v>
      </c>
      <c r="AA465" s="2">
        <v>85</v>
      </c>
      <c r="AB465" s="2" t="s">
        <v>1750</v>
      </c>
      <c r="AC465" s="2">
        <v>90</v>
      </c>
      <c r="AD465" s="2">
        <v>4</v>
      </c>
      <c r="AE465" s="2">
        <v>85</v>
      </c>
      <c r="AF465" s="2" t="s">
        <v>1380</v>
      </c>
      <c r="AG465" s="2">
        <v>80</v>
      </c>
      <c r="AH465" s="2" t="s">
        <v>1751</v>
      </c>
      <c r="AI465" s="2">
        <v>90</v>
      </c>
      <c r="AJ465" s="2" t="s">
        <v>1047</v>
      </c>
      <c r="AK465" s="2">
        <v>85</v>
      </c>
    </row>
    <row r="466" spans="1:37" x14ac:dyDescent="0.25">
      <c r="A466" s="2" t="s">
        <v>133</v>
      </c>
      <c r="B466" s="2" t="s">
        <v>256</v>
      </c>
      <c r="C466" s="2" t="s">
        <v>9</v>
      </c>
      <c r="D466" s="3">
        <v>46080.530752314815</v>
      </c>
      <c r="E466" s="2">
        <v>75.569999999999993</v>
      </c>
      <c r="F466" s="2">
        <v>143</v>
      </c>
      <c r="G466" s="2">
        <v>0</v>
      </c>
      <c r="I466" s="2" t="s">
        <v>1038</v>
      </c>
      <c r="J466" s="2" t="s">
        <v>258</v>
      </c>
      <c r="K466" s="2">
        <v>11</v>
      </c>
      <c r="L466" s="2">
        <v>3508007476</v>
      </c>
      <c r="M466" s="2">
        <v>50</v>
      </c>
      <c r="N466" s="2" t="s">
        <v>1726</v>
      </c>
      <c r="O466" s="2">
        <v>50</v>
      </c>
      <c r="P466" s="2" t="s">
        <v>1727</v>
      </c>
      <c r="Q466" s="2">
        <v>50</v>
      </c>
      <c r="R466" s="2" t="s">
        <v>1041</v>
      </c>
      <c r="S466" s="2">
        <v>50</v>
      </c>
      <c r="T466" s="2" t="s">
        <v>1042</v>
      </c>
      <c r="U466" s="2">
        <v>50</v>
      </c>
      <c r="V466" s="2" t="s">
        <v>263</v>
      </c>
      <c r="W466" s="2">
        <v>50</v>
      </c>
      <c r="X466" s="2">
        <v>110</v>
      </c>
      <c r="Y466" s="2">
        <v>50</v>
      </c>
      <c r="Z466" s="2" t="s">
        <v>1752</v>
      </c>
      <c r="AA466" s="2">
        <v>85</v>
      </c>
      <c r="AB466" s="2" t="s">
        <v>1753</v>
      </c>
      <c r="AC466" s="2">
        <v>90</v>
      </c>
      <c r="AD466" s="2">
        <v>56</v>
      </c>
      <c r="AE466" s="2">
        <v>85</v>
      </c>
      <c r="AF466" s="2" t="s">
        <v>1380</v>
      </c>
      <c r="AG466" s="2">
        <v>80</v>
      </c>
      <c r="AH466" s="2" t="s">
        <v>1754</v>
      </c>
      <c r="AI466" s="2">
        <v>90</v>
      </c>
      <c r="AJ466" s="2" t="s">
        <v>667</v>
      </c>
      <c r="AK466" s="2">
        <v>85</v>
      </c>
    </row>
    <row r="467" spans="1:37" x14ac:dyDescent="0.25">
      <c r="A467" s="2" t="s">
        <v>123</v>
      </c>
      <c r="B467" s="2" t="s">
        <v>256</v>
      </c>
      <c r="C467" s="2" t="s">
        <v>9</v>
      </c>
      <c r="D467" s="3">
        <v>46080.530752314815</v>
      </c>
      <c r="E467" s="2">
        <v>75.569999999999993</v>
      </c>
      <c r="F467" s="2">
        <v>13</v>
      </c>
      <c r="G467" s="2">
        <v>4</v>
      </c>
      <c r="I467" s="2" t="s">
        <v>1755</v>
      </c>
      <c r="J467" s="2" t="s">
        <v>258</v>
      </c>
      <c r="K467" s="2">
        <v>1</v>
      </c>
      <c r="L467" s="2">
        <v>2507017017</v>
      </c>
      <c r="M467" s="2">
        <v>98</v>
      </c>
      <c r="O467" s="2">
        <v>10</v>
      </c>
      <c r="P467" s="2" t="s">
        <v>260</v>
      </c>
      <c r="Q467" s="2">
        <v>95</v>
      </c>
      <c r="R467" s="2" t="s">
        <v>927</v>
      </c>
      <c r="S467" s="2">
        <v>90</v>
      </c>
      <c r="T467" s="2" t="s">
        <v>928</v>
      </c>
      <c r="U467" s="2">
        <v>90</v>
      </c>
      <c r="W467" s="2">
        <v>10</v>
      </c>
      <c r="X467" s="2">
        <v>1</v>
      </c>
      <c r="Y467" s="2">
        <v>70</v>
      </c>
      <c r="Z467" s="2" t="s">
        <v>1706</v>
      </c>
      <c r="AA467" s="2">
        <v>95</v>
      </c>
      <c r="AB467" s="2" t="s">
        <v>1756</v>
      </c>
      <c r="AC467" s="2">
        <v>90</v>
      </c>
      <c r="AD467" s="2">
        <v>8</v>
      </c>
      <c r="AE467" s="2">
        <v>95</v>
      </c>
      <c r="AG467" s="2">
        <v>30</v>
      </c>
      <c r="AI467" s="2">
        <v>10</v>
      </c>
      <c r="AJ467" s="2" t="s">
        <v>350</v>
      </c>
      <c r="AK467" s="2">
        <v>95</v>
      </c>
    </row>
    <row r="468" spans="1:37" x14ac:dyDescent="0.25">
      <c r="A468" s="2" t="s">
        <v>168</v>
      </c>
      <c r="B468" s="2" t="s">
        <v>256</v>
      </c>
      <c r="C468" s="2" t="s">
        <v>11</v>
      </c>
      <c r="D468" s="3">
        <v>46080.530752314815</v>
      </c>
      <c r="E468" s="2">
        <v>60</v>
      </c>
      <c r="F468" s="2">
        <v>0</v>
      </c>
      <c r="G468" s="2">
        <v>0</v>
      </c>
      <c r="I468" s="2" t="s">
        <v>1757</v>
      </c>
    </row>
    <row r="469" spans="1:37" x14ac:dyDescent="0.25">
      <c r="A469" s="2" t="s">
        <v>117</v>
      </c>
      <c r="B469" s="2" t="s">
        <v>256</v>
      </c>
      <c r="C469" s="2" t="s">
        <v>11</v>
      </c>
      <c r="D469" s="3">
        <v>46080.530752314815</v>
      </c>
      <c r="E469" s="2">
        <v>65</v>
      </c>
      <c r="F469" s="2">
        <v>0</v>
      </c>
      <c r="G469" s="2">
        <v>0</v>
      </c>
      <c r="I469" s="2" t="s">
        <v>1758</v>
      </c>
    </row>
    <row r="470" spans="1:37" x14ac:dyDescent="0.25">
      <c r="A470" s="2" t="s">
        <v>136</v>
      </c>
      <c r="B470" s="2" t="s">
        <v>256</v>
      </c>
      <c r="C470" s="2" t="s">
        <v>9</v>
      </c>
      <c r="D470" s="3">
        <v>46080.530752314815</v>
      </c>
      <c r="E470" s="2">
        <v>87.95</v>
      </c>
      <c r="F470" s="2">
        <v>39</v>
      </c>
      <c r="G470" s="2">
        <v>4</v>
      </c>
      <c r="I470" s="2" t="s">
        <v>1709</v>
      </c>
      <c r="J470" s="2" t="s">
        <v>258</v>
      </c>
      <c r="K470" s="2">
        <v>1</v>
      </c>
      <c r="L470" s="2">
        <v>2508010179</v>
      </c>
      <c r="M470" s="2">
        <v>98</v>
      </c>
      <c r="N470" s="2" t="s">
        <v>1710</v>
      </c>
      <c r="O470" s="2">
        <v>96</v>
      </c>
      <c r="P470" s="2" t="s">
        <v>667</v>
      </c>
      <c r="Q470" s="2">
        <v>95</v>
      </c>
      <c r="R470" s="2" t="s">
        <v>1759</v>
      </c>
      <c r="S470" s="2">
        <v>93</v>
      </c>
      <c r="T470" s="2" t="s">
        <v>1028</v>
      </c>
      <c r="U470" s="2">
        <v>94</v>
      </c>
      <c r="V470" s="2" t="s">
        <v>263</v>
      </c>
      <c r="W470" s="2">
        <v>90</v>
      </c>
      <c r="X470" s="2">
        <v>10</v>
      </c>
      <c r="Y470" s="2">
        <v>97</v>
      </c>
      <c r="Z470" s="2" t="s">
        <v>1711</v>
      </c>
      <c r="AA470" s="2">
        <v>96</v>
      </c>
      <c r="AB470" s="2" t="s">
        <v>1760</v>
      </c>
      <c r="AC470" s="2">
        <v>90</v>
      </c>
      <c r="AD470" s="2">
        <v>12</v>
      </c>
      <c r="AE470" s="2">
        <v>95</v>
      </c>
      <c r="AF470" s="2" t="s">
        <v>379</v>
      </c>
      <c r="AG470" s="2">
        <v>94</v>
      </c>
      <c r="AI470" s="2">
        <v>30</v>
      </c>
      <c r="AK470" s="2">
        <v>40</v>
      </c>
    </row>
    <row r="471" spans="1:37" x14ac:dyDescent="0.25">
      <c r="A471" s="2" t="s">
        <v>136</v>
      </c>
      <c r="B471" s="2" t="s">
        <v>256</v>
      </c>
      <c r="C471" s="2" t="s">
        <v>9</v>
      </c>
      <c r="D471" s="3">
        <v>46080.530752314815</v>
      </c>
      <c r="E471" s="2">
        <v>87.95</v>
      </c>
      <c r="F471" s="2">
        <v>39</v>
      </c>
      <c r="G471" s="2">
        <v>4</v>
      </c>
      <c r="I471" s="2" t="s">
        <v>1709</v>
      </c>
      <c r="J471" s="2" t="s">
        <v>258</v>
      </c>
      <c r="K471" s="2">
        <v>2</v>
      </c>
      <c r="L471" s="2">
        <v>2508010179</v>
      </c>
      <c r="M471" s="2">
        <v>98</v>
      </c>
      <c r="N471" s="2" t="s">
        <v>1710</v>
      </c>
      <c r="O471" s="2">
        <v>96</v>
      </c>
      <c r="P471" s="2" t="s">
        <v>667</v>
      </c>
      <c r="Q471" s="2">
        <v>95</v>
      </c>
      <c r="R471" s="2" t="s">
        <v>1759</v>
      </c>
      <c r="S471" s="2">
        <v>93</v>
      </c>
      <c r="T471" s="2" t="s">
        <v>1028</v>
      </c>
      <c r="U471" s="2">
        <v>94</v>
      </c>
      <c r="V471" s="2" t="s">
        <v>263</v>
      </c>
      <c r="W471" s="2">
        <v>90</v>
      </c>
      <c r="X471" s="2">
        <v>20</v>
      </c>
      <c r="Y471" s="2">
        <v>97</v>
      </c>
      <c r="Z471" s="2" t="s">
        <v>1714</v>
      </c>
      <c r="AA471" s="2">
        <v>96</v>
      </c>
      <c r="AB471" s="2" t="s">
        <v>1715</v>
      </c>
      <c r="AC471" s="2">
        <v>90</v>
      </c>
      <c r="AD471" s="2">
        <v>12</v>
      </c>
      <c r="AE471" s="2">
        <v>95</v>
      </c>
      <c r="AF471" s="2" t="s">
        <v>379</v>
      </c>
      <c r="AG471" s="2">
        <v>94</v>
      </c>
      <c r="AI471" s="2">
        <v>30</v>
      </c>
      <c r="AJ471" s="2" t="s">
        <v>381</v>
      </c>
      <c r="AK471" s="2">
        <v>95</v>
      </c>
    </row>
    <row r="472" spans="1:37" x14ac:dyDescent="0.25">
      <c r="A472" s="2" t="s">
        <v>136</v>
      </c>
      <c r="B472" s="2" t="s">
        <v>256</v>
      </c>
      <c r="C472" s="2" t="s">
        <v>9</v>
      </c>
      <c r="D472" s="3">
        <v>46080.530752314815</v>
      </c>
      <c r="E472" s="2">
        <v>87.95</v>
      </c>
      <c r="F472" s="2">
        <v>39</v>
      </c>
      <c r="G472" s="2">
        <v>4</v>
      </c>
      <c r="I472" s="2" t="s">
        <v>1709</v>
      </c>
      <c r="J472" s="2" t="s">
        <v>258</v>
      </c>
      <c r="K472" s="2">
        <v>3</v>
      </c>
      <c r="L472" s="2">
        <v>2508010179</v>
      </c>
      <c r="M472" s="2">
        <v>98</v>
      </c>
      <c r="N472" s="2" t="s">
        <v>1710</v>
      </c>
      <c r="O472" s="2">
        <v>96</v>
      </c>
      <c r="P472" s="2" t="s">
        <v>667</v>
      </c>
      <c r="Q472" s="2">
        <v>95</v>
      </c>
      <c r="R472" s="2" t="s">
        <v>1759</v>
      </c>
      <c r="S472" s="2">
        <v>93</v>
      </c>
      <c r="T472" s="2" t="s">
        <v>1028</v>
      </c>
      <c r="U472" s="2">
        <v>94</v>
      </c>
      <c r="V472" s="2" t="s">
        <v>263</v>
      </c>
      <c r="W472" s="2">
        <v>90</v>
      </c>
      <c r="X472" s="2">
        <v>30</v>
      </c>
      <c r="Y472" s="2">
        <v>97</v>
      </c>
      <c r="Z472" s="2" t="s">
        <v>1717</v>
      </c>
      <c r="AA472" s="2">
        <v>96</v>
      </c>
      <c r="AB472" s="2" t="s">
        <v>1718</v>
      </c>
      <c r="AC472" s="2">
        <v>90</v>
      </c>
      <c r="AD472" s="2">
        <v>6</v>
      </c>
      <c r="AE472" s="2">
        <v>95</v>
      </c>
      <c r="AF472" s="2" t="s">
        <v>379</v>
      </c>
      <c r="AG472" s="2">
        <v>94</v>
      </c>
      <c r="AI472" s="2">
        <v>30</v>
      </c>
      <c r="AJ472" s="2" t="s">
        <v>381</v>
      </c>
      <c r="AK472" s="2">
        <v>95</v>
      </c>
    </row>
    <row r="473" spans="1:37" x14ac:dyDescent="0.25">
      <c r="A473" s="2" t="s">
        <v>139</v>
      </c>
      <c r="B473" s="2" t="s">
        <v>256</v>
      </c>
      <c r="C473" s="2" t="s">
        <v>9</v>
      </c>
      <c r="D473" s="3">
        <v>46080.530752314815</v>
      </c>
      <c r="E473" s="2">
        <v>90.92</v>
      </c>
      <c r="F473" s="2">
        <v>26</v>
      </c>
      <c r="G473" s="2">
        <v>0</v>
      </c>
      <c r="I473" s="2" t="s">
        <v>1761</v>
      </c>
      <c r="J473" s="2" t="s">
        <v>258</v>
      </c>
      <c r="K473" s="2">
        <v>1</v>
      </c>
      <c r="L473" s="2">
        <v>1505040022</v>
      </c>
      <c r="M473" s="2">
        <v>98</v>
      </c>
      <c r="N473" s="2" t="s">
        <v>1762</v>
      </c>
      <c r="O473" s="2">
        <v>97</v>
      </c>
      <c r="P473" s="2" t="s">
        <v>260</v>
      </c>
      <c r="Q473" s="2">
        <v>96</v>
      </c>
      <c r="R473" s="2" t="s">
        <v>1066</v>
      </c>
      <c r="S473" s="2">
        <v>95</v>
      </c>
      <c r="T473" s="2" t="s">
        <v>934</v>
      </c>
      <c r="U473" s="2">
        <v>93</v>
      </c>
      <c r="V473" s="2" t="s">
        <v>263</v>
      </c>
      <c r="W473" s="2">
        <v>95</v>
      </c>
      <c r="X473" s="2">
        <v>1</v>
      </c>
      <c r="Y473" s="2">
        <v>85</v>
      </c>
      <c r="Z473" s="2" t="s">
        <v>1763</v>
      </c>
      <c r="AA473" s="2">
        <v>96</v>
      </c>
      <c r="AB473" s="2" t="s">
        <v>1764</v>
      </c>
      <c r="AC473" s="2">
        <v>95</v>
      </c>
      <c r="AD473" s="2">
        <v>48</v>
      </c>
      <c r="AE473" s="2">
        <v>94</v>
      </c>
      <c r="AF473" s="2" t="s">
        <v>379</v>
      </c>
      <c r="AG473" s="2">
        <v>92</v>
      </c>
      <c r="AH473" s="2" t="s">
        <v>1765</v>
      </c>
      <c r="AI473" s="2">
        <v>88</v>
      </c>
      <c r="AJ473" s="2" t="s">
        <v>350</v>
      </c>
      <c r="AK473" s="2">
        <v>96</v>
      </c>
    </row>
    <row r="474" spans="1:37" x14ac:dyDescent="0.25">
      <c r="A474" s="2" t="s">
        <v>139</v>
      </c>
      <c r="B474" s="2" t="s">
        <v>256</v>
      </c>
      <c r="C474" s="2" t="s">
        <v>9</v>
      </c>
      <c r="D474" s="3">
        <v>46080.530752314815</v>
      </c>
      <c r="E474" s="2">
        <v>90.92</v>
      </c>
      <c r="F474" s="2">
        <v>26</v>
      </c>
      <c r="G474" s="2">
        <v>0</v>
      </c>
      <c r="I474" s="2" t="s">
        <v>1761</v>
      </c>
      <c r="J474" s="2" t="s">
        <v>258</v>
      </c>
      <c r="K474" s="2">
        <v>2</v>
      </c>
      <c r="L474" s="2">
        <v>1505040022</v>
      </c>
      <c r="M474" s="2">
        <v>98</v>
      </c>
      <c r="N474" s="2" t="s">
        <v>1762</v>
      </c>
      <c r="O474" s="2">
        <v>97</v>
      </c>
      <c r="P474" s="2" t="s">
        <v>260</v>
      </c>
      <c r="Q474" s="2">
        <v>96</v>
      </c>
      <c r="R474" s="2" t="s">
        <v>1066</v>
      </c>
      <c r="S474" s="2">
        <v>95</v>
      </c>
      <c r="T474" s="2" t="s">
        <v>934</v>
      </c>
      <c r="U474" s="2">
        <v>93</v>
      </c>
      <c r="V474" s="2" t="s">
        <v>263</v>
      </c>
      <c r="W474" s="2">
        <v>95</v>
      </c>
      <c r="X474" s="2">
        <v>2</v>
      </c>
      <c r="Y474" s="2">
        <v>80</v>
      </c>
      <c r="Z474" s="2" t="s">
        <v>1763</v>
      </c>
      <c r="AA474" s="2">
        <v>96</v>
      </c>
      <c r="AB474" s="2" t="s">
        <v>1764</v>
      </c>
      <c r="AC474" s="2">
        <v>95</v>
      </c>
      <c r="AD474" s="2">
        <v>16</v>
      </c>
      <c r="AE474" s="2">
        <v>90</v>
      </c>
      <c r="AF474" s="2" t="s">
        <v>432</v>
      </c>
      <c r="AG474" s="2">
        <v>88</v>
      </c>
      <c r="AH474" s="2" t="s">
        <v>1766</v>
      </c>
      <c r="AI474" s="2">
        <v>70</v>
      </c>
      <c r="AJ474" s="2" t="s">
        <v>350</v>
      </c>
      <c r="AK474" s="2">
        <v>88</v>
      </c>
    </row>
    <row r="475" spans="1:37" x14ac:dyDescent="0.25">
      <c r="A475" s="2" t="s">
        <v>142</v>
      </c>
      <c r="B475" s="2" t="s">
        <v>256</v>
      </c>
      <c r="C475" s="2" t="s">
        <v>9</v>
      </c>
      <c r="D475" s="3">
        <v>46080.530752314815</v>
      </c>
      <c r="E475" s="2">
        <v>81.569999999999993</v>
      </c>
      <c r="F475" s="2">
        <v>13</v>
      </c>
      <c r="G475" s="2">
        <v>2</v>
      </c>
      <c r="I475" s="2" t="s">
        <v>1767</v>
      </c>
      <c r="J475" s="2" t="s">
        <v>258</v>
      </c>
      <c r="K475" s="2">
        <v>1</v>
      </c>
      <c r="L475" s="2">
        <v>1501037350</v>
      </c>
      <c r="M475" s="2">
        <v>95</v>
      </c>
      <c r="N475" s="2" t="s">
        <v>1768</v>
      </c>
      <c r="O475" s="2">
        <v>90</v>
      </c>
      <c r="P475" s="2" t="s">
        <v>350</v>
      </c>
      <c r="Q475" s="2">
        <v>95</v>
      </c>
      <c r="R475" s="2" t="s">
        <v>1769</v>
      </c>
      <c r="S475" s="2">
        <v>90</v>
      </c>
      <c r="T475" s="2" t="s">
        <v>1770</v>
      </c>
      <c r="U475" s="2">
        <v>80</v>
      </c>
      <c r="V475" s="2" t="s">
        <v>263</v>
      </c>
      <c r="W475" s="2">
        <v>85</v>
      </c>
      <c r="X475" s="2">
        <v>1</v>
      </c>
      <c r="Y475" s="2">
        <v>60</v>
      </c>
      <c r="Z475" s="2" t="s">
        <v>1771</v>
      </c>
      <c r="AA475" s="2">
        <v>95</v>
      </c>
      <c r="AC475" s="2">
        <v>30</v>
      </c>
      <c r="AD475" s="2">
        <v>6</v>
      </c>
      <c r="AE475" s="2">
        <v>90</v>
      </c>
      <c r="AG475" s="2">
        <v>20</v>
      </c>
      <c r="AH475" s="2" t="s">
        <v>1772</v>
      </c>
      <c r="AI475" s="2">
        <v>90</v>
      </c>
      <c r="AJ475" s="2" t="s">
        <v>350</v>
      </c>
      <c r="AK475" s="2">
        <v>90</v>
      </c>
    </row>
    <row r="476" spans="1:37" x14ac:dyDescent="0.25">
      <c r="A476" s="2" t="s">
        <v>187</v>
      </c>
      <c r="B476" s="2" t="s">
        <v>256</v>
      </c>
      <c r="C476" s="2" t="s">
        <v>9</v>
      </c>
      <c r="D476" s="3">
        <v>46080.447835648149</v>
      </c>
      <c r="E476" s="2">
        <v>92.42</v>
      </c>
      <c r="F476" s="2">
        <v>13</v>
      </c>
      <c r="G476" s="2">
        <v>0</v>
      </c>
      <c r="I476" s="2" t="s">
        <v>1773</v>
      </c>
      <c r="J476" s="2" t="s">
        <v>258</v>
      </c>
      <c r="K476" s="2">
        <v>1</v>
      </c>
      <c r="L476" s="2">
        <v>6501017988</v>
      </c>
      <c r="M476" s="2">
        <v>92</v>
      </c>
      <c r="N476" s="2" t="s">
        <v>1774</v>
      </c>
      <c r="O476" s="2">
        <v>95</v>
      </c>
      <c r="P476" s="2" t="s">
        <v>350</v>
      </c>
      <c r="Q476" s="2">
        <v>98</v>
      </c>
      <c r="R476" s="2" t="s">
        <v>723</v>
      </c>
      <c r="S476" s="2">
        <v>90</v>
      </c>
      <c r="T476" s="2" t="s">
        <v>724</v>
      </c>
      <c r="U476" s="2">
        <v>92</v>
      </c>
      <c r="V476" s="2" t="s">
        <v>263</v>
      </c>
      <c r="W476" s="2">
        <v>95</v>
      </c>
      <c r="X476" s="2">
        <v>1</v>
      </c>
      <c r="Y476" s="2">
        <v>85</v>
      </c>
      <c r="Z476" s="2" t="s">
        <v>1775</v>
      </c>
      <c r="AA476" s="2">
        <v>96</v>
      </c>
      <c r="AB476" s="2" t="s">
        <v>1776</v>
      </c>
      <c r="AC476" s="2">
        <v>96</v>
      </c>
      <c r="AD476" s="2">
        <v>1</v>
      </c>
      <c r="AE476" s="2">
        <v>94</v>
      </c>
      <c r="AF476" s="2" t="s">
        <v>731</v>
      </c>
      <c r="AG476" s="2">
        <v>88</v>
      </c>
      <c r="AH476" s="2" t="s">
        <v>1777</v>
      </c>
      <c r="AI476" s="2">
        <v>96</v>
      </c>
      <c r="AJ476" s="2" t="s">
        <v>350</v>
      </c>
      <c r="AK476" s="2">
        <v>97</v>
      </c>
    </row>
    <row r="477" spans="1:37" x14ac:dyDescent="0.25">
      <c r="A477" s="2" t="s">
        <v>133</v>
      </c>
      <c r="B477" s="2" t="s">
        <v>256</v>
      </c>
      <c r="C477" s="2" t="s">
        <v>9</v>
      </c>
      <c r="D477" s="3">
        <v>46080.425277777773</v>
      </c>
      <c r="E477" s="2">
        <v>80</v>
      </c>
      <c r="F477" s="2">
        <v>195</v>
      </c>
      <c r="G477" s="2">
        <v>0</v>
      </c>
      <c r="I477" s="2" t="s">
        <v>1038</v>
      </c>
      <c r="J477" s="2" t="s">
        <v>258</v>
      </c>
      <c r="K477" s="2">
        <v>1</v>
      </c>
      <c r="L477" s="2">
        <v>3508007525</v>
      </c>
      <c r="M477" s="2">
        <v>50</v>
      </c>
      <c r="N477" s="2" t="s">
        <v>1778</v>
      </c>
      <c r="O477" s="2">
        <v>50</v>
      </c>
      <c r="P477" s="2" t="s">
        <v>260</v>
      </c>
      <c r="Q477" s="2">
        <v>50</v>
      </c>
      <c r="R477" s="2" t="s">
        <v>1041</v>
      </c>
      <c r="S477" s="2">
        <v>50</v>
      </c>
      <c r="T477" s="2" t="s">
        <v>1042</v>
      </c>
      <c r="U477" s="2">
        <v>50</v>
      </c>
      <c r="V477" s="2" t="s">
        <v>263</v>
      </c>
      <c r="W477" s="2">
        <v>50</v>
      </c>
      <c r="X477" s="2">
        <v>10</v>
      </c>
      <c r="Y477" s="2">
        <v>95</v>
      </c>
      <c r="Z477" s="2" t="s">
        <v>1728</v>
      </c>
      <c r="AA477" s="2">
        <v>92</v>
      </c>
      <c r="AB477" s="2" t="s">
        <v>1729</v>
      </c>
      <c r="AC477" s="2">
        <v>90</v>
      </c>
      <c r="AD477" s="2">
        <v>211</v>
      </c>
      <c r="AE477" s="2">
        <v>88</v>
      </c>
      <c r="AF477" s="2" t="s">
        <v>1387</v>
      </c>
      <c r="AG477" s="2">
        <v>80</v>
      </c>
      <c r="AH477" s="2" t="s">
        <v>1779</v>
      </c>
      <c r="AI477" s="2">
        <v>90</v>
      </c>
      <c r="AJ477" s="2" t="s">
        <v>268</v>
      </c>
      <c r="AK477" s="2">
        <v>95</v>
      </c>
    </row>
    <row r="478" spans="1:37" x14ac:dyDescent="0.25">
      <c r="A478" s="2" t="s">
        <v>133</v>
      </c>
      <c r="B478" s="2" t="s">
        <v>256</v>
      </c>
      <c r="C478" s="2" t="s">
        <v>9</v>
      </c>
      <c r="D478" s="3">
        <v>46080.425277777773</v>
      </c>
      <c r="E478" s="2">
        <v>80</v>
      </c>
      <c r="F478" s="2">
        <v>195</v>
      </c>
      <c r="G478" s="2">
        <v>0</v>
      </c>
      <c r="I478" s="2" t="s">
        <v>1038</v>
      </c>
      <c r="J478" s="2" t="s">
        <v>258</v>
      </c>
      <c r="K478" s="2">
        <v>2</v>
      </c>
      <c r="L478" s="2">
        <v>3508007525</v>
      </c>
      <c r="M478" s="2">
        <v>50</v>
      </c>
      <c r="N478" s="2" t="s">
        <v>1778</v>
      </c>
      <c r="O478" s="2">
        <v>50</v>
      </c>
      <c r="P478" s="2" t="s">
        <v>260</v>
      </c>
      <c r="Q478" s="2">
        <v>50</v>
      </c>
      <c r="R478" s="2" t="s">
        <v>1041</v>
      </c>
      <c r="S478" s="2">
        <v>50</v>
      </c>
      <c r="T478" s="2" t="s">
        <v>1042</v>
      </c>
      <c r="U478" s="2">
        <v>50</v>
      </c>
      <c r="V478" s="2" t="s">
        <v>263</v>
      </c>
      <c r="W478" s="2">
        <v>50</v>
      </c>
      <c r="X478" s="2">
        <v>20</v>
      </c>
      <c r="Y478" s="2">
        <v>95</v>
      </c>
      <c r="Z478" s="2" t="s">
        <v>1731</v>
      </c>
      <c r="AA478" s="2">
        <v>92</v>
      </c>
      <c r="AB478" s="2" t="s">
        <v>1732</v>
      </c>
      <c r="AC478" s="2">
        <v>90</v>
      </c>
      <c r="AD478" s="2">
        <v>8</v>
      </c>
      <c r="AE478" s="2">
        <v>88</v>
      </c>
      <c r="AF478" s="2" t="s">
        <v>1380</v>
      </c>
      <c r="AG478" s="2">
        <v>80</v>
      </c>
      <c r="AH478" s="2" t="s">
        <v>1780</v>
      </c>
      <c r="AI478" s="2">
        <v>90</v>
      </c>
      <c r="AJ478" s="2" t="s">
        <v>268</v>
      </c>
      <c r="AK478" s="2">
        <v>95</v>
      </c>
    </row>
    <row r="479" spans="1:37" x14ac:dyDescent="0.25">
      <c r="A479" s="2" t="s">
        <v>133</v>
      </c>
      <c r="B479" s="2" t="s">
        <v>256</v>
      </c>
      <c r="C479" s="2" t="s">
        <v>9</v>
      </c>
      <c r="D479" s="3">
        <v>46080.425277777773</v>
      </c>
      <c r="E479" s="2">
        <v>80</v>
      </c>
      <c r="F479" s="2">
        <v>195</v>
      </c>
      <c r="G479" s="2">
        <v>0</v>
      </c>
      <c r="I479" s="2" t="s">
        <v>1038</v>
      </c>
      <c r="J479" s="2" t="s">
        <v>258</v>
      </c>
      <c r="K479" s="2">
        <v>3</v>
      </c>
      <c r="L479" s="2">
        <v>3508007525</v>
      </c>
      <c r="M479" s="2">
        <v>50</v>
      </c>
      <c r="N479" s="2" t="s">
        <v>1778</v>
      </c>
      <c r="O479" s="2">
        <v>50</v>
      </c>
      <c r="P479" s="2" t="s">
        <v>260</v>
      </c>
      <c r="Q479" s="2">
        <v>50</v>
      </c>
      <c r="R479" s="2" t="s">
        <v>1041</v>
      </c>
      <c r="S479" s="2">
        <v>50</v>
      </c>
      <c r="T479" s="2" t="s">
        <v>1042</v>
      </c>
      <c r="U479" s="2">
        <v>50</v>
      </c>
      <c r="V479" s="2" t="s">
        <v>263</v>
      </c>
      <c r="W479" s="2">
        <v>50</v>
      </c>
      <c r="X479" s="2">
        <v>30</v>
      </c>
      <c r="Y479" s="2">
        <v>95</v>
      </c>
      <c r="Z479" s="2" t="s">
        <v>1734</v>
      </c>
      <c r="AA479" s="2">
        <v>92</v>
      </c>
      <c r="AB479" s="2" t="s">
        <v>1729</v>
      </c>
      <c r="AC479" s="2">
        <v>90</v>
      </c>
      <c r="AD479" s="2">
        <v>2</v>
      </c>
      <c r="AE479" s="2">
        <v>88</v>
      </c>
      <c r="AF479" s="2" t="s">
        <v>1380</v>
      </c>
      <c r="AG479" s="2">
        <v>80</v>
      </c>
      <c r="AH479" s="2" t="s">
        <v>1781</v>
      </c>
      <c r="AI479" s="2">
        <v>90</v>
      </c>
      <c r="AJ479" s="2" t="s">
        <v>268</v>
      </c>
      <c r="AK479" s="2">
        <v>95</v>
      </c>
    </row>
    <row r="480" spans="1:37" x14ac:dyDescent="0.25">
      <c r="A480" s="2" t="s">
        <v>133</v>
      </c>
      <c r="B480" s="2" t="s">
        <v>256</v>
      </c>
      <c r="C480" s="2" t="s">
        <v>9</v>
      </c>
      <c r="D480" s="3">
        <v>46080.425277777773</v>
      </c>
      <c r="E480" s="2">
        <v>80</v>
      </c>
      <c r="F480" s="2">
        <v>195</v>
      </c>
      <c r="G480" s="2">
        <v>0</v>
      </c>
      <c r="I480" s="2" t="s">
        <v>1038</v>
      </c>
      <c r="J480" s="2" t="s">
        <v>258</v>
      </c>
      <c r="K480" s="2">
        <v>4</v>
      </c>
      <c r="L480" s="2">
        <v>3508007525</v>
      </c>
      <c r="M480" s="2">
        <v>50</v>
      </c>
      <c r="N480" s="2" t="s">
        <v>1778</v>
      </c>
      <c r="O480" s="2">
        <v>50</v>
      </c>
      <c r="P480" s="2" t="s">
        <v>260</v>
      </c>
      <c r="Q480" s="2">
        <v>50</v>
      </c>
      <c r="R480" s="2" t="s">
        <v>1041</v>
      </c>
      <c r="S480" s="2">
        <v>50</v>
      </c>
      <c r="T480" s="2" t="s">
        <v>1042</v>
      </c>
      <c r="U480" s="2">
        <v>50</v>
      </c>
      <c r="V480" s="2" t="s">
        <v>263</v>
      </c>
      <c r="W480" s="2">
        <v>50</v>
      </c>
      <c r="X480" s="2">
        <v>40</v>
      </c>
      <c r="Y480" s="2">
        <v>95</v>
      </c>
      <c r="Z480" s="2" t="s">
        <v>1738</v>
      </c>
      <c r="AA480" s="2">
        <v>92</v>
      </c>
      <c r="AB480" s="2" t="s">
        <v>1739</v>
      </c>
      <c r="AC480" s="2">
        <v>90</v>
      </c>
      <c r="AD480" s="2">
        <v>30</v>
      </c>
      <c r="AE480" s="2">
        <v>90</v>
      </c>
      <c r="AF480" s="2" t="s">
        <v>1380</v>
      </c>
      <c r="AG480" s="2">
        <v>80</v>
      </c>
      <c r="AH480" s="2" t="s">
        <v>1782</v>
      </c>
      <c r="AI480" s="2">
        <v>90</v>
      </c>
      <c r="AJ480" s="2" t="s">
        <v>268</v>
      </c>
      <c r="AK480" s="2">
        <v>95</v>
      </c>
    </row>
    <row r="481" spans="1:37" x14ac:dyDescent="0.25">
      <c r="A481" s="2" t="s">
        <v>133</v>
      </c>
      <c r="B481" s="2" t="s">
        <v>256</v>
      </c>
      <c r="C481" s="2" t="s">
        <v>9</v>
      </c>
      <c r="D481" s="3">
        <v>46080.425277777773</v>
      </c>
      <c r="E481" s="2">
        <v>80</v>
      </c>
      <c r="F481" s="2">
        <v>195</v>
      </c>
      <c r="G481" s="2">
        <v>0</v>
      </c>
      <c r="I481" s="2" t="s">
        <v>1038</v>
      </c>
      <c r="J481" s="2" t="s">
        <v>258</v>
      </c>
      <c r="K481" s="2">
        <v>5</v>
      </c>
      <c r="L481" s="2">
        <v>3508007525</v>
      </c>
      <c r="M481" s="2">
        <v>50</v>
      </c>
      <c r="N481" s="2" t="s">
        <v>1778</v>
      </c>
      <c r="O481" s="2">
        <v>50</v>
      </c>
      <c r="P481" s="2" t="s">
        <v>260</v>
      </c>
      <c r="Q481" s="2">
        <v>50</v>
      </c>
      <c r="R481" s="2" t="s">
        <v>1041</v>
      </c>
      <c r="S481" s="2">
        <v>50</v>
      </c>
      <c r="T481" s="2" t="s">
        <v>1042</v>
      </c>
      <c r="U481" s="2">
        <v>50</v>
      </c>
      <c r="V481" s="2" t="s">
        <v>263</v>
      </c>
      <c r="W481" s="2">
        <v>50</v>
      </c>
      <c r="X481" s="2">
        <v>50</v>
      </c>
      <c r="Y481" s="2">
        <v>95</v>
      </c>
      <c r="Z481" s="2" t="s">
        <v>1469</v>
      </c>
      <c r="AA481" s="2">
        <v>90</v>
      </c>
      <c r="AB481" s="2" t="s">
        <v>1741</v>
      </c>
      <c r="AC481" s="2">
        <v>90</v>
      </c>
      <c r="AD481" s="2">
        <v>3</v>
      </c>
      <c r="AE481" s="2">
        <v>88</v>
      </c>
      <c r="AF481" s="2" t="s">
        <v>1380</v>
      </c>
      <c r="AG481" s="2">
        <v>80</v>
      </c>
      <c r="AH481" s="2" t="s">
        <v>1783</v>
      </c>
      <c r="AI481" s="2">
        <v>90</v>
      </c>
      <c r="AJ481" s="2" t="s">
        <v>268</v>
      </c>
      <c r="AK481" s="2">
        <v>95</v>
      </c>
    </row>
    <row r="482" spans="1:37" x14ac:dyDescent="0.25">
      <c r="A482" s="2" t="s">
        <v>133</v>
      </c>
      <c r="B482" s="2" t="s">
        <v>256</v>
      </c>
      <c r="C482" s="2" t="s">
        <v>9</v>
      </c>
      <c r="D482" s="3">
        <v>46080.425277777773</v>
      </c>
      <c r="E482" s="2">
        <v>80</v>
      </c>
      <c r="F482" s="2">
        <v>195</v>
      </c>
      <c r="G482" s="2">
        <v>0</v>
      </c>
      <c r="I482" s="2" t="s">
        <v>1038</v>
      </c>
      <c r="J482" s="2" t="s">
        <v>258</v>
      </c>
      <c r="K482" s="2">
        <v>6</v>
      </c>
      <c r="L482" s="2">
        <v>3508007525</v>
      </c>
      <c r="M482" s="2">
        <v>50</v>
      </c>
      <c r="N482" s="2" t="s">
        <v>1778</v>
      </c>
      <c r="O482" s="2">
        <v>50</v>
      </c>
      <c r="P482" s="2" t="s">
        <v>260</v>
      </c>
      <c r="Q482" s="2">
        <v>50</v>
      </c>
      <c r="R482" s="2" t="s">
        <v>1041</v>
      </c>
      <c r="S482" s="2">
        <v>50</v>
      </c>
      <c r="T482" s="2" t="s">
        <v>1042</v>
      </c>
      <c r="U482" s="2">
        <v>50</v>
      </c>
      <c r="V482" s="2" t="s">
        <v>263</v>
      </c>
      <c r="W482" s="2">
        <v>50</v>
      </c>
      <c r="X482" s="2">
        <v>60</v>
      </c>
      <c r="Y482" s="2">
        <v>95</v>
      </c>
      <c r="Z482" s="2" t="s">
        <v>1443</v>
      </c>
      <c r="AA482" s="2">
        <v>90</v>
      </c>
      <c r="AB482" s="2" t="s">
        <v>1784</v>
      </c>
      <c r="AC482" s="2">
        <v>90</v>
      </c>
      <c r="AD482" s="2">
        <v>1</v>
      </c>
      <c r="AE482" s="2">
        <v>88</v>
      </c>
      <c r="AF482" s="2" t="s">
        <v>1380</v>
      </c>
      <c r="AG482" s="2">
        <v>80</v>
      </c>
      <c r="AH482" s="2" t="s">
        <v>1785</v>
      </c>
      <c r="AI482" s="2">
        <v>90</v>
      </c>
      <c r="AJ482" s="2" t="s">
        <v>268</v>
      </c>
      <c r="AK482" s="2">
        <v>95</v>
      </c>
    </row>
    <row r="483" spans="1:37" x14ac:dyDescent="0.25">
      <c r="A483" s="2" t="s">
        <v>133</v>
      </c>
      <c r="B483" s="2" t="s">
        <v>256</v>
      </c>
      <c r="C483" s="2" t="s">
        <v>9</v>
      </c>
      <c r="D483" s="3">
        <v>46080.425277777773</v>
      </c>
      <c r="E483" s="2">
        <v>80</v>
      </c>
      <c r="F483" s="2">
        <v>195</v>
      </c>
      <c r="G483" s="2">
        <v>0</v>
      </c>
      <c r="I483" s="2" t="s">
        <v>1038</v>
      </c>
      <c r="J483" s="2" t="s">
        <v>258</v>
      </c>
      <c r="K483" s="2">
        <v>7</v>
      </c>
      <c r="L483" s="2">
        <v>3508007525</v>
      </c>
      <c r="M483" s="2">
        <v>50</v>
      </c>
      <c r="N483" s="2" t="s">
        <v>1778</v>
      </c>
      <c r="O483" s="2">
        <v>50</v>
      </c>
      <c r="P483" s="2" t="s">
        <v>260</v>
      </c>
      <c r="Q483" s="2">
        <v>50</v>
      </c>
      <c r="R483" s="2" t="s">
        <v>1041</v>
      </c>
      <c r="S483" s="2">
        <v>50</v>
      </c>
      <c r="T483" s="2" t="s">
        <v>1042</v>
      </c>
      <c r="U483" s="2">
        <v>50</v>
      </c>
      <c r="V483" s="2" t="s">
        <v>263</v>
      </c>
      <c r="W483" s="2">
        <v>50</v>
      </c>
      <c r="X483" s="2">
        <v>70</v>
      </c>
      <c r="Y483" s="2">
        <v>95</v>
      </c>
      <c r="Z483" s="2" t="s">
        <v>1509</v>
      </c>
      <c r="AA483" s="2">
        <v>90</v>
      </c>
      <c r="AB483" s="2" t="s">
        <v>1786</v>
      </c>
      <c r="AC483" s="2">
        <v>90</v>
      </c>
      <c r="AD483" s="2">
        <v>17</v>
      </c>
      <c r="AE483" s="2">
        <v>88</v>
      </c>
      <c r="AF483" s="2" t="s">
        <v>1387</v>
      </c>
      <c r="AG483" s="2">
        <v>85</v>
      </c>
      <c r="AH483" s="2" t="s">
        <v>1787</v>
      </c>
      <c r="AI483" s="2">
        <v>90</v>
      </c>
      <c r="AJ483" s="2" t="s">
        <v>268</v>
      </c>
      <c r="AK483" s="2">
        <v>95</v>
      </c>
    </row>
    <row r="484" spans="1:37" x14ac:dyDescent="0.25">
      <c r="A484" s="2" t="s">
        <v>133</v>
      </c>
      <c r="B484" s="2" t="s">
        <v>256</v>
      </c>
      <c r="C484" s="2" t="s">
        <v>9</v>
      </c>
      <c r="D484" s="3">
        <v>46080.425277777773</v>
      </c>
      <c r="E484" s="2">
        <v>80</v>
      </c>
      <c r="F484" s="2">
        <v>195</v>
      </c>
      <c r="G484" s="2">
        <v>0</v>
      </c>
      <c r="I484" s="2" t="s">
        <v>1038</v>
      </c>
      <c r="J484" s="2" t="s">
        <v>258</v>
      </c>
      <c r="K484" s="2">
        <v>8</v>
      </c>
      <c r="L484" s="2">
        <v>3508007525</v>
      </c>
      <c r="M484" s="2">
        <v>50</v>
      </c>
      <c r="N484" s="2" t="s">
        <v>1778</v>
      </c>
      <c r="O484" s="2">
        <v>50</v>
      </c>
      <c r="P484" s="2" t="s">
        <v>260</v>
      </c>
      <c r="Q484" s="2">
        <v>50</v>
      </c>
      <c r="R484" s="2" t="s">
        <v>1041</v>
      </c>
      <c r="S484" s="2">
        <v>50</v>
      </c>
      <c r="T484" s="2" t="s">
        <v>1042</v>
      </c>
      <c r="U484" s="2">
        <v>50</v>
      </c>
      <c r="V484" s="2" t="s">
        <v>263</v>
      </c>
      <c r="W484" s="2">
        <v>50</v>
      </c>
      <c r="X484" s="2">
        <v>80</v>
      </c>
      <c r="Y484" s="2">
        <v>95</v>
      </c>
      <c r="Z484" s="2" t="s">
        <v>1788</v>
      </c>
      <c r="AA484" s="2">
        <v>90</v>
      </c>
      <c r="AB484" s="2" t="s">
        <v>1744</v>
      </c>
      <c r="AC484" s="2">
        <v>90</v>
      </c>
      <c r="AD484" s="2">
        <v>13</v>
      </c>
      <c r="AE484" s="2">
        <v>88</v>
      </c>
      <c r="AF484" s="2" t="s">
        <v>1380</v>
      </c>
      <c r="AG484" s="2">
        <v>85</v>
      </c>
      <c r="AH484" s="2" t="s">
        <v>1789</v>
      </c>
      <c r="AI484" s="2">
        <v>90</v>
      </c>
      <c r="AJ484" s="2" t="s">
        <v>268</v>
      </c>
      <c r="AK484" s="2">
        <v>95</v>
      </c>
    </row>
    <row r="485" spans="1:37" x14ac:dyDescent="0.25">
      <c r="A485" s="2" t="s">
        <v>133</v>
      </c>
      <c r="B485" s="2" t="s">
        <v>256</v>
      </c>
      <c r="C485" s="2" t="s">
        <v>9</v>
      </c>
      <c r="D485" s="3">
        <v>46080.425277777773</v>
      </c>
      <c r="E485" s="2">
        <v>80</v>
      </c>
      <c r="F485" s="2">
        <v>195</v>
      </c>
      <c r="G485" s="2">
        <v>0</v>
      </c>
      <c r="I485" s="2" t="s">
        <v>1038</v>
      </c>
      <c r="J485" s="2" t="s">
        <v>258</v>
      </c>
      <c r="K485" s="2">
        <v>9</v>
      </c>
      <c r="L485" s="2">
        <v>3508007525</v>
      </c>
      <c r="M485" s="2">
        <v>50</v>
      </c>
      <c r="N485" s="2" t="s">
        <v>1778</v>
      </c>
      <c r="O485" s="2">
        <v>50</v>
      </c>
      <c r="P485" s="2" t="s">
        <v>260</v>
      </c>
      <c r="Q485" s="2">
        <v>50</v>
      </c>
      <c r="R485" s="2" t="s">
        <v>1041</v>
      </c>
      <c r="S485" s="2">
        <v>50</v>
      </c>
      <c r="T485" s="2" t="s">
        <v>1042</v>
      </c>
      <c r="U485" s="2">
        <v>50</v>
      </c>
      <c r="V485" s="2" t="s">
        <v>263</v>
      </c>
      <c r="W485" s="2">
        <v>50</v>
      </c>
      <c r="X485" s="2">
        <v>90</v>
      </c>
      <c r="Y485" s="2">
        <v>95</v>
      </c>
      <c r="Z485" s="2" t="s">
        <v>1790</v>
      </c>
      <c r="AA485" s="2">
        <v>90</v>
      </c>
      <c r="AB485" s="2" t="s">
        <v>1791</v>
      </c>
      <c r="AC485" s="2">
        <v>90</v>
      </c>
      <c r="AD485" s="2">
        <v>9</v>
      </c>
      <c r="AE485" s="2">
        <v>88</v>
      </c>
      <c r="AF485" s="2" t="s">
        <v>1380</v>
      </c>
      <c r="AG485" s="2">
        <v>85</v>
      </c>
      <c r="AH485" s="2" t="s">
        <v>1792</v>
      </c>
      <c r="AI485" s="2">
        <v>90</v>
      </c>
      <c r="AJ485" s="2" t="s">
        <v>268</v>
      </c>
      <c r="AK485" s="2">
        <v>95</v>
      </c>
    </row>
    <row r="486" spans="1:37" x14ac:dyDescent="0.25">
      <c r="A486" s="2" t="s">
        <v>133</v>
      </c>
      <c r="B486" s="2" t="s">
        <v>256</v>
      </c>
      <c r="C486" s="2" t="s">
        <v>9</v>
      </c>
      <c r="D486" s="3">
        <v>46080.425277777773</v>
      </c>
      <c r="E486" s="2">
        <v>80</v>
      </c>
      <c r="F486" s="2">
        <v>195</v>
      </c>
      <c r="G486" s="2">
        <v>0</v>
      </c>
      <c r="I486" s="2" t="s">
        <v>1038</v>
      </c>
      <c r="J486" s="2" t="s">
        <v>258</v>
      </c>
      <c r="K486" s="2">
        <v>10</v>
      </c>
      <c r="L486" s="2">
        <v>3508007525</v>
      </c>
      <c r="M486" s="2">
        <v>50</v>
      </c>
      <c r="N486" s="2" t="s">
        <v>1778</v>
      </c>
      <c r="O486" s="2">
        <v>50</v>
      </c>
      <c r="P486" s="2" t="s">
        <v>260</v>
      </c>
      <c r="Q486" s="2">
        <v>50</v>
      </c>
      <c r="R486" s="2" t="s">
        <v>1041</v>
      </c>
      <c r="S486" s="2">
        <v>50</v>
      </c>
      <c r="T486" s="2" t="s">
        <v>1042</v>
      </c>
      <c r="U486" s="2">
        <v>50</v>
      </c>
      <c r="V486" s="2" t="s">
        <v>263</v>
      </c>
      <c r="W486" s="2">
        <v>50</v>
      </c>
      <c r="X486" s="2">
        <v>100</v>
      </c>
      <c r="Y486" s="2">
        <v>95</v>
      </c>
      <c r="Z486" s="2" t="s">
        <v>1793</v>
      </c>
      <c r="AA486" s="2">
        <v>90</v>
      </c>
      <c r="AB486" s="2" t="s">
        <v>1794</v>
      </c>
      <c r="AC486" s="2">
        <v>90</v>
      </c>
      <c r="AD486" s="2">
        <v>4</v>
      </c>
      <c r="AE486" s="2">
        <v>88</v>
      </c>
      <c r="AF486" s="2" t="s">
        <v>1380</v>
      </c>
      <c r="AG486" s="2">
        <v>85</v>
      </c>
      <c r="AH486" s="2" t="s">
        <v>1795</v>
      </c>
      <c r="AI486" s="2">
        <v>90</v>
      </c>
      <c r="AJ486" s="2" t="s">
        <v>268</v>
      </c>
      <c r="AK486" s="2">
        <v>95</v>
      </c>
    </row>
    <row r="487" spans="1:37" x14ac:dyDescent="0.25">
      <c r="A487" s="2" t="s">
        <v>133</v>
      </c>
      <c r="B487" s="2" t="s">
        <v>256</v>
      </c>
      <c r="C487" s="2" t="s">
        <v>9</v>
      </c>
      <c r="D487" s="3">
        <v>46080.425277777773</v>
      </c>
      <c r="E487" s="2">
        <v>80</v>
      </c>
      <c r="F487" s="2">
        <v>195</v>
      </c>
      <c r="G487" s="2">
        <v>0</v>
      </c>
      <c r="I487" s="2" t="s">
        <v>1038</v>
      </c>
      <c r="J487" s="2" t="s">
        <v>258</v>
      </c>
      <c r="K487" s="2">
        <v>11</v>
      </c>
      <c r="L487" s="2">
        <v>3508007525</v>
      </c>
      <c r="M487" s="2">
        <v>50</v>
      </c>
      <c r="N487" s="2" t="s">
        <v>1778</v>
      </c>
      <c r="O487" s="2">
        <v>50</v>
      </c>
      <c r="P487" s="2" t="s">
        <v>260</v>
      </c>
      <c r="Q487" s="2">
        <v>50</v>
      </c>
      <c r="R487" s="2" t="s">
        <v>1041</v>
      </c>
      <c r="S487" s="2">
        <v>50</v>
      </c>
      <c r="T487" s="2" t="s">
        <v>1042</v>
      </c>
      <c r="U487" s="2">
        <v>50</v>
      </c>
      <c r="V487" s="2" t="s">
        <v>263</v>
      </c>
      <c r="W487" s="2">
        <v>50</v>
      </c>
      <c r="X487" s="2">
        <v>110</v>
      </c>
      <c r="Y487" s="2">
        <v>95</v>
      </c>
      <c r="Z487" s="2" t="s">
        <v>1422</v>
      </c>
      <c r="AA487" s="2">
        <v>90</v>
      </c>
      <c r="AB487" s="2" t="s">
        <v>1746</v>
      </c>
      <c r="AC487" s="2">
        <v>90</v>
      </c>
      <c r="AD487" s="2">
        <v>1</v>
      </c>
      <c r="AE487" s="2">
        <v>88</v>
      </c>
      <c r="AF487" s="2" t="s">
        <v>1380</v>
      </c>
      <c r="AG487" s="2">
        <v>85</v>
      </c>
      <c r="AH487" s="2" t="s">
        <v>1796</v>
      </c>
      <c r="AI487" s="2">
        <v>90</v>
      </c>
      <c r="AJ487" s="2" t="s">
        <v>268</v>
      </c>
      <c r="AK487" s="2">
        <v>95</v>
      </c>
    </row>
    <row r="488" spans="1:37" x14ac:dyDescent="0.25">
      <c r="A488" s="2" t="s">
        <v>133</v>
      </c>
      <c r="B488" s="2" t="s">
        <v>256</v>
      </c>
      <c r="C488" s="2" t="s">
        <v>9</v>
      </c>
      <c r="D488" s="3">
        <v>46080.425277777773</v>
      </c>
      <c r="E488" s="2">
        <v>80</v>
      </c>
      <c r="F488" s="2">
        <v>195</v>
      </c>
      <c r="G488" s="2">
        <v>0</v>
      </c>
      <c r="I488" s="2" t="s">
        <v>1038</v>
      </c>
      <c r="J488" s="2" t="s">
        <v>258</v>
      </c>
      <c r="K488" s="2">
        <v>12</v>
      </c>
      <c r="L488" s="2">
        <v>3508007525</v>
      </c>
      <c r="M488" s="2">
        <v>50</v>
      </c>
      <c r="N488" s="2" t="s">
        <v>1778</v>
      </c>
      <c r="O488" s="2">
        <v>50</v>
      </c>
      <c r="P488" s="2" t="s">
        <v>260</v>
      </c>
      <c r="Q488" s="2">
        <v>50</v>
      </c>
      <c r="R488" s="2" t="s">
        <v>1041</v>
      </c>
      <c r="S488" s="2">
        <v>50</v>
      </c>
      <c r="T488" s="2" t="s">
        <v>1042</v>
      </c>
      <c r="U488" s="2">
        <v>50</v>
      </c>
      <c r="V488" s="2" t="s">
        <v>263</v>
      </c>
      <c r="W488" s="2">
        <v>50</v>
      </c>
      <c r="X488" s="2">
        <v>120</v>
      </c>
      <c r="Y488" s="2">
        <v>95</v>
      </c>
      <c r="Z488" s="2" t="s">
        <v>1797</v>
      </c>
      <c r="AA488" s="2">
        <v>90</v>
      </c>
      <c r="AB488" s="2" t="s">
        <v>1798</v>
      </c>
      <c r="AC488" s="2">
        <v>90</v>
      </c>
      <c r="AD488" s="2">
        <v>1</v>
      </c>
      <c r="AE488" s="2">
        <v>88</v>
      </c>
      <c r="AF488" s="2" t="s">
        <v>1380</v>
      </c>
      <c r="AG488" s="2">
        <v>85</v>
      </c>
      <c r="AH488" s="2" t="s">
        <v>1799</v>
      </c>
      <c r="AI488" s="2">
        <v>90</v>
      </c>
      <c r="AJ488" s="2" t="s">
        <v>268</v>
      </c>
      <c r="AK488" s="2">
        <v>95</v>
      </c>
    </row>
    <row r="489" spans="1:37" x14ac:dyDescent="0.25">
      <c r="A489" s="2" t="s">
        <v>133</v>
      </c>
      <c r="B489" s="2" t="s">
        <v>256</v>
      </c>
      <c r="C489" s="2" t="s">
        <v>9</v>
      </c>
      <c r="D489" s="3">
        <v>46080.425277777773</v>
      </c>
      <c r="E489" s="2">
        <v>80</v>
      </c>
      <c r="F489" s="2">
        <v>195</v>
      </c>
      <c r="G489" s="2">
        <v>0</v>
      </c>
      <c r="I489" s="2" t="s">
        <v>1038</v>
      </c>
      <c r="J489" s="2" t="s">
        <v>258</v>
      </c>
      <c r="K489" s="2">
        <v>13</v>
      </c>
      <c r="L489" s="2">
        <v>3508007525</v>
      </c>
      <c r="M489" s="2">
        <v>50</v>
      </c>
      <c r="N489" s="2" t="s">
        <v>1778</v>
      </c>
      <c r="O489" s="2">
        <v>50</v>
      </c>
      <c r="P489" s="2" t="s">
        <v>260</v>
      </c>
      <c r="Q489" s="2">
        <v>50</v>
      </c>
      <c r="R489" s="2" t="s">
        <v>1041</v>
      </c>
      <c r="S489" s="2">
        <v>50</v>
      </c>
      <c r="T489" s="2" t="s">
        <v>1042</v>
      </c>
      <c r="U489" s="2">
        <v>50</v>
      </c>
      <c r="V489" s="2" t="s">
        <v>263</v>
      </c>
      <c r="W489" s="2">
        <v>50</v>
      </c>
      <c r="X489" s="2">
        <v>130</v>
      </c>
      <c r="Y489" s="2">
        <v>95</v>
      </c>
      <c r="Z489" s="2" t="s">
        <v>1800</v>
      </c>
      <c r="AA489" s="2">
        <v>90</v>
      </c>
      <c r="AB489" s="2" t="s">
        <v>1801</v>
      </c>
      <c r="AC489" s="2">
        <v>90</v>
      </c>
      <c r="AD489" s="2">
        <v>5</v>
      </c>
      <c r="AE489" s="2">
        <v>88</v>
      </c>
      <c r="AF489" s="2" t="s">
        <v>1380</v>
      </c>
      <c r="AG489" s="2">
        <v>85</v>
      </c>
      <c r="AH489" s="2" t="s">
        <v>1802</v>
      </c>
      <c r="AI489" s="2">
        <v>90</v>
      </c>
      <c r="AJ489" s="2" t="s">
        <v>268</v>
      </c>
      <c r="AK489" s="2">
        <v>95</v>
      </c>
    </row>
    <row r="490" spans="1:37" x14ac:dyDescent="0.25">
      <c r="A490" s="2" t="s">
        <v>133</v>
      </c>
      <c r="B490" s="2" t="s">
        <v>256</v>
      </c>
      <c r="C490" s="2" t="s">
        <v>9</v>
      </c>
      <c r="D490" s="3">
        <v>46080.425277777773</v>
      </c>
      <c r="E490" s="2">
        <v>80</v>
      </c>
      <c r="F490" s="2">
        <v>195</v>
      </c>
      <c r="G490" s="2">
        <v>0</v>
      </c>
      <c r="I490" s="2" t="s">
        <v>1038</v>
      </c>
      <c r="J490" s="2" t="s">
        <v>258</v>
      </c>
      <c r="K490" s="2">
        <v>14</v>
      </c>
      <c r="L490" s="2">
        <v>3508007525</v>
      </c>
      <c r="M490" s="2">
        <v>50</v>
      </c>
      <c r="N490" s="2" t="s">
        <v>1778</v>
      </c>
      <c r="O490" s="2">
        <v>50</v>
      </c>
      <c r="P490" s="2" t="s">
        <v>260</v>
      </c>
      <c r="Q490" s="2">
        <v>50</v>
      </c>
      <c r="R490" s="2" t="s">
        <v>1041</v>
      </c>
      <c r="S490" s="2">
        <v>50</v>
      </c>
      <c r="T490" s="2" t="s">
        <v>1042</v>
      </c>
      <c r="U490" s="2">
        <v>50</v>
      </c>
      <c r="V490" s="2" t="s">
        <v>263</v>
      </c>
      <c r="W490" s="2">
        <v>50</v>
      </c>
      <c r="X490" s="2">
        <v>140</v>
      </c>
      <c r="Y490" s="2">
        <v>95</v>
      </c>
      <c r="Z490" s="2" t="s">
        <v>1752</v>
      </c>
      <c r="AA490" s="2">
        <v>90</v>
      </c>
      <c r="AB490" s="2" t="s">
        <v>1753</v>
      </c>
      <c r="AC490" s="2">
        <v>90</v>
      </c>
      <c r="AD490" s="2">
        <v>46</v>
      </c>
      <c r="AE490" s="2">
        <v>88</v>
      </c>
      <c r="AF490" s="2" t="s">
        <v>1380</v>
      </c>
      <c r="AG490" s="2">
        <v>85</v>
      </c>
      <c r="AH490" s="2" t="s">
        <v>1803</v>
      </c>
      <c r="AI490" s="2">
        <v>90</v>
      </c>
      <c r="AJ490" s="2" t="s">
        <v>268</v>
      </c>
      <c r="AK490" s="2">
        <v>95</v>
      </c>
    </row>
    <row r="491" spans="1:37" x14ac:dyDescent="0.25">
      <c r="A491" s="2" t="s">
        <v>133</v>
      </c>
      <c r="B491" s="2" t="s">
        <v>256</v>
      </c>
      <c r="C491" s="2" t="s">
        <v>9</v>
      </c>
      <c r="D491" s="3">
        <v>46080.425277777773</v>
      </c>
      <c r="E491" s="2">
        <v>80</v>
      </c>
      <c r="F491" s="2">
        <v>195</v>
      </c>
      <c r="G491" s="2">
        <v>0</v>
      </c>
      <c r="I491" s="2" t="s">
        <v>1038</v>
      </c>
      <c r="J491" s="2" t="s">
        <v>258</v>
      </c>
      <c r="K491" s="2">
        <v>15</v>
      </c>
      <c r="L491" s="2">
        <v>3508007525</v>
      </c>
      <c r="M491" s="2">
        <v>50</v>
      </c>
      <c r="N491" s="2" t="s">
        <v>1778</v>
      </c>
      <c r="O491" s="2">
        <v>50</v>
      </c>
      <c r="P491" s="2" t="s">
        <v>260</v>
      </c>
      <c r="Q491" s="2">
        <v>50</v>
      </c>
      <c r="R491" s="2" t="s">
        <v>1041</v>
      </c>
      <c r="S491" s="2">
        <v>50</v>
      </c>
      <c r="T491" s="2" t="s">
        <v>1042</v>
      </c>
      <c r="U491" s="2">
        <v>50</v>
      </c>
      <c r="V491" s="2" t="s">
        <v>263</v>
      </c>
      <c r="W491" s="2">
        <v>50</v>
      </c>
      <c r="X491" s="2">
        <v>150</v>
      </c>
      <c r="Y491" s="2">
        <v>95</v>
      </c>
      <c r="Z491" s="2" t="s">
        <v>1804</v>
      </c>
      <c r="AA491" s="2">
        <v>90</v>
      </c>
      <c r="AB491" s="2" t="s">
        <v>1805</v>
      </c>
      <c r="AC491" s="2">
        <v>90</v>
      </c>
      <c r="AD491" s="2">
        <v>2</v>
      </c>
      <c r="AE491" s="2">
        <v>88</v>
      </c>
      <c r="AF491" s="2" t="s">
        <v>1380</v>
      </c>
      <c r="AG491" s="2">
        <v>85</v>
      </c>
      <c r="AH491" s="2" t="s">
        <v>1806</v>
      </c>
      <c r="AI491" s="2">
        <v>90</v>
      </c>
      <c r="AJ491" s="2" t="s">
        <v>268</v>
      </c>
      <c r="AK491" s="2">
        <v>95</v>
      </c>
    </row>
    <row r="492" spans="1:37" x14ac:dyDescent="0.25">
      <c r="A492" s="2" t="s">
        <v>133</v>
      </c>
      <c r="B492" s="2" t="s">
        <v>256</v>
      </c>
      <c r="C492" s="2" t="s">
        <v>9</v>
      </c>
      <c r="D492" s="3">
        <v>46080.419212962966</v>
      </c>
      <c r="E492" s="2">
        <v>87.66</v>
      </c>
      <c r="F492" s="2">
        <v>104</v>
      </c>
      <c r="G492" s="2">
        <v>0</v>
      </c>
      <c r="I492" s="2" t="s">
        <v>1038</v>
      </c>
      <c r="J492" s="2" t="s">
        <v>258</v>
      </c>
    </row>
    <row r="493" spans="1:37" x14ac:dyDescent="0.25">
      <c r="A493" s="2" t="s">
        <v>130</v>
      </c>
      <c r="B493" s="2" t="s">
        <v>256</v>
      </c>
      <c r="C493" s="2" t="s">
        <v>9</v>
      </c>
      <c r="D493" s="3">
        <v>46080.419062500005</v>
      </c>
      <c r="E493" s="2">
        <v>84.72</v>
      </c>
      <c r="F493" s="2">
        <v>13</v>
      </c>
      <c r="G493" s="2">
        <v>1</v>
      </c>
      <c r="I493" s="2" t="s">
        <v>1807</v>
      </c>
      <c r="J493" s="2" t="s">
        <v>258</v>
      </c>
      <c r="K493" s="2">
        <v>1</v>
      </c>
      <c r="M493" s="2">
        <v>10</v>
      </c>
      <c r="N493" s="2" t="s">
        <v>1808</v>
      </c>
      <c r="O493" s="2">
        <v>92</v>
      </c>
      <c r="P493" s="2" t="s">
        <v>350</v>
      </c>
      <c r="Q493" s="2">
        <v>95</v>
      </c>
      <c r="R493" s="2" t="s">
        <v>631</v>
      </c>
      <c r="S493" s="2">
        <v>95</v>
      </c>
      <c r="T493" s="2" t="s">
        <v>632</v>
      </c>
      <c r="U493" s="2">
        <v>95</v>
      </c>
      <c r="V493" s="2" t="s">
        <v>263</v>
      </c>
      <c r="W493" s="2">
        <v>90</v>
      </c>
      <c r="X493" s="2">
        <v>1</v>
      </c>
      <c r="Y493" s="2">
        <v>95</v>
      </c>
      <c r="Z493" s="2" t="s">
        <v>1809</v>
      </c>
      <c r="AA493" s="2">
        <v>85</v>
      </c>
      <c r="AB493" s="2" t="s">
        <v>1810</v>
      </c>
      <c r="AC493" s="2">
        <v>90</v>
      </c>
      <c r="AD493" s="2">
        <v>1</v>
      </c>
      <c r="AE493" s="2">
        <v>95</v>
      </c>
      <c r="AF493" s="2" t="s">
        <v>635</v>
      </c>
      <c r="AG493" s="2">
        <v>90</v>
      </c>
      <c r="AH493" s="2" t="s">
        <v>1811</v>
      </c>
      <c r="AI493" s="2">
        <v>90</v>
      </c>
      <c r="AJ493" s="2" t="s">
        <v>268</v>
      </c>
      <c r="AK493" s="2">
        <v>95</v>
      </c>
    </row>
    <row r="494" spans="1:37" x14ac:dyDescent="0.25">
      <c r="A494" s="2" t="s">
        <v>160</v>
      </c>
      <c r="B494" s="2" t="s">
        <v>256</v>
      </c>
      <c r="C494" s="2" t="s">
        <v>9</v>
      </c>
      <c r="D494" s="3">
        <v>46080.411759259259</v>
      </c>
      <c r="E494" s="2">
        <v>93.11</v>
      </c>
      <c r="F494" s="2">
        <v>13</v>
      </c>
      <c r="G494" s="2">
        <v>0</v>
      </c>
      <c r="I494" s="2" t="s">
        <v>1812</v>
      </c>
      <c r="J494" s="2" t="s">
        <v>258</v>
      </c>
    </row>
    <row r="495" spans="1:37" x14ac:dyDescent="0.25">
      <c r="A495" s="2" t="s">
        <v>150</v>
      </c>
      <c r="B495" s="2" t="s">
        <v>256</v>
      </c>
      <c r="C495" s="2" t="s">
        <v>9</v>
      </c>
      <c r="D495" s="3">
        <v>46080.389872685184</v>
      </c>
      <c r="E495" s="2">
        <v>90.31</v>
      </c>
      <c r="F495" s="2">
        <v>13</v>
      </c>
      <c r="G495" s="2">
        <v>0</v>
      </c>
      <c r="I495" s="2" t="s">
        <v>1813</v>
      </c>
      <c r="J495" s="2" t="s">
        <v>258</v>
      </c>
    </row>
  </sheetData>
  <autoFilter ref="A2:AK495" xr:uid="{00000000-0009-0000-00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A20A5-955C-4DFD-BC30-09029EE79EA7}">
  <dimension ref="A3:AB92"/>
  <sheetViews>
    <sheetView topLeftCell="J1" workbookViewId="0">
      <selection activeCell="Q1" sqref="Q1"/>
    </sheetView>
  </sheetViews>
  <sheetFormatPr defaultRowHeight="14.4" x14ac:dyDescent="0.3"/>
  <cols>
    <col min="1" max="1" width="76.6640625" bestFit="1" customWidth="1"/>
    <col min="2" max="2" width="18.88671875" bestFit="1" customWidth="1"/>
    <col min="3" max="3" width="11.5546875" bestFit="1" customWidth="1"/>
    <col min="4" max="4" width="18.88671875" bestFit="1" customWidth="1"/>
    <col min="5" max="5" width="30.6640625" bestFit="1" customWidth="1"/>
    <col min="6" max="6" width="30" bestFit="1" customWidth="1"/>
    <col min="7" max="7" width="18.88671875" bestFit="1" customWidth="1"/>
    <col min="8" max="8" width="22.33203125" bestFit="1" customWidth="1"/>
    <col min="9" max="9" width="23.77734375" bestFit="1" customWidth="1"/>
    <col min="10" max="10" width="17.33203125" bestFit="1" customWidth="1"/>
    <col min="11" max="11" width="22.6640625" bestFit="1" customWidth="1"/>
    <col min="12" max="12" width="24.109375" bestFit="1" customWidth="1"/>
    <col min="13" max="13" width="16.77734375" bestFit="1" customWidth="1"/>
    <col min="14" max="14" width="23.21875" bestFit="1" customWidth="1"/>
    <col min="15" max="15" width="17.77734375" bestFit="1" customWidth="1"/>
    <col min="16" max="16" width="33.77734375" customWidth="1"/>
    <col min="17" max="17" width="31" bestFit="1" customWidth="1"/>
    <col min="18" max="18" width="26.88671875" bestFit="1" customWidth="1"/>
  </cols>
  <sheetData>
    <row r="3" spans="1:28" x14ac:dyDescent="0.3">
      <c r="A3" s="114" t="s">
        <v>0</v>
      </c>
      <c r="B3" s="114" t="s">
        <v>1</v>
      </c>
      <c r="C3" s="114" t="s">
        <v>3</v>
      </c>
      <c r="D3" t="s">
        <v>2351</v>
      </c>
      <c r="E3" t="s">
        <v>2339</v>
      </c>
      <c r="F3" t="s">
        <v>2342</v>
      </c>
      <c r="G3" t="s">
        <v>2343</v>
      </c>
      <c r="H3" t="s">
        <v>2344</v>
      </c>
      <c r="I3" t="s">
        <v>2345</v>
      </c>
      <c r="J3" t="s">
        <v>2346</v>
      </c>
      <c r="K3" t="s">
        <v>2341</v>
      </c>
      <c r="L3" t="s">
        <v>2347</v>
      </c>
      <c r="M3" t="s">
        <v>2348</v>
      </c>
      <c r="N3" t="s">
        <v>2349</v>
      </c>
      <c r="O3" t="s">
        <v>2350</v>
      </c>
      <c r="P3" t="s">
        <v>2340</v>
      </c>
      <c r="Q3" t="s">
        <v>2352</v>
      </c>
      <c r="R3" t="s">
        <v>2353</v>
      </c>
      <c r="S3" t="s">
        <v>2354</v>
      </c>
      <c r="T3" t="s">
        <v>2355</v>
      </c>
      <c r="U3" t="s">
        <v>2356</v>
      </c>
      <c r="V3" t="s">
        <v>2357</v>
      </c>
      <c r="W3" t="s">
        <v>2358</v>
      </c>
      <c r="X3" t="s">
        <v>2359</v>
      </c>
      <c r="Y3" t="s">
        <v>2360</v>
      </c>
      <c r="Z3" t="s">
        <v>2361</v>
      </c>
      <c r="AA3" t="s">
        <v>2362</v>
      </c>
      <c r="AB3" t="s">
        <v>2363</v>
      </c>
    </row>
    <row r="4" spans="1:28" x14ac:dyDescent="0.3">
      <c r="A4" t="s">
        <v>132</v>
      </c>
      <c r="B4" t="s">
        <v>256</v>
      </c>
      <c r="C4" t="s">
        <v>9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 s="5">
        <f t="shared" ref="Q4:Q35" si="0">GETPIVOTDATA("Count of Line Item #",$A$3,"File Name",$A4)/GETPIVOTDATA("Count of Purchase Order Number",$A$3,"File Name",$A4)</f>
        <v>1</v>
      </c>
      <c r="R4" s="5">
        <f t="shared" ref="R4:R35" si="1">GETPIVOTDATA("Count of Line Item #",$A$3,"File Name",$A4)/GETPIVOTDATA("Count of Supplier Order Number",$A$3,"File Name",$A4)</f>
        <v>1</v>
      </c>
      <c r="S4" s="5">
        <f t="shared" ref="S4:S35" si="2">GETPIVOTDATA("Count of Line Item #",$A$3,"File Name",$A4)/GETPIVOTDATA("Count of Order Date",$A$3,"File Name",$A4)</f>
        <v>1</v>
      </c>
      <c r="T4" s="5">
        <f t="shared" ref="T4:T35" si="3">GETPIVOTDATA("Count of Line Item #",$A$3,"File Name",$A4)/GETPIVOTDATA("Count of Supplier Name",$A$3,"File Name",$A4)</f>
        <v>1</v>
      </c>
      <c r="U4" s="5">
        <f t="shared" ref="U4:U35" si="4">GETPIVOTDATA("Count of Line Item #",$A$3,"File Name",$A4)/GETPIVOTDATA("Count of Customer Name",$A$3,"File Name",$A4)</f>
        <v>1</v>
      </c>
      <c r="V4" s="5">
        <f t="shared" ref="V4:V35" si="5">GETPIVOTDATA("Count of Line Item #",$A$3,"File Name",$A4)/GETPIVOTDATA("Count of Currency",$A$3,"File Name",$A4)</f>
        <v>1</v>
      </c>
      <c r="W4" s="5">
        <f t="shared" ref="W4:W35" si="6">GETPIVOTDATA("Count of Line Item #",$A$3,"File Name",$A4)/GETPIVOTDATA("Count of Article Number",$A$3,"File Name",$A4)</f>
        <v>1</v>
      </c>
      <c r="X4" s="5">
        <f t="shared" ref="X4:X35" si="7">GETPIVOTDATA("Count of Line Item #",$A$3,"File Name",$A4)/GETPIVOTDATA("Count of Item Description",$A$3,"File Name",$A4)</f>
        <v>1</v>
      </c>
      <c r="Y4" s="5">
        <f t="shared" ref="Y4:Y35" si="8">GETPIVOTDATA("Count of Line Item #",$A$3,"File Name",$A4)/GETPIVOTDATA("Count of Quantity",$A$3,"File Name",$A4)</f>
        <v>1</v>
      </c>
      <c r="Z4" s="5">
        <f t="shared" ref="Z4:Z35" si="9">GETPIVOTDATA("Count of Line Item #",$A$3,"File Name",$A4)/GETPIVOTDATA("Count of Unit of Measure",$A$3,"File Name",$A4)</f>
        <v>1</v>
      </c>
      <c r="AA4" s="5">
        <f t="shared" ref="AA4:AA35" si="10">GETPIVOTDATA("Count of Line Item #",$A$3,"File Name",$A4)/GETPIVOTDATA("Count of Unit Price",$A$3,"File Name",$A4)</f>
        <v>1</v>
      </c>
      <c r="AB4" s="5">
        <f t="shared" ref="AB4:AB35" si="11">GETPIVOTDATA("Count of Item Planned Delivery Date",$A$3,"File Name",$A4)/GETPIVOTDATA("Count of Line Item #",$A$3,"File Name",$A4)</f>
        <v>1</v>
      </c>
    </row>
    <row r="5" spans="1:28" x14ac:dyDescent="0.3">
      <c r="A5" t="s">
        <v>169</v>
      </c>
      <c r="B5" t="s">
        <v>256</v>
      </c>
      <c r="C5" t="s">
        <v>9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 s="5">
        <f t="shared" si="0"/>
        <v>1</v>
      </c>
      <c r="R5" s="5">
        <f t="shared" si="1"/>
        <v>1</v>
      </c>
      <c r="S5" s="5">
        <f t="shared" si="2"/>
        <v>1</v>
      </c>
      <c r="T5" s="5">
        <f t="shared" si="3"/>
        <v>1</v>
      </c>
      <c r="U5" s="5">
        <f t="shared" si="4"/>
        <v>1</v>
      </c>
      <c r="V5" s="5">
        <f t="shared" si="5"/>
        <v>1</v>
      </c>
      <c r="W5" s="5">
        <f t="shared" si="6"/>
        <v>1</v>
      </c>
      <c r="X5" s="5">
        <f t="shared" si="7"/>
        <v>1</v>
      </c>
      <c r="Y5" s="5">
        <f t="shared" si="8"/>
        <v>1</v>
      </c>
      <c r="Z5" s="5">
        <f t="shared" si="9"/>
        <v>1</v>
      </c>
      <c r="AA5" s="5">
        <f t="shared" si="10"/>
        <v>1</v>
      </c>
      <c r="AB5" s="5">
        <f t="shared" si="11"/>
        <v>1</v>
      </c>
    </row>
    <row r="6" spans="1:28" x14ac:dyDescent="0.3">
      <c r="A6" t="s">
        <v>139</v>
      </c>
      <c r="B6" t="s">
        <v>256</v>
      </c>
      <c r="C6" t="s">
        <v>9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 s="5">
        <f t="shared" si="0"/>
        <v>1</v>
      </c>
      <c r="R6" s="5">
        <f t="shared" si="1"/>
        <v>1</v>
      </c>
      <c r="S6" s="5">
        <f t="shared" si="2"/>
        <v>1</v>
      </c>
      <c r="T6" s="5">
        <f t="shared" si="3"/>
        <v>1</v>
      </c>
      <c r="U6" s="5">
        <f t="shared" si="4"/>
        <v>1</v>
      </c>
      <c r="V6" s="5">
        <f t="shared" si="5"/>
        <v>1</v>
      </c>
      <c r="W6" s="5">
        <f t="shared" si="6"/>
        <v>1</v>
      </c>
      <c r="X6" s="5">
        <f t="shared" si="7"/>
        <v>1</v>
      </c>
      <c r="Y6" s="5">
        <f t="shared" si="8"/>
        <v>1</v>
      </c>
      <c r="Z6" s="5">
        <f t="shared" si="9"/>
        <v>1</v>
      </c>
      <c r="AA6" s="5">
        <f t="shared" si="10"/>
        <v>1</v>
      </c>
      <c r="AB6" s="5">
        <f t="shared" si="11"/>
        <v>1</v>
      </c>
    </row>
    <row r="7" spans="1:28" x14ac:dyDescent="0.3">
      <c r="A7" t="s">
        <v>161</v>
      </c>
      <c r="B7" t="s">
        <v>256</v>
      </c>
      <c r="C7" t="s">
        <v>9</v>
      </c>
      <c r="D7">
        <v>21</v>
      </c>
      <c r="E7">
        <v>21</v>
      </c>
      <c r="F7">
        <v>21</v>
      </c>
      <c r="G7">
        <v>21</v>
      </c>
      <c r="H7">
        <v>21</v>
      </c>
      <c r="I7">
        <v>21</v>
      </c>
      <c r="J7">
        <v>21</v>
      </c>
      <c r="K7">
        <v>21</v>
      </c>
      <c r="L7">
        <v>21</v>
      </c>
      <c r="M7">
        <v>21</v>
      </c>
      <c r="N7">
        <v>21</v>
      </c>
      <c r="O7">
        <v>21</v>
      </c>
      <c r="P7">
        <v>21</v>
      </c>
      <c r="Q7" s="5">
        <f t="shared" si="0"/>
        <v>1</v>
      </c>
      <c r="R7" s="5">
        <f t="shared" si="1"/>
        <v>1</v>
      </c>
      <c r="S7" s="5">
        <f t="shared" si="2"/>
        <v>1</v>
      </c>
      <c r="T7" s="5">
        <f t="shared" si="3"/>
        <v>1</v>
      </c>
      <c r="U7" s="5">
        <f t="shared" si="4"/>
        <v>1</v>
      </c>
      <c r="V7" s="5">
        <f t="shared" si="5"/>
        <v>1</v>
      </c>
      <c r="W7" s="5">
        <f t="shared" si="6"/>
        <v>1</v>
      </c>
      <c r="X7" s="5">
        <f t="shared" si="7"/>
        <v>1</v>
      </c>
      <c r="Y7" s="5">
        <f t="shared" si="8"/>
        <v>1</v>
      </c>
      <c r="Z7" s="5">
        <f t="shared" si="9"/>
        <v>1</v>
      </c>
      <c r="AA7" s="5">
        <f t="shared" si="10"/>
        <v>1</v>
      </c>
      <c r="AB7" s="5">
        <f t="shared" si="11"/>
        <v>1</v>
      </c>
    </row>
    <row r="8" spans="1:28" x14ac:dyDescent="0.3">
      <c r="A8" t="s">
        <v>143</v>
      </c>
      <c r="B8" t="s">
        <v>256</v>
      </c>
      <c r="C8" t="s">
        <v>9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 s="5">
        <f t="shared" si="0"/>
        <v>1</v>
      </c>
      <c r="R8" s="5">
        <f t="shared" si="1"/>
        <v>1</v>
      </c>
      <c r="S8" s="5">
        <f t="shared" si="2"/>
        <v>1</v>
      </c>
      <c r="T8" s="5">
        <f t="shared" si="3"/>
        <v>1</v>
      </c>
      <c r="U8" s="5">
        <f t="shared" si="4"/>
        <v>1</v>
      </c>
      <c r="V8" s="5">
        <f t="shared" si="5"/>
        <v>1</v>
      </c>
      <c r="W8" s="5">
        <f t="shared" si="6"/>
        <v>1</v>
      </c>
      <c r="X8" s="5">
        <f t="shared" si="7"/>
        <v>1</v>
      </c>
      <c r="Y8" s="5">
        <f t="shared" si="8"/>
        <v>1</v>
      </c>
      <c r="Z8" s="5">
        <f t="shared" si="9"/>
        <v>1</v>
      </c>
      <c r="AA8" s="5">
        <f t="shared" si="10"/>
        <v>1</v>
      </c>
      <c r="AB8" s="5">
        <f t="shared" si="11"/>
        <v>1</v>
      </c>
    </row>
    <row r="9" spans="1:28" x14ac:dyDescent="0.3">
      <c r="A9" t="s">
        <v>173</v>
      </c>
      <c r="B9" t="s">
        <v>2364</v>
      </c>
      <c r="C9" t="s">
        <v>11</v>
      </c>
      <c r="Q9" s="5" t="e">
        <f t="shared" si="0"/>
        <v>#DIV/0!</v>
      </c>
      <c r="R9" s="5" t="e">
        <f t="shared" si="1"/>
        <v>#DIV/0!</v>
      </c>
      <c r="S9" s="5" t="e">
        <f t="shared" si="2"/>
        <v>#DIV/0!</v>
      </c>
      <c r="T9" s="5" t="e">
        <f t="shared" si="3"/>
        <v>#DIV/0!</v>
      </c>
      <c r="U9" s="5" t="e">
        <f t="shared" si="4"/>
        <v>#DIV/0!</v>
      </c>
      <c r="V9" s="5" t="e">
        <f t="shared" si="5"/>
        <v>#DIV/0!</v>
      </c>
      <c r="W9" s="5" t="e">
        <f t="shared" si="6"/>
        <v>#DIV/0!</v>
      </c>
      <c r="X9" s="5" t="e">
        <f t="shared" si="7"/>
        <v>#DIV/0!</v>
      </c>
      <c r="Y9" s="5" t="e">
        <f t="shared" si="8"/>
        <v>#DIV/0!</v>
      </c>
      <c r="Z9" s="5" t="e">
        <f t="shared" si="9"/>
        <v>#DIV/0!</v>
      </c>
      <c r="AA9" s="5" t="e">
        <f t="shared" si="10"/>
        <v>#DIV/0!</v>
      </c>
      <c r="AB9" s="5" t="e">
        <f t="shared" si="11"/>
        <v>#DIV/0!</v>
      </c>
    </row>
    <row r="10" spans="1:28" x14ac:dyDescent="0.3">
      <c r="A10" t="s">
        <v>129</v>
      </c>
      <c r="B10" t="s">
        <v>256</v>
      </c>
      <c r="C10" t="s">
        <v>9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1</v>
      </c>
      <c r="P10">
        <v>2</v>
      </c>
      <c r="Q10" s="5">
        <f t="shared" si="0"/>
        <v>1</v>
      </c>
      <c r="R10" s="5">
        <f t="shared" si="1"/>
        <v>1</v>
      </c>
      <c r="S10" s="5">
        <f t="shared" si="2"/>
        <v>1</v>
      </c>
      <c r="T10" s="5">
        <f t="shared" si="3"/>
        <v>1</v>
      </c>
      <c r="U10" s="5">
        <f t="shared" si="4"/>
        <v>1</v>
      </c>
      <c r="V10" s="5">
        <f t="shared" si="5"/>
        <v>1</v>
      </c>
      <c r="W10" s="5">
        <f t="shared" si="6"/>
        <v>1</v>
      </c>
      <c r="X10" s="5">
        <f t="shared" si="7"/>
        <v>1</v>
      </c>
      <c r="Y10" s="5">
        <f t="shared" si="8"/>
        <v>1</v>
      </c>
      <c r="Z10" s="5">
        <f t="shared" si="9"/>
        <v>1</v>
      </c>
      <c r="AA10" s="5">
        <f t="shared" si="10"/>
        <v>2</v>
      </c>
      <c r="AB10" s="5">
        <f t="shared" si="11"/>
        <v>1</v>
      </c>
    </row>
    <row r="11" spans="1:28" x14ac:dyDescent="0.3">
      <c r="A11" t="s">
        <v>170</v>
      </c>
      <c r="B11" t="s">
        <v>256</v>
      </c>
      <c r="C11" t="s">
        <v>9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Q11" s="5">
        <f t="shared" si="0"/>
        <v>1</v>
      </c>
      <c r="R11" s="5">
        <f t="shared" si="1"/>
        <v>1</v>
      </c>
      <c r="S11" s="5">
        <f t="shared" si="2"/>
        <v>1</v>
      </c>
      <c r="T11" s="5">
        <f t="shared" si="3"/>
        <v>1</v>
      </c>
      <c r="U11" s="5">
        <f t="shared" si="4"/>
        <v>1</v>
      </c>
      <c r="V11" s="5">
        <f t="shared" si="5"/>
        <v>1</v>
      </c>
      <c r="W11" s="5">
        <f t="shared" si="6"/>
        <v>1</v>
      </c>
      <c r="X11" s="5">
        <f t="shared" si="7"/>
        <v>1</v>
      </c>
      <c r="Y11" s="5">
        <f t="shared" si="8"/>
        <v>1</v>
      </c>
      <c r="Z11" s="5">
        <f t="shared" si="9"/>
        <v>1</v>
      </c>
      <c r="AA11" s="5">
        <f t="shared" si="10"/>
        <v>1</v>
      </c>
      <c r="AB11" s="5">
        <f t="shared" si="11"/>
        <v>0</v>
      </c>
    </row>
    <row r="12" spans="1:28" x14ac:dyDescent="0.3">
      <c r="A12" t="s">
        <v>106</v>
      </c>
      <c r="B12" t="s">
        <v>256</v>
      </c>
      <c r="C12" t="s">
        <v>9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Q12" s="5">
        <f t="shared" si="0"/>
        <v>1</v>
      </c>
      <c r="R12" s="5">
        <f t="shared" si="1"/>
        <v>1</v>
      </c>
      <c r="S12" s="5">
        <f t="shared" si="2"/>
        <v>1</v>
      </c>
      <c r="T12" s="5">
        <f t="shared" si="3"/>
        <v>1</v>
      </c>
      <c r="U12" s="5">
        <f t="shared" si="4"/>
        <v>1</v>
      </c>
      <c r="V12" s="5">
        <f t="shared" si="5"/>
        <v>1</v>
      </c>
      <c r="W12" s="5">
        <f t="shared" si="6"/>
        <v>1</v>
      </c>
      <c r="X12" s="5">
        <f t="shared" si="7"/>
        <v>1</v>
      </c>
      <c r="Y12" s="5">
        <f t="shared" si="8"/>
        <v>1</v>
      </c>
      <c r="Z12" s="5">
        <f t="shared" si="9"/>
        <v>1</v>
      </c>
      <c r="AA12" s="5">
        <f t="shared" si="10"/>
        <v>1</v>
      </c>
      <c r="AB12" s="5">
        <f t="shared" si="11"/>
        <v>0</v>
      </c>
    </row>
    <row r="13" spans="1:28" x14ac:dyDescent="0.3">
      <c r="A13" t="s">
        <v>136</v>
      </c>
      <c r="B13" t="s">
        <v>256</v>
      </c>
      <c r="C13" t="s">
        <v>9</v>
      </c>
      <c r="D13">
        <v>6</v>
      </c>
      <c r="E13">
        <v>6</v>
      </c>
      <c r="F13">
        <v>6</v>
      </c>
      <c r="G13">
        <v>6</v>
      </c>
      <c r="H13">
        <v>6</v>
      </c>
      <c r="I13">
        <v>6</v>
      </c>
      <c r="J13">
        <v>6</v>
      </c>
      <c r="K13">
        <v>6</v>
      </c>
      <c r="L13">
        <v>6</v>
      </c>
      <c r="M13">
        <v>6</v>
      </c>
      <c r="N13">
        <v>6</v>
      </c>
      <c r="O13">
        <v>3</v>
      </c>
      <c r="P13">
        <v>4</v>
      </c>
      <c r="Q13" s="5">
        <f t="shared" si="0"/>
        <v>1</v>
      </c>
      <c r="R13" s="5">
        <f t="shared" si="1"/>
        <v>1</v>
      </c>
      <c r="S13" s="5">
        <f t="shared" si="2"/>
        <v>1</v>
      </c>
      <c r="T13" s="5">
        <f t="shared" si="3"/>
        <v>1</v>
      </c>
      <c r="U13" s="5">
        <f t="shared" si="4"/>
        <v>1</v>
      </c>
      <c r="V13" s="5">
        <f t="shared" si="5"/>
        <v>1</v>
      </c>
      <c r="W13" s="5">
        <f t="shared" si="6"/>
        <v>1</v>
      </c>
      <c r="X13" s="5">
        <f t="shared" si="7"/>
        <v>1</v>
      </c>
      <c r="Y13" s="5">
        <f t="shared" si="8"/>
        <v>1</v>
      </c>
      <c r="Z13" s="5">
        <f t="shared" si="9"/>
        <v>1</v>
      </c>
      <c r="AA13" s="5">
        <f t="shared" si="10"/>
        <v>2</v>
      </c>
      <c r="AB13" s="5">
        <f t="shared" si="11"/>
        <v>0.66666666666666663</v>
      </c>
    </row>
    <row r="14" spans="1:28" x14ac:dyDescent="0.3">
      <c r="A14" t="s">
        <v>166</v>
      </c>
      <c r="B14" t="s">
        <v>256</v>
      </c>
      <c r="C14" t="s">
        <v>9</v>
      </c>
      <c r="D14">
        <v>88</v>
      </c>
      <c r="E14">
        <v>88</v>
      </c>
      <c r="F14">
        <v>88</v>
      </c>
      <c r="G14">
        <v>88</v>
      </c>
      <c r="H14">
        <v>88</v>
      </c>
      <c r="I14">
        <v>88</v>
      </c>
      <c r="J14">
        <v>88</v>
      </c>
      <c r="K14">
        <v>88</v>
      </c>
      <c r="L14">
        <v>88</v>
      </c>
      <c r="M14">
        <v>88</v>
      </c>
      <c r="N14">
        <v>88</v>
      </c>
      <c r="O14">
        <v>88</v>
      </c>
      <c r="P14">
        <v>84</v>
      </c>
      <c r="Q14" s="5">
        <f t="shared" si="0"/>
        <v>1</v>
      </c>
      <c r="R14" s="5">
        <f t="shared" si="1"/>
        <v>1</v>
      </c>
      <c r="S14" s="5">
        <f t="shared" si="2"/>
        <v>1</v>
      </c>
      <c r="T14" s="5">
        <f t="shared" si="3"/>
        <v>1</v>
      </c>
      <c r="U14" s="5">
        <f t="shared" si="4"/>
        <v>1</v>
      </c>
      <c r="V14" s="5">
        <f t="shared" si="5"/>
        <v>1</v>
      </c>
      <c r="W14" s="5">
        <f t="shared" si="6"/>
        <v>1</v>
      </c>
      <c r="X14" s="5">
        <f t="shared" si="7"/>
        <v>1</v>
      </c>
      <c r="Y14" s="5">
        <f t="shared" si="8"/>
        <v>1</v>
      </c>
      <c r="Z14" s="5">
        <f t="shared" si="9"/>
        <v>1</v>
      </c>
      <c r="AA14" s="5">
        <f t="shared" si="10"/>
        <v>1</v>
      </c>
      <c r="AB14" s="5">
        <f t="shared" si="11"/>
        <v>0.95454545454545459</v>
      </c>
    </row>
    <row r="15" spans="1:28" x14ac:dyDescent="0.3">
      <c r="A15" t="s">
        <v>128</v>
      </c>
      <c r="B15" t="s">
        <v>256</v>
      </c>
      <c r="C15" t="s">
        <v>9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 s="5">
        <f t="shared" si="0"/>
        <v>1</v>
      </c>
      <c r="R15" s="5">
        <f t="shared" si="1"/>
        <v>1</v>
      </c>
      <c r="S15" s="5">
        <f t="shared" si="2"/>
        <v>1</v>
      </c>
      <c r="T15" s="5">
        <f t="shared" si="3"/>
        <v>1</v>
      </c>
      <c r="U15" s="5">
        <f t="shared" si="4"/>
        <v>1</v>
      </c>
      <c r="V15" s="5">
        <f t="shared" si="5"/>
        <v>1</v>
      </c>
      <c r="W15" s="5">
        <f t="shared" si="6"/>
        <v>1</v>
      </c>
      <c r="X15" s="5">
        <f t="shared" si="7"/>
        <v>1</v>
      </c>
      <c r="Y15" s="5">
        <f t="shared" si="8"/>
        <v>1</v>
      </c>
      <c r="Z15" s="5">
        <f t="shared" si="9"/>
        <v>1</v>
      </c>
      <c r="AA15" s="5">
        <f t="shared" si="10"/>
        <v>1</v>
      </c>
      <c r="AB15" s="5">
        <f t="shared" si="11"/>
        <v>1</v>
      </c>
    </row>
    <row r="16" spans="1:28" x14ac:dyDescent="0.3">
      <c r="A16" t="s">
        <v>167</v>
      </c>
      <c r="B16" t="s">
        <v>256</v>
      </c>
      <c r="C16" t="s">
        <v>9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 s="5">
        <f t="shared" si="0"/>
        <v>1</v>
      </c>
      <c r="R16" s="5">
        <f t="shared" si="1"/>
        <v>1</v>
      </c>
      <c r="S16" s="5">
        <f t="shared" si="2"/>
        <v>1</v>
      </c>
      <c r="T16" s="5">
        <f t="shared" si="3"/>
        <v>1</v>
      </c>
      <c r="U16" s="5">
        <f t="shared" si="4"/>
        <v>1</v>
      </c>
      <c r="V16" s="5">
        <f t="shared" si="5"/>
        <v>1</v>
      </c>
      <c r="W16" s="5">
        <f t="shared" si="6"/>
        <v>1</v>
      </c>
      <c r="X16" s="5">
        <f t="shared" si="7"/>
        <v>1</v>
      </c>
      <c r="Y16" s="5">
        <f t="shared" si="8"/>
        <v>1</v>
      </c>
      <c r="Z16" s="5">
        <f t="shared" si="9"/>
        <v>1</v>
      </c>
      <c r="AA16" s="5">
        <f t="shared" si="10"/>
        <v>1</v>
      </c>
      <c r="AB16" s="5">
        <f t="shared" si="11"/>
        <v>1</v>
      </c>
    </row>
    <row r="17" spans="1:28" x14ac:dyDescent="0.3">
      <c r="A17" t="s">
        <v>144</v>
      </c>
      <c r="B17" t="s">
        <v>256</v>
      </c>
      <c r="C17" t="s">
        <v>9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Q17" s="5">
        <f t="shared" si="0"/>
        <v>1</v>
      </c>
      <c r="R17" s="5">
        <f t="shared" si="1"/>
        <v>1</v>
      </c>
      <c r="S17" s="5">
        <f t="shared" si="2"/>
        <v>1</v>
      </c>
      <c r="T17" s="5">
        <f t="shared" si="3"/>
        <v>1</v>
      </c>
      <c r="U17" s="5">
        <f t="shared" si="4"/>
        <v>1</v>
      </c>
      <c r="V17" s="5">
        <f t="shared" si="5"/>
        <v>1</v>
      </c>
      <c r="W17" s="5">
        <f t="shared" si="6"/>
        <v>1</v>
      </c>
      <c r="X17" s="5">
        <f t="shared" si="7"/>
        <v>1</v>
      </c>
      <c r="Y17" s="5">
        <f t="shared" si="8"/>
        <v>1</v>
      </c>
      <c r="Z17" s="5">
        <f t="shared" si="9"/>
        <v>1</v>
      </c>
      <c r="AA17" s="5">
        <f t="shared" si="10"/>
        <v>1</v>
      </c>
      <c r="AB17" s="5">
        <f t="shared" si="11"/>
        <v>0</v>
      </c>
    </row>
    <row r="18" spans="1:28" x14ac:dyDescent="0.3">
      <c r="A18" t="s">
        <v>163</v>
      </c>
      <c r="B18" t="s">
        <v>256</v>
      </c>
      <c r="C18" t="s">
        <v>9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Q18" s="5">
        <f t="shared" si="0"/>
        <v>1</v>
      </c>
      <c r="R18" s="5">
        <f t="shared" si="1"/>
        <v>1</v>
      </c>
      <c r="S18" s="5">
        <f t="shared" si="2"/>
        <v>1</v>
      </c>
      <c r="T18" s="5">
        <f t="shared" si="3"/>
        <v>1</v>
      </c>
      <c r="U18" s="5">
        <f t="shared" si="4"/>
        <v>1</v>
      </c>
      <c r="V18" s="5">
        <f t="shared" si="5"/>
        <v>1</v>
      </c>
      <c r="W18" s="5">
        <f t="shared" si="6"/>
        <v>1</v>
      </c>
      <c r="X18" s="5">
        <f t="shared" si="7"/>
        <v>1</v>
      </c>
      <c r="Y18" s="5">
        <f t="shared" si="8"/>
        <v>1</v>
      </c>
      <c r="Z18" s="5">
        <f t="shared" si="9"/>
        <v>1</v>
      </c>
      <c r="AA18" s="5">
        <f t="shared" si="10"/>
        <v>1</v>
      </c>
      <c r="AB18" s="5">
        <f t="shared" si="11"/>
        <v>0</v>
      </c>
    </row>
    <row r="19" spans="1:28" x14ac:dyDescent="0.3">
      <c r="A19" t="s">
        <v>159</v>
      </c>
      <c r="B19" t="s">
        <v>256</v>
      </c>
      <c r="C19" t="s">
        <v>9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Q19" s="5">
        <f t="shared" si="0"/>
        <v>1</v>
      </c>
      <c r="R19" s="5">
        <f t="shared" si="1"/>
        <v>1</v>
      </c>
      <c r="S19" s="5">
        <f t="shared" si="2"/>
        <v>1</v>
      </c>
      <c r="T19" s="5">
        <f t="shared" si="3"/>
        <v>1</v>
      </c>
      <c r="U19" s="5">
        <f t="shared" si="4"/>
        <v>1</v>
      </c>
      <c r="V19" s="5">
        <f t="shared" si="5"/>
        <v>1</v>
      </c>
      <c r="W19" s="5">
        <f t="shared" si="6"/>
        <v>1</v>
      </c>
      <c r="X19" s="5">
        <f t="shared" si="7"/>
        <v>1</v>
      </c>
      <c r="Y19" s="5">
        <f t="shared" si="8"/>
        <v>1</v>
      </c>
      <c r="Z19" s="5">
        <f t="shared" si="9"/>
        <v>1</v>
      </c>
      <c r="AA19" s="5">
        <f t="shared" si="10"/>
        <v>1</v>
      </c>
      <c r="AB19" s="5">
        <f t="shared" si="11"/>
        <v>0</v>
      </c>
    </row>
    <row r="20" spans="1:28" x14ac:dyDescent="0.3">
      <c r="A20" t="s">
        <v>185</v>
      </c>
      <c r="B20" t="s">
        <v>256</v>
      </c>
      <c r="C20" t="s">
        <v>9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 s="5">
        <f t="shared" si="0"/>
        <v>1</v>
      </c>
      <c r="R20" s="5">
        <f t="shared" si="1"/>
        <v>1</v>
      </c>
      <c r="S20" s="5">
        <f t="shared" si="2"/>
        <v>1</v>
      </c>
      <c r="T20" s="5">
        <f t="shared" si="3"/>
        <v>1</v>
      </c>
      <c r="U20" s="5">
        <f t="shared" si="4"/>
        <v>1</v>
      </c>
      <c r="V20" s="5">
        <f t="shared" si="5"/>
        <v>1</v>
      </c>
      <c r="W20" s="5">
        <f t="shared" si="6"/>
        <v>1</v>
      </c>
      <c r="X20" s="5">
        <f t="shared" si="7"/>
        <v>1</v>
      </c>
      <c r="Y20" s="5">
        <f t="shared" si="8"/>
        <v>1</v>
      </c>
      <c r="Z20" s="5">
        <f t="shared" si="9"/>
        <v>1</v>
      </c>
      <c r="AA20" s="5">
        <f t="shared" si="10"/>
        <v>1</v>
      </c>
      <c r="AB20" s="5">
        <f t="shared" si="11"/>
        <v>1</v>
      </c>
    </row>
    <row r="21" spans="1:28" x14ac:dyDescent="0.3">
      <c r="A21" t="s">
        <v>172</v>
      </c>
      <c r="B21" t="s">
        <v>256</v>
      </c>
      <c r="C21" t="s">
        <v>9</v>
      </c>
      <c r="D21">
        <v>29</v>
      </c>
      <c r="E21">
        <v>29</v>
      </c>
      <c r="F21">
        <v>29</v>
      </c>
      <c r="G21">
        <v>29</v>
      </c>
      <c r="H21">
        <v>29</v>
      </c>
      <c r="I21">
        <v>29</v>
      </c>
      <c r="J21">
        <v>29</v>
      </c>
      <c r="K21">
        <v>29</v>
      </c>
      <c r="L21">
        <v>29</v>
      </c>
      <c r="M21">
        <v>29</v>
      </c>
      <c r="O21">
        <v>29</v>
      </c>
      <c r="P21">
        <v>29</v>
      </c>
      <c r="Q21" s="5">
        <f t="shared" si="0"/>
        <v>1</v>
      </c>
      <c r="R21" s="5">
        <f t="shared" si="1"/>
        <v>1</v>
      </c>
      <c r="S21" s="5">
        <f t="shared" si="2"/>
        <v>1</v>
      </c>
      <c r="T21" s="5">
        <f t="shared" si="3"/>
        <v>1</v>
      </c>
      <c r="U21" s="5">
        <f t="shared" si="4"/>
        <v>1</v>
      </c>
      <c r="V21" s="5">
        <f t="shared" si="5"/>
        <v>1</v>
      </c>
      <c r="W21" s="5">
        <f t="shared" si="6"/>
        <v>1</v>
      </c>
      <c r="X21" s="5">
        <f t="shared" si="7"/>
        <v>1</v>
      </c>
      <c r="Y21" s="5">
        <f t="shared" si="8"/>
        <v>1</v>
      </c>
      <c r="Z21" s="5" t="e">
        <f t="shared" si="9"/>
        <v>#DIV/0!</v>
      </c>
      <c r="AA21" s="5">
        <f t="shared" si="10"/>
        <v>1</v>
      </c>
      <c r="AB21" s="5">
        <f t="shared" si="11"/>
        <v>1</v>
      </c>
    </row>
    <row r="22" spans="1:28" x14ac:dyDescent="0.3">
      <c r="A22" t="s">
        <v>152</v>
      </c>
      <c r="B22" t="s">
        <v>256</v>
      </c>
      <c r="C22" t="s">
        <v>9</v>
      </c>
      <c r="D22">
        <v>11</v>
      </c>
      <c r="E22">
        <v>11</v>
      </c>
      <c r="F22">
        <v>11</v>
      </c>
      <c r="G22">
        <v>11</v>
      </c>
      <c r="H22">
        <v>11</v>
      </c>
      <c r="I22">
        <v>11</v>
      </c>
      <c r="J22">
        <v>11</v>
      </c>
      <c r="K22">
        <v>11</v>
      </c>
      <c r="L22">
        <v>11</v>
      </c>
      <c r="M22">
        <v>11</v>
      </c>
      <c r="O22">
        <v>11</v>
      </c>
      <c r="P22">
        <v>11</v>
      </c>
      <c r="Q22" s="5">
        <f t="shared" si="0"/>
        <v>1</v>
      </c>
      <c r="R22" s="5">
        <f t="shared" si="1"/>
        <v>1</v>
      </c>
      <c r="S22" s="5">
        <f t="shared" si="2"/>
        <v>1</v>
      </c>
      <c r="T22" s="5">
        <f t="shared" si="3"/>
        <v>1</v>
      </c>
      <c r="U22" s="5">
        <f t="shared" si="4"/>
        <v>1</v>
      </c>
      <c r="V22" s="5">
        <f t="shared" si="5"/>
        <v>1</v>
      </c>
      <c r="W22" s="5">
        <f t="shared" si="6"/>
        <v>1</v>
      </c>
      <c r="X22" s="5">
        <f t="shared" si="7"/>
        <v>1</v>
      </c>
      <c r="Y22" s="5">
        <f t="shared" si="8"/>
        <v>1</v>
      </c>
      <c r="Z22" s="5" t="e">
        <f t="shared" si="9"/>
        <v>#DIV/0!</v>
      </c>
      <c r="AA22" s="5">
        <f t="shared" si="10"/>
        <v>1</v>
      </c>
      <c r="AB22" s="5">
        <f t="shared" si="11"/>
        <v>1</v>
      </c>
    </row>
    <row r="23" spans="1:28" x14ac:dyDescent="0.3">
      <c r="A23" t="s">
        <v>142</v>
      </c>
      <c r="B23" t="s">
        <v>256</v>
      </c>
      <c r="C23" t="s">
        <v>9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M23">
        <v>1</v>
      </c>
      <c r="O23">
        <v>1</v>
      </c>
      <c r="P23">
        <v>1</v>
      </c>
      <c r="Q23" s="5">
        <f t="shared" si="0"/>
        <v>1</v>
      </c>
      <c r="R23" s="5">
        <f t="shared" si="1"/>
        <v>1</v>
      </c>
      <c r="S23" s="5">
        <f t="shared" si="2"/>
        <v>1</v>
      </c>
      <c r="T23" s="5">
        <f t="shared" si="3"/>
        <v>1</v>
      </c>
      <c r="U23" s="5">
        <f t="shared" si="4"/>
        <v>1</v>
      </c>
      <c r="V23" s="5">
        <f t="shared" si="5"/>
        <v>1</v>
      </c>
      <c r="W23" s="5">
        <f t="shared" si="6"/>
        <v>1</v>
      </c>
      <c r="X23" s="5" t="e">
        <f t="shared" si="7"/>
        <v>#DIV/0!</v>
      </c>
      <c r="Y23" s="5">
        <f t="shared" si="8"/>
        <v>1</v>
      </c>
      <c r="Z23" s="5" t="e">
        <f t="shared" si="9"/>
        <v>#DIV/0!</v>
      </c>
      <c r="AA23" s="5">
        <f t="shared" si="10"/>
        <v>1</v>
      </c>
      <c r="AB23" s="5">
        <f t="shared" si="11"/>
        <v>1</v>
      </c>
    </row>
    <row r="24" spans="1:28" x14ac:dyDescent="0.3">
      <c r="A24" t="s">
        <v>121</v>
      </c>
      <c r="B24" t="s">
        <v>256</v>
      </c>
      <c r="C24" t="s">
        <v>9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K24">
        <v>1</v>
      </c>
      <c r="L24">
        <v>1</v>
      </c>
      <c r="M24">
        <v>1</v>
      </c>
      <c r="P24">
        <v>1</v>
      </c>
      <c r="Q24" s="5" t="e">
        <f t="shared" si="0"/>
        <v>#REF!</v>
      </c>
      <c r="R24" s="5" t="e">
        <f t="shared" si="1"/>
        <v>#REF!</v>
      </c>
      <c r="S24" s="5" t="e">
        <f t="shared" si="2"/>
        <v>#REF!</v>
      </c>
      <c r="T24" s="5" t="e">
        <f t="shared" si="3"/>
        <v>#REF!</v>
      </c>
      <c r="U24" s="5" t="e">
        <f t="shared" si="4"/>
        <v>#REF!</v>
      </c>
      <c r="V24" s="5" t="e">
        <f t="shared" si="5"/>
        <v>#REF!</v>
      </c>
      <c r="W24" s="5" t="e">
        <f t="shared" si="6"/>
        <v>#REF!</v>
      </c>
      <c r="X24" s="5" t="e">
        <f t="shared" si="7"/>
        <v>#REF!</v>
      </c>
      <c r="Y24" s="5" t="e">
        <f t="shared" si="8"/>
        <v>#REF!</v>
      </c>
      <c r="Z24" s="5" t="e">
        <f t="shared" si="9"/>
        <v>#REF!</v>
      </c>
      <c r="AA24" s="5" t="e">
        <f t="shared" si="10"/>
        <v>#REF!</v>
      </c>
      <c r="AB24" s="5" t="e">
        <f t="shared" si="11"/>
        <v>#REF!</v>
      </c>
    </row>
    <row r="25" spans="1:28" x14ac:dyDescent="0.3">
      <c r="A25" t="s">
        <v>121</v>
      </c>
      <c r="B25" t="s">
        <v>256</v>
      </c>
      <c r="C25" t="s">
        <v>11</v>
      </c>
      <c r="Q25" s="5" t="e">
        <f t="shared" si="0"/>
        <v>#REF!</v>
      </c>
      <c r="R25" s="5" t="e">
        <f t="shared" si="1"/>
        <v>#REF!</v>
      </c>
      <c r="S25" s="5" t="e">
        <f t="shared" si="2"/>
        <v>#REF!</v>
      </c>
      <c r="T25" s="5" t="e">
        <f t="shared" si="3"/>
        <v>#REF!</v>
      </c>
      <c r="U25" s="5" t="e">
        <f t="shared" si="4"/>
        <v>#REF!</v>
      </c>
      <c r="V25" s="5" t="e">
        <f t="shared" si="5"/>
        <v>#REF!</v>
      </c>
      <c r="W25" s="5" t="e">
        <f t="shared" si="6"/>
        <v>#REF!</v>
      </c>
      <c r="X25" s="5" t="e">
        <f t="shared" si="7"/>
        <v>#REF!</v>
      </c>
      <c r="Y25" s="5" t="e">
        <f t="shared" si="8"/>
        <v>#REF!</v>
      </c>
      <c r="Z25" s="5" t="e">
        <f t="shared" si="9"/>
        <v>#REF!</v>
      </c>
      <c r="AA25" s="5" t="e">
        <f t="shared" si="10"/>
        <v>#REF!</v>
      </c>
      <c r="AB25" s="5" t="e">
        <f t="shared" si="11"/>
        <v>#REF!</v>
      </c>
    </row>
    <row r="26" spans="1:28" x14ac:dyDescent="0.3">
      <c r="A26" t="s">
        <v>121</v>
      </c>
      <c r="B26" t="s">
        <v>2364</v>
      </c>
      <c r="C26" t="s">
        <v>11</v>
      </c>
      <c r="Q26" s="5" t="e">
        <f t="shared" si="0"/>
        <v>#REF!</v>
      </c>
      <c r="R26" s="5" t="e">
        <f t="shared" si="1"/>
        <v>#REF!</v>
      </c>
      <c r="S26" s="5" t="e">
        <f t="shared" si="2"/>
        <v>#REF!</v>
      </c>
      <c r="T26" s="5" t="e">
        <f t="shared" si="3"/>
        <v>#REF!</v>
      </c>
      <c r="U26" s="5" t="e">
        <f t="shared" si="4"/>
        <v>#REF!</v>
      </c>
      <c r="V26" s="5" t="e">
        <f t="shared" si="5"/>
        <v>#REF!</v>
      </c>
      <c r="W26" s="5" t="e">
        <f t="shared" si="6"/>
        <v>#REF!</v>
      </c>
      <c r="X26" s="5" t="e">
        <f t="shared" si="7"/>
        <v>#REF!</v>
      </c>
      <c r="Y26" s="5" t="e">
        <f t="shared" si="8"/>
        <v>#REF!</v>
      </c>
      <c r="Z26" s="5" t="e">
        <f t="shared" si="9"/>
        <v>#REF!</v>
      </c>
      <c r="AA26" s="5" t="e">
        <f t="shared" si="10"/>
        <v>#REF!</v>
      </c>
      <c r="AB26" s="5" t="e">
        <f t="shared" si="11"/>
        <v>#REF!</v>
      </c>
    </row>
    <row r="27" spans="1:28" x14ac:dyDescent="0.3">
      <c r="A27" t="s">
        <v>181</v>
      </c>
      <c r="B27" t="s">
        <v>256</v>
      </c>
      <c r="C27" t="s">
        <v>9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 s="5">
        <f t="shared" si="0"/>
        <v>1</v>
      </c>
      <c r="R27" s="5">
        <f t="shared" si="1"/>
        <v>1</v>
      </c>
      <c r="S27" s="5">
        <f t="shared" si="2"/>
        <v>1</v>
      </c>
      <c r="T27" s="5">
        <f t="shared" si="3"/>
        <v>1</v>
      </c>
      <c r="U27" s="5">
        <f t="shared" si="4"/>
        <v>1</v>
      </c>
      <c r="V27" s="5">
        <f t="shared" si="5"/>
        <v>1</v>
      </c>
      <c r="W27" s="5">
        <f t="shared" si="6"/>
        <v>1</v>
      </c>
      <c r="X27" s="5">
        <f t="shared" si="7"/>
        <v>1</v>
      </c>
      <c r="Y27" s="5">
        <f t="shared" si="8"/>
        <v>1</v>
      </c>
      <c r="Z27" s="5">
        <f t="shared" si="9"/>
        <v>1</v>
      </c>
      <c r="AA27" s="5">
        <f t="shared" si="10"/>
        <v>1</v>
      </c>
      <c r="AB27" s="5">
        <f t="shared" si="11"/>
        <v>1</v>
      </c>
    </row>
    <row r="28" spans="1:28" x14ac:dyDescent="0.3">
      <c r="A28" t="s">
        <v>120</v>
      </c>
      <c r="B28" t="s">
        <v>256</v>
      </c>
      <c r="C28" t="s">
        <v>9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 s="5">
        <f t="shared" si="0"/>
        <v>1</v>
      </c>
      <c r="R28" s="5">
        <f t="shared" si="1"/>
        <v>1</v>
      </c>
      <c r="S28" s="5">
        <f t="shared" si="2"/>
        <v>1</v>
      </c>
      <c r="T28" s="5">
        <f t="shared" si="3"/>
        <v>1</v>
      </c>
      <c r="U28" s="5">
        <f t="shared" si="4"/>
        <v>1</v>
      </c>
      <c r="V28" s="5">
        <f t="shared" si="5"/>
        <v>1</v>
      </c>
      <c r="W28" s="5">
        <f t="shared" si="6"/>
        <v>1</v>
      </c>
      <c r="X28" s="5">
        <f t="shared" si="7"/>
        <v>1</v>
      </c>
      <c r="Y28" s="5">
        <f t="shared" si="8"/>
        <v>1</v>
      </c>
      <c r="Z28" s="5">
        <f t="shared" si="9"/>
        <v>1</v>
      </c>
      <c r="AA28" s="5">
        <f t="shared" si="10"/>
        <v>1</v>
      </c>
      <c r="AB28" s="5">
        <f t="shared" si="11"/>
        <v>1</v>
      </c>
    </row>
    <row r="29" spans="1:28" x14ac:dyDescent="0.3">
      <c r="A29" t="s">
        <v>145</v>
      </c>
      <c r="B29" t="s">
        <v>256</v>
      </c>
      <c r="C29" t="s">
        <v>9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 s="5">
        <f t="shared" si="0"/>
        <v>1</v>
      </c>
      <c r="R29" s="5">
        <f t="shared" si="1"/>
        <v>1</v>
      </c>
      <c r="S29" s="5">
        <f t="shared" si="2"/>
        <v>1</v>
      </c>
      <c r="T29" s="5">
        <f t="shared" si="3"/>
        <v>1</v>
      </c>
      <c r="U29" s="5">
        <f t="shared" si="4"/>
        <v>1</v>
      </c>
      <c r="V29" s="5">
        <f t="shared" si="5"/>
        <v>1</v>
      </c>
      <c r="W29" s="5">
        <f t="shared" si="6"/>
        <v>1</v>
      </c>
      <c r="X29" s="5">
        <f t="shared" si="7"/>
        <v>1</v>
      </c>
      <c r="Y29" s="5">
        <f t="shared" si="8"/>
        <v>1</v>
      </c>
      <c r="Z29" s="5">
        <f t="shared" si="9"/>
        <v>1</v>
      </c>
      <c r="AA29" s="5">
        <f t="shared" si="10"/>
        <v>1</v>
      </c>
      <c r="AB29" s="5">
        <f t="shared" si="11"/>
        <v>1</v>
      </c>
    </row>
    <row r="30" spans="1:28" x14ac:dyDescent="0.3">
      <c r="A30" t="s">
        <v>182</v>
      </c>
      <c r="B30" t="s">
        <v>256</v>
      </c>
      <c r="C30" t="s">
        <v>9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 s="5">
        <f t="shared" si="0"/>
        <v>1</v>
      </c>
      <c r="R30" s="5">
        <f t="shared" si="1"/>
        <v>1</v>
      </c>
      <c r="S30" s="5">
        <f t="shared" si="2"/>
        <v>1</v>
      </c>
      <c r="T30" s="5">
        <f t="shared" si="3"/>
        <v>1</v>
      </c>
      <c r="U30" s="5">
        <f t="shared" si="4"/>
        <v>1</v>
      </c>
      <c r="V30" s="5">
        <f t="shared" si="5"/>
        <v>1</v>
      </c>
      <c r="W30" s="5">
        <f t="shared" si="6"/>
        <v>1</v>
      </c>
      <c r="X30" s="5">
        <f t="shared" si="7"/>
        <v>1</v>
      </c>
      <c r="Y30" s="5">
        <f t="shared" si="8"/>
        <v>1</v>
      </c>
      <c r="Z30" s="5">
        <f t="shared" si="9"/>
        <v>1</v>
      </c>
      <c r="AA30" s="5">
        <f t="shared" si="10"/>
        <v>1</v>
      </c>
      <c r="AB30" s="5">
        <f t="shared" si="11"/>
        <v>1</v>
      </c>
    </row>
    <row r="31" spans="1:28" x14ac:dyDescent="0.3">
      <c r="A31" t="s">
        <v>151</v>
      </c>
      <c r="B31" t="s">
        <v>256</v>
      </c>
      <c r="C31" t="s">
        <v>9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 s="5">
        <f t="shared" si="0"/>
        <v>1</v>
      </c>
      <c r="R31" s="5">
        <f t="shared" si="1"/>
        <v>1</v>
      </c>
      <c r="S31" s="5">
        <f t="shared" si="2"/>
        <v>1</v>
      </c>
      <c r="T31" s="5">
        <f t="shared" si="3"/>
        <v>1</v>
      </c>
      <c r="U31" s="5">
        <f t="shared" si="4"/>
        <v>1</v>
      </c>
      <c r="V31" s="5">
        <f t="shared" si="5"/>
        <v>1</v>
      </c>
      <c r="W31" s="5">
        <f t="shared" si="6"/>
        <v>1</v>
      </c>
      <c r="X31" s="5">
        <f t="shared" si="7"/>
        <v>1</v>
      </c>
      <c r="Y31" s="5">
        <f t="shared" si="8"/>
        <v>1</v>
      </c>
      <c r="Z31" s="5">
        <f t="shared" si="9"/>
        <v>1</v>
      </c>
      <c r="AA31" s="5">
        <f t="shared" si="10"/>
        <v>1</v>
      </c>
      <c r="AB31" s="5">
        <f t="shared" si="11"/>
        <v>1</v>
      </c>
    </row>
    <row r="32" spans="1:28" x14ac:dyDescent="0.3">
      <c r="A32" t="s">
        <v>171</v>
      </c>
      <c r="B32" t="s">
        <v>256</v>
      </c>
      <c r="C32" t="s">
        <v>9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 s="5">
        <f t="shared" si="0"/>
        <v>1</v>
      </c>
      <c r="R32" s="5">
        <f t="shared" si="1"/>
        <v>1</v>
      </c>
      <c r="S32" s="5">
        <f t="shared" si="2"/>
        <v>1</v>
      </c>
      <c r="T32" s="5">
        <f t="shared" si="3"/>
        <v>1</v>
      </c>
      <c r="U32" s="5">
        <f t="shared" si="4"/>
        <v>1</v>
      </c>
      <c r="V32" s="5">
        <f t="shared" si="5"/>
        <v>1</v>
      </c>
      <c r="W32" s="5">
        <f t="shared" si="6"/>
        <v>1</v>
      </c>
      <c r="X32" s="5">
        <f t="shared" si="7"/>
        <v>1</v>
      </c>
      <c r="Y32" s="5">
        <f t="shared" si="8"/>
        <v>1</v>
      </c>
      <c r="Z32" s="5">
        <f t="shared" si="9"/>
        <v>1</v>
      </c>
      <c r="AA32" s="5">
        <f t="shared" si="10"/>
        <v>1</v>
      </c>
      <c r="AB32" s="5">
        <f t="shared" si="11"/>
        <v>1</v>
      </c>
    </row>
    <row r="33" spans="1:28" x14ac:dyDescent="0.3">
      <c r="A33" t="s">
        <v>113</v>
      </c>
      <c r="B33" t="s">
        <v>256</v>
      </c>
      <c r="C33" t="s">
        <v>9</v>
      </c>
      <c r="D33">
        <v>11</v>
      </c>
      <c r="E33">
        <v>11</v>
      </c>
      <c r="F33">
        <v>11</v>
      </c>
      <c r="G33">
        <v>11</v>
      </c>
      <c r="H33">
        <v>11</v>
      </c>
      <c r="I33">
        <v>11</v>
      </c>
      <c r="J33">
        <v>11</v>
      </c>
      <c r="K33">
        <v>11</v>
      </c>
      <c r="L33">
        <v>11</v>
      </c>
      <c r="M33">
        <v>11</v>
      </c>
      <c r="N33">
        <v>11</v>
      </c>
      <c r="O33">
        <v>11</v>
      </c>
      <c r="P33">
        <v>11</v>
      </c>
      <c r="Q33" s="5">
        <f t="shared" si="0"/>
        <v>1</v>
      </c>
      <c r="R33" s="5">
        <f t="shared" si="1"/>
        <v>1</v>
      </c>
      <c r="S33" s="5">
        <f t="shared" si="2"/>
        <v>1</v>
      </c>
      <c r="T33" s="5">
        <f t="shared" si="3"/>
        <v>1</v>
      </c>
      <c r="U33" s="5">
        <f t="shared" si="4"/>
        <v>1</v>
      </c>
      <c r="V33" s="5">
        <f t="shared" si="5"/>
        <v>1</v>
      </c>
      <c r="W33" s="5">
        <f t="shared" si="6"/>
        <v>1</v>
      </c>
      <c r="X33" s="5">
        <f t="shared" si="7"/>
        <v>1</v>
      </c>
      <c r="Y33" s="5">
        <f t="shared" si="8"/>
        <v>1</v>
      </c>
      <c r="Z33" s="5">
        <f t="shared" si="9"/>
        <v>1</v>
      </c>
      <c r="AA33" s="5">
        <f t="shared" si="10"/>
        <v>1</v>
      </c>
      <c r="AB33" s="5">
        <f t="shared" si="11"/>
        <v>1</v>
      </c>
    </row>
    <row r="34" spans="1:28" x14ac:dyDescent="0.3">
      <c r="A34" t="s">
        <v>134</v>
      </c>
      <c r="B34" t="s">
        <v>256</v>
      </c>
      <c r="C34" t="s">
        <v>9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 s="5">
        <f t="shared" si="0"/>
        <v>1</v>
      </c>
      <c r="R34" s="5">
        <f t="shared" si="1"/>
        <v>1</v>
      </c>
      <c r="S34" s="5">
        <f t="shared" si="2"/>
        <v>1</v>
      </c>
      <c r="T34" s="5">
        <f t="shared" si="3"/>
        <v>1</v>
      </c>
      <c r="U34" s="5">
        <f t="shared" si="4"/>
        <v>1</v>
      </c>
      <c r="V34" s="5">
        <f t="shared" si="5"/>
        <v>1</v>
      </c>
      <c r="W34" s="5">
        <f t="shared" si="6"/>
        <v>1</v>
      </c>
      <c r="X34" s="5">
        <f t="shared" si="7"/>
        <v>1</v>
      </c>
      <c r="Y34" s="5">
        <f t="shared" si="8"/>
        <v>1</v>
      </c>
      <c r="Z34" s="5">
        <f t="shared" si="9"/>
        <v>1</v>
      </c>
      <c r="AA34" s="5">
        <f t="shared" si="10"/>
        <v>1</v>
      </c>
      <c r="AB34" s="5">
        <f t="shared" si="11"/>
        <v>1</v>
      </c>
    </row>
    <row r="35" spans="1:28" x14ac:dyDescent="0.3">
      <c r="A35" t="s">
        <v>125</v>
      </c>
      <c r="B35" t="s">
        <v>256</v>
      </c>
      <c r="C35" t="s">
        <v>11</v>
      </c>
      <c r="Q35" s="5" t="e">
        <f t="shared" si="0"/>
        <v>#DIV/0!</v>
      </c>
      <c r="R35" s="5" t="e">
        <f t="shared" si="1"/>
        <v>#DIV/0!</v>
      </c>
      <c r="S35" s="5" t="e">
        <f t="shared" si="2"/>
        <v>#DIV/0!</v>
      </c>
      <c r="T35" s="5" t="e">
        <f t="shared" si="3"/>
        <v>#DIV/0!</v>
      </c>
      <c r="U35" s="5" t="e">
        <f t="shared" si="4"/>
        <v>#DIV/0!</v>
      </c>
      <c r="V35" s="5" t="e">
        <f t="shared" si="5"/>
        <v>#DIV/0!</v>
      </c>
      <c r="W35" s="5" t="e">
        <f t="shared" si="6"/>
        <v>#DIV/0!</v>
      </c>
      <c r="X35" s="5" t="e">
        <f t="shared" si="7"/>
        <v>#DIV/0!</v>
      </c>
      <c r="Y35" s="5" t="e">
        <f t="shared" si="8"/>
        <v>#DIV/0!</v>
      </c>
      <c r="Z35" s="5" t="e">
        <f t="shared" si="9"/>
        <v>#DIV/0!</v>
      </c>
      <c r="AA35" s="5" t="e">
        <f t="shared" si="10"/>
        <v>#DIV/0!</v>
      </c>
      <c r="AB35" s="5" t="e">
        <f t="shared" si="11"/>
        <v>#DIV/0!</v>
      </c>
    </row>
    <row r="36" spans="1:28" x14ac:dyDescent="0.3">
      <c r="A36" t="s">
        <v>111</v>
      </c>
      <c r="B36" t="s">
        <v>256</v>
      </c>
      <c r="C36" t="s">
        <v>9</v>
      </c>
      <c r="D36">
        <v>30</v>
      </c>
      <c r="E36">
        <v>30</v>
      </c>
      <c r="F36">
        <v>30</v>
      </c>
      <c r="G36">
        <v>30</v>
      </c>
      <c r="H36">
        <v>30</v>
      </c>
      <c r="I36">
        <v>30</v>
      </c>
      <c r="J36">
        <v>30</v>
      </c>
      <c r="K36">
        <v>30</v>
      </c>
      <c r="L36">
        <v>30</v>
      </c>
      <c r="M36">
        <v>30</v>
      </c>
      <c r="N36">
        <v>30</v>
      </c>
      <c r="O36">
        <v>30</v>
      </c>
      <c r="P36">
        <v>30</v>
      </c>
      <c r="Q36" s="5">
        <f t="shared" ref="Q36:Q67" si="12">GETPIVOTDATA("Count of Line Item #",$A$3,"File Name",$A36)/GETPIVOTDATA("Count of Purchase Order Number",$A$3,"File Name",$A36)</f>
        <v>1</v>
      </c>
      <c r="R36" s="5">
        <f t="shared" ref="R36:R67" si="13">GETPIVOTDATA("Count of Line Item #",$A$3,"File Name",$A36)/GETPIVOTDATA("Count of Supplier Order Number",$A$3,"File Name",$A36)</f>
        <v>1</v>
      </c>
      <c r="S36" s="5">
        <f t="shared" ref="S36:S67" si="14">GETPIVOTDATA("Count of Line Item #",$A$3,"File Name",$A36)/GETPIVOTDATA("Count of Order Date",$A$3,"File Name",$A36)</f>
        <v>1</v>
      </c>
      <c r="T36" s="5">
        <f t="shared" ref="T36:T67" si="15">GETPIVOTDATA("Count of Line Item #",$A$3,"File Name",$A36)/GETPIVOTDATA("Count of Supplier Name",$A$3,"File Name",$A36)</f>
        <v>1</v>
      </c>
      <c r="U36" s="5">
        <f t="shared" ref="U36:U67" si="16">GETPIVOTDATA("Count of Line Item #",$A$3,"File Name",$A36)/GETPIVOTDATA("Count of Customer Name",$A$3,"File Name",$A36)</f>
        <v>1</v>
      </c>
      <c r="V36" s="5">
        <f t="shared" ref="V36:V67" si="17">GETPIVOTDATA("Count of Line Item #",$A$3,"File Name",$A36)/GETPIVOTDATA("Count of Currency",$A$3,"File Name",$A36)</f>
        <v>1</v>
      </c>
      <c r="W36" s="5">
        <f t="shared" ref="W36:W67" si="18">GETPIVOTDATA("Count of Line Item #",$A$3,"File Name",$A36)/GETPIVOTDATA("Count of Article Number",$A$3,"File Name",$A36)</f>
        <v>1</v>
      </c>
      <c r="X36" s="5">
        <f t="shared" ref="X36:X67" si="19">GETPIVOTDATA("Count of Line Item #",$A$3,"File Name",$A36)/GETPIVOTDATA("Count of Item Description",$A$3,"File Name",$A36)</f>
        <v>1</v>
      </c>
      <c r="Y36" s="5">
        <f t="shared" ref="Y36:Y67" si="20">GETPIVOTDATA("Count of Line Item #",$A$3,"File Name",$A36)/GETPIVOTDATA("Count of Quantity",$A$3,"File Name",$A36)</f>
        <v>1</v>
      </c>
      <c r="Z36" s="5">
        <f t="shared" ref="Z36:Z67" si="21">GETPIVOTDATA("Count of Line Item #",$A$3,"File Name",$A36)/GETPIVOTDATA("Count of Unit of Measure",$A$3,"File Name",$A36)</f>
        <v>1</v>
      </c>
      <c r="AA36" s="5">
        <f t="shared" ref="AA36:AA67" si="22">GETPIVOTDATA("Count of Line Item #",$A$3,"File Name",$A36)/GETPIVOTDATA("Count of Unit Price",$A$3,"File Name",$A36)</f>
        <v>1</v>
      </c>
      <c r="AB36" s="5">
        <f t="shared" ref="AB36:AB67" si="23">GETPIVOTDATA("Count of Item Planned Delivery Date",$A$3,"File Name",$A36)/GETPIVOTDATA("Count of Line Item #",$A$3,"File Name",$A36)</f>
        <v>1</v>
      </c>
    </row>
    <row r="37" spans="1:28" x14ac:dyDescent="0.3">
      <c r="A37" t="s">
        <v>133</v>
      </c>
      <c r="B37" t="s">
        <v>256</v>
      </c>
      <c r="C37" t="s">
        <v>9</v>
      </c>
      <c r="D37">
        <v>27</v>
      </c>
      <c r="E37">
        <v>27</v>
      </c>
      <c r="F37">
        <v>27</v>
      </c>
      <c r="G37">
        <v>27</v>
      </c>
      <c r="H37">
        <v>27</v>
      </c>
      <c r="I37">
        <v>27</v>
      </c>
      <c r="J37">
        <v>27</v>
      </c>
      <c r="K37">
        <v>27</v>
      </c>
      <c r="L37">
        <v>27</v>
      </c>
      <c r="M37">
        <v>27</v>
      </c>
      <c r="N37">
        <v>27</v>
      </c>
      <c r="O37">
        <v>27</v>
      </c>
      <c r="P37">
        <v>27</v>
      </c>
      <c r="Q37" s="5">
        <f t="shared" si="12"/>
        <v>1</v>
      </c>
      <c r="R37" s="5">
        <f t="shared" si="13"/>
        <v>1</v>
      </c>
      <c r="S37" s="5">
        <f t="shared" si="14"/>
        <v>1</v>
      </c>
      <c r="T37" s="5">
        <f t="shared" si="15"/>
        <v>1</v>
      </c>
      <c r="U37" s="5">
        <f t="shared" si="16"/>
        <v>1</v>
      </c>
      <c r="V37" s="5">
        <f t="shared" si="17"/>
        <v>1</v>
      </c>
      <c r="W37" s="5">
        <f t="shared" si="18"/>
        <v>1</v>
      </c>
      <c r="X37" s="5">
        <f t="shared" si="19"/>
        <v>1</v>
      </c>
      <c r="Y37" s="5">
        <f t="shared" si="20"/>
        <v>1</v>
      </c>
      <c r="Z37" s="5">
        <f t="shared" si="21"/>
        <v>1</v>
      </c>
      <c r="AA37" s="5">
        <f t="shared" si="22"/>
        <v>1</v>
      </c>
      <c r="AB37" s="5">
        <f t="shared" si="23"/>
        <v>1</v>
      </c>
    </row>
    <row r="38" spans="1:28" x14ac:dyDescent="0.3">
      <c r="A38" t="s">
        <v>124</v>
      </c>
      <c r="B38" t="s">
        <v>256</v>
      </c>
      <c r="C38" t="s">
        <v>9</v>
      </c>
      <c r="D38">
        <v>4</v>
      </c>
      <c r="E38">
        <v>4</v>
      </c>
      <c r="F38">
        <v>4</v>
      </c>
      <c r="G38">
        <v>4</v>
      </c>
      <c r="H38">
        <v>4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 s="5">
        <f t="shared" si="12"/>
        <v>1</v>
      </c>
      <c r="R38" s="5">
        <f t="shared" si="13"/>
        <v>1</v>
      </c>
      <c r="S38" s="5">
        <f t="shared" si="14"/>
        <v>1</v>
      </c>
      <c r="T38" s="5">
        <f t="shared" si="15"/>
        <v>1</v>
      </c>
      <c r="U38" s="5">
        <f t="shared" si="16"/>
        <v>1</v>
      </c>
      <c r="V38" s="5">
        <f t="shared" si="17"/>
        <v>1</v>
      </c>
      <c r="W38" s="5">
        <f t="shared" si="18"/>
        <v>1</v>
      </c>
      <c r="X38" s="5">
        <f t="shared" si="19"/>
        <v>1</v>
      </c>
      <c r="Y38" s="5">
        <f t="shared" si="20"/>
        <v>1</v>
      </c>
      <c r="Z38" s="5">
        <f t="shared" si="21"/>
        <v>1</v>
      </c>
      <c r="AA38" s="5">
        <f t="shared" si="22"/>
        <v>1</v>
      </c>
      <c r="AB38" s="5">
        <f t="shared" si="23"/>
        <v>1</v>
      </c>
    </row>
    <row r="39" spans="1:28" x14ac:dyDescent="0.3">
      <c r="A39" t="s">
        <v>148</v>
      </c>
      <c r="B39" t="s">
        <v>256</v>
      </c>
      <c r="C39" t="s">
        <v>9</v>
      </c>
      <c r="D39">
        <v>42</v>
      </c>
      <c r="E39">
        <v>42</v>
      </c>
      <c r="F39">
        <v>42</v>
      </c>
      <c r="G39">
        <v>42</v>
      </c>
      <c r="H39">
        <v>42</v>
      </c>
      <c r="I39">
        <v>42</v>
      </c>
      <c r="J39">
        <v>42</v>
      </c>
      <c r="K39">
        <v>42</v>
      </c>
      <c r="L39">
        <v>42</v>
      </c>
      <c r="M39">
        <v>42</v>
      </c>
      <c r="N39">
        <v>42</v>
      </c>
      <c r="O39">
        <v>42</v>
      </c>
      <c r="P39">
        <v>42</v>
      </c>
      <c r="Q39" s="5">
        <f t="shared" si="12"/>
        <v>1</v>
      </c>
      <c r="R39" s="5">
        <f t="shared" si="13"/>
        <v>1</v>
      </c>
      <c r="S39" s="5">
        <f t="shared" si="14"/>
        <v>1</v>
      </c>
      <c r="T39" s="5">
        <f t="shared" si="15"/>
        <v>1</v>
      </c>
      <c r="U39" s="5">
        <f t="shared" si="16"/>
        <v>1</v>
      </c>
      <c r="V39" s="5">
        <f t="shared" si="17"/>
        <v>1</v>
      </c>
      <c r="W39" s="5">
        <f t="shared" si="18"/>
        <v>1</v>
      </c>
      <c r="X39" s="5">
        <f t="shared" si="19"/>
        <v>1</v>
      </c>
      <c r="Y39" s="5">
        <f t="shared" si="20"/>
        <v>1</v>
      </c>
      <c r="Z39" s="5">
        <f t="shared" si="21"/>
        <v>1</v>
      </c>
      <c r="AA39" s="5">
        <f t="shared" si="22"/>
        <v>1</v>
      </c>
      <c r="AB39" s="5">
        <f t="shared" si="23"/>
        <v>1</v>
      </c>
    </row>
    <row r="40" spans="1:28" x14ac:dyDescent="0.3">
      <c r="A40" t="s">
        <v>176</v>
      </c>
      <c r="B40" t="s">
        <v>256</v>
      </c>
      <c r="C40" t="s">
        <v>9</v>
      </c>
      <c r="D40">
        <v>13</v>
      </c>
      <c r="E40">
        <v>13</v>
      </c>
      <c r="F40">
        <v>13</v>
      </c>
      <c r="G40">
        <v>13</v>
      </c>
      <c r="H40">
        <v>13</v>
      </c>
      <c r="I40">
        <v>13</v>
      </c>
      <c r="J40">
        <v>13</v>
      </c>
      <c r="K40">
        <v>13</v>
      </c>
      <c r="L40">
        <v>13</v>
      </c>
      <c r="M40">
        <v>13</v>
      </c>
      <c r="N40">
        <v>13</v>
      </c>
      <c r="O40">
        <v>13</v>
      </c>
      <c r="P40">
        <v>13</v>
      </c>
      <c r="Q40" s="5">
        <f t="shared" si="12"/>
        <v>1</v>
      </c>
      <c r="R40" s="5">
        <f t="shared" si="13"/>
        <v>1</v>
      </c>
      <c r="S40" s="5">
        <f t="shared" si="14"/>
        <v>1</v>
      </c>
      <c r="T40" s="5">
        <f t="shared" si="15"/>
        <v>1</v>
      </c>
      <c r="U40" s="5">
        <f t="shared" si="16"/>
        <v>1</v>
      </c>
      <c r="V40" s="5">
        <f t="shared" si="17"/>
        <v>1</v>
      </c>
      <c r="W40" s="5">
        <f t="shared" si="18"/>
        <v>1</v>
      </c>
      <c r="X40" s="5">
        <f t="shared" si="19"/>
        <v>1</v>
      </c>
      <c r="Y40" s="5">
        <f t="shared" si="20"/>
        <v>1</v>
      </c>
      <c r="Z40" s="5">
        <f t="shared" si="21"/>
        <v>1</v>
      </c>
      <c r="AA40" s="5">
        <f t="shared" si="22"/>
        <v>1</v>
      </c>
      <c r="AB40" s="5">
        <f t="shared" si="23"/>
        <v>1</v>
      </c>
    </row>
    <row r="41" spans="1:28" x14ac:dyDescent="0.3">
      <c r="A41" t="s">
        <v>116</v>
      </c>
      <c r="B41" t="s">
        <v>256</v>
      </c>
      <c r="C41" t="s">
        <v>11</v>
      </c>
      <c r="Q41" s="5" t="e">
        <f t="shared" si="12"/>
        <v>#REF!</v>
      </c>
      <c r="R41" s="5" t="e">
        <f t="shared" si="13"/>
        <v>#REF!</v>
      </c>
      <c r="S41" s="5" t="e">
        <f t="shared" si="14"/>
        <v>#REF!</v>
      </c>
      <c r="T41" s="5" t="e">
        <f t="shared" si="15"/>
        <v>#REF!</v>
      </c>
      <c r="U41" s="5" t="e">
        <f t="shared" si="16"/>
        <v>#REF!</v>
      </c>
      <c r="V41" s="5" t="e">
        <f t="shared" si="17"/>
        <v>#REF!</v>
      </c>
      <c r="W41" s="5" t="e">
        <f t="shared" si="18"/>
        <v>#REF!</v>
      </c>
      <c r="X41" s="5" t="e">
        <f t="shared" si="19"/>
        <v>#REF!</v>
      </c>
      <c r="Y41" s="5" t="e">
        <f t="shared" si="20"/>
        <v>#REF!</v>
      </c>
      <c r="Z41" s="5" t="e">
        <f t="shared" si="21"/>
        <v>#REF!</v>
      </c>
      <c r="AA41" s="5" t="e">
        <f t="shared" si="22"/>
        <v>#REF!</v>
      </c>
      <c r="AB41" s="5" t="e">
        <f t="shared" si="23"/>
        <v>#REF!</v>
      </c>
    </row>
    <row r="42" spans="1:28" x14ac:dyDescent="0.3">
      <c r="A42" t="s">
        <v>116</v>
      </c>
      <c r="B42" t="s">
        <v>2364</v>
      </c>
      <c r="C42" t="s">
        <v>11</v>
      </c>
      <c r="Q42" s="5" t="e">
        <f t="shared" si="12"/>
        <v>#REF!</v>
      </c>
      <c r="R42" s="5" t="e">
        <f t="shared" si="13"/>
        <v>#REF!</v>
      </c>
      <c r="S42" s="5" t="e">
        <f t="shared" si="14"/>
        <v>#REF!</v>
      </c>
      <c r="T42" s="5" t="e">
        <f t="shared" si="15"/>
        <v>#REF!</v>
      </c>
      <c r="U42" s="5" t="e">
        <f t="shared" si="16"/>
        <v>#REF!</v>
      </c>
      <c r="V42" s="5" t="e">
        <f t="shared" si="17"/>
        <v>#REF!</v>
      </c>
      <c r="W42" s="5" t="e">
        <f t="shared" si="18"/>
        <v>#REF!</v>
      </c>
      <c r="X42" s="5" t="e">
        <f t="shared" si="19"/>
        <v>#REF!</v>
      </c>
      <c r="Y42" s="5" t="e">
        <f t="shared" si="20"/>
        <v>#REF!</v>
      </c>
      <c r="Z42" s="5" t="e">
        <f t="shared" si="21"/>
        <v>#REF!</v>
      </c>
      <c r="AA42" s="5" t="e">
        <f t="shared" si="22"/>
        <v>#REF!</v>
      </c>
      <c r="AB42" s="5" t="e">
        <f t="shared" si="23"/>
        <v>#REF!</v>
      </c>
    </row>
    <row r="43" spans="1:28" x14ac:dyDescent="0.3">
      <c r="A43" t="s">
        <v>119</v>
      </c>
      <c r="B43" t="s">
        <v>256</v>
      </c>
      <c r="C43" t="s">
        <v>9</v>
      </c>
      <c r="Q43" s="5" t="e">
        <f t="shared" si="12"/>
        <v>#REF!</v>
      </c>
      <c r="R43" s="5" t="e">
        <f t="shared" si="13"/>
        <v>#REF!</v>
      </c>
      <c r="S43" s="5" t="e">
        <f t="shared" si="14"/>
        <v>#REF!</v>
      </c>
      <c r="T43" s="5" t="e">
        <f t="shared" si="15"/>
        <v>#REF!</v>
      </c>
      <c r="U43" s="5" t="e">
        <f t="shared" si="16"/>
        <v>#REF!</v>
      </c>
      <c r="V43" s="5" t="e">
        <f t="shared" si="17"/>
        <v>#REF!</v>
      </c>
      <c r="W43" s="5" t="e">
        <f t="shared" si="18"/>
        <v>#REF!</v>
      </c>
      <c r="X43" s="5" t="e">
        <f t="shared" si="19"/>
        <v>#REF!</v>
      </c>
      <c r="Y43" s="5" t="e">
        <f t="shared" si="20"/>
        <v>#REF!</v>
      </c>
      <c r="Z43" s="5" t="e">
        <f t="shared" si="21"/>
        <v>#REF!</v>
      </c>
      <c r="AA43" s="5" t="e">
        <f t="shared" si="22"/>
        <v>#REF!</v>
      </c>
      <c r="AB43" s="5" t="e">
        <f t="shared" si="23"/>
        <v>#REF!</v>
      </c>
    </row>
    <row r="44" spans="1:28" x14ac:dyDescent="0.3">
      <c r="A44" t="s">
        <v>119</v>
      </c>
      <c r="B44" t="s">
        <v>256</v>
      </c>
      <c r="C44" t="s">
        <v>11</v>
      </c>
      <c r="Q44" s="5" t="e">
        <f t="shared" si="12"/>
        <v>#REF!</v>
      </c>
      <c r="R44" s="5" t="e">
        <f t="shared" si="13"/>
        <v>#REF!</v>
      </c>
      <c r="S44" s="5" t="e">
        <f t="shared" si="14"/>
        <v>#REF!</v>
      </c>
      <c r="T44" s="5" t="e">
        <f t="shared" si="15"/>
        <v>#REF!</v>
      </c>
      <c r="U44" s="5" t="e">
        <f t="shared" si="16"/>
        <v>#REF!</v>
      </c>
      <c r="V44" s="5" t="e">
        <f t="shared" si="17"/>
        <v>#REF!</v>
      </c>
      <c r="W44" s="5" t="e">
        <f t="shared" si="18"/>
        <v>#REF!</v>
      </c>
      <c r="X44" s="5" t="e">
        <f t="shared" si="19"/>
        <v>#REF!</v>
      </c>
      <c r="Y44" s="5" t="e">
        <f t="shared" si="20"/>
        <v>#REF!</v>
      </c>
      <c r="Z44" s="5" t="e">
        <f t="shared" si="21"/>
        <v>#REF!</v>
      </c>
      <c r="AA44" s="5" t="e">
        <f t="shared" si="22"/>
        <v>#REF!</v>
      </c>
      <c r="AB44" s="5" t="e">
        <f t="shared" si="23"/>
        <v>#REF!</v>
      </c>
    </row>
    <row r="45" spans="1:28" x14ac:dyDescent="0.3">
      <c r="A45" t="s">
        <v>184</v>
      </c>
      <c r="B45" t="s">
        <v>256</v>
      </c>
      <c r="C45" t="s">
        <v>9</v>
      </c>
      <c r="Q45" s="5" t="e">
        <f t="shared" si="12"/>
        <v>#DIV/0!</v>
      </c>
      <c r="R45" s="5" t="e">
        <f t="shared" si="13"/>
        <v>#DIV/0!</v>
      </c>
      <c r="S45" s="5" t="e">
        <f t="shared" si="14"/>
        <v>#DIV/0!</v>
      </c>
      <c r="T45" s="5" t="e">
        <f t="shared" si="15"/>
        <v>#DIV/0!</v>
      </c>
      <c r="U45" s="5" t="e">
        <f t="shared" si="16"/>
        <v>#DIV/0!</v>
      </c>
      <c r="V45" s="5" t="e">
        <f t="shared" si="17"/>
        <v>#DIV/0!</v>
      </c>
      <c r="W45" s="5" t="e">
        <f t="shared" si="18"/>
        <v>#DIV/0!</v>
      </c>
      <c r="X45" s="5" t="e">
        <f t="shared" si="19"/>
        <v>#DIV/0!</v>
      </c>
      <c r="Y45" s="5" t="e">
        <f t="shared" si="20"/>
        <v>#DIV/0!</v>
      </c>
      <c r="Z45" s="5" t="e">
        <f t="shared" si="21"/>
        <v>#DIV/0!</v>
      </c>
      <c r="AA45" s="5" t="e">
        <f t="shared" si="22"/>
        <v>#DIV/0!</v>
      </c>
      <c r="AB45" s="5" t="e">
        <f t="shared" si="23"/>
        <v>#DIV/0!</v>
      </c>
    </row>
    <row r="46" spans="1:28" x14ac:dyDescent="0.3">
      <c r="A46" t="s">
        <v>147</v>
      </c>
      <c r="B46" t="s">
        <v>256</v>
      </c>
      <c r="C46" t="s">
        <v>9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O46">
        <v>1</v>
      </c>
      <c r="Q46" s="5">
        <f t="shared" si="12"/>
        <v>1</v>
      </c>
      <c r="R46" s="5">
        <f t="shared" si="13"/>
        <v>1</v>
      </c>
      <c r="S46" s="5">
        <f t="shared" si="14"/>
        <v>1</v>
      </c>
      <c r="T46" s="5">
        <f t="shared" si="15"/>
        <v>1</v>
      </c>
      <c r="U46" s="5">
        <f t="shared" si="16"/>
        <v>1</v>
      </c>
      <c r="V46" s="5">
        <f t="shared" si="17"/>
        <v>1</v>
      </c>
      <c r="W46" s="5">
        <f t="shared" si="18"/>
        <v>1</v>
      </c>
      <c r="X46" s="5">
        <f t="shared" si="19"/>
        <v>1</v>
      </c>
      <c r="Y46" s="5">
        <f t="shared" si="20"/>
        <v>1</v>
      </c>
      <c r="Z46" s="5" t="e">
        <f t="shared" si="21"/>
        <v>#DIV/0!</v>
      </c>
      <c r="AA46" s="5">
        <f t="shared" si="22"/>
        <v>1</v>
      </c>
      <c r="AB46" s="5">
        <f t="shared" si="23"/>
        <v>0</v>
      </c>
    </row>
    <row r="47" spans="1:28" x14ac:dyDescent="0.3">
      <c r="A47" t="s">
        <v>127</v>
      </c>
      <c r="B47" t="s">
        <v>256</v>
      </c>
      <c r="C47" t="s">
        <v>9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O47">
        <v>1</v>
      </c>
      <c r="Q47" s="5">
        <f t="shared" si="12"/>
        <v>1</v>
      </c>
      <c r="R47" s="5">
        <f t="shared" si="13"/>
        <v>1</v>
      </c>
      <c r="S47" s="5">
        <f t="shared" si="14"/>
        <v>1</v>
      </c>
      <c r="T47" s="5">
        <f t="shared" si="15"/>
        <v>1</v>
      </c>
      <c r="U47" s="5">
        <f t="shared" si="16"/>
        <v>1</v>
      </c>
      <c r="V47" s="5">
        <f t="shared" si="17"/>
        <v>1</v>
      </c>
      <c r="W47" s="5">
        <f t="shared" si="18"/>
        <v>1</v>
      </c>
      <c r="X47" s="5">
        <f t="shared" si="19"/>
        <v>1</v>
      </c>
      <c r="Y47" s="5">
        <f t="shared" si="20"/>
        <v>1</v>
      </c>
      <c r="Z47" s="5" t="e">
        <f t="shared" si="21"/>
        <v>#DIV/0!</v>
      </c>
      <c r="AA47" s="5">
        <f t="shared" si="22"/>
        <v>1</v>
      </c>
      <c r="AB47" s="5">
        <f t="shared" si="23"/>
        <v>0</v>
      </c>
    </row>
    <row r="48" spans="1:28" x14ac:dyDescent="0.3">
      <c r="A48" t="s">
        <v>107</v>
      </c>
      <c r="B48" t="s">
        <v>256</v>
      </c>
      <c r="C48" t="s">
        <v>9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O48">
        <v>1</v>
      </c>
      <c r="Q48" s="5">
        <f t="shared" si="12"/>
        <v>1</v>
      </c>
      <c r="R48" s="5">
        <f t="shared" si="13"/>
        <v>1</v>
      </c>
      <c r="S48" s="5">
        <f t="shared" si="14"/>
        <v>1</v>
      </c>
      <c r="T48" s="5">
        <f t="shared" si="15"/>
        <v>1</v>
      </c>
      <c r="U48" s="5">
        <f t="shared" si="16"/>
        <v>1</v>
      </c>
      <c r="V48" s="5">
        <f t="shared" si="17"/>
        <v>1</v>
      </c>
      <c r="W48" s="5">
        <f t="shared" si="18"/>
        <v>1</v>
      </c>
      <c r="X48" s="5">
        <f t="shared" si="19"/>
        <v>1</v>
      </c>
      <c r="Y48" s="5">
        <f t="shared" si="20"/>
        <v>1</v>
      </c>
      <c r="Z48" s="5" t="e">
        <f t="shared" si="21"/>
        <v>#DIV/0!</v>
      </c>
      <c r="AA48" s="5">
        <f t="shared" si="22"/>
        <v>1</v>
      </c>
      <c r="AB48" s="5">
        <f t="shared" si="23"/>
        <v>0</v>
      </c>
    </row>
    <row r="49" spans="1:28" x14ac:dyDescent="0.3">
      <c r="A49" t="s">
        <v>131</v>
      </c>
      <c r="B49" t="s">
        <v>256</v>
      </c>
      <c r="C49" t="s">
        <v>9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 s="5">
        <f t="shared" si="12"/>
        <v>1</v>
      </c>
      <c r="R49" s="5">
        <f t="shared" si="13"/>
        <v>1</v>
      </c>
      <c r="S49" s="5">
        <f t="shared" si="14"/>
        <v>1</v>
      </c>
      <c r="T49" s="5">
        <f t="shared" si="15"/>
        <v>1</v>
      </c>
      <c r="U49" s="5">
        <f t="shared" si="16"/>
        <v>1</v>
      </c>
      <c r="V49" s="5">
        <f t="shared" si="17"/>
        <v>1</v>
      </c>
      <c r="W49" s="5">
        <f t="shared" si="18"/>
        <v>1</v>
      </c>
      <c r="X49" s="5">
        <f t="shared" si="19"/>
        <v>1</v>
      </c>
      <c r="Y49" s="5">
        <f t="shared" si="20"/>
        <v>1</v>
      </c>
      <c r="Z49" s="5">
        <f t="shared" si="21"/>
        <v>1</v>
      </c>
      <c r="AA49" s="5">
        <f t="shared" si="22"/>
        <v>1</v>
      </c>
      <c r="AB49" s="5">
        <f t="shared" si="23"/>
        <v>1</v>
      </c>
    </row>
    <row r="50" spans="1:28" x14ac:dyDescent="0.3">
      <c r="A50" t="s">
        <v>158</v>
      </c>
      <c r="B50" t="s">
        <v>256</v>
      </c>
      <c r="C50" t="s">
        <v>9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2</v>
      </c>
      <c r="M50">
        <v>2</v>
      </c>
      <c r="N50">
        <v>2</v>
      </c>
      <c r="O50">
        <v>2</v>
      </c>
      <c r="P50">
        <v>2</v>
      </c>
      <c r="Q50" s="5">
        <f t="shared" si="12"/>
        <v>1</v>
      </c>
      <c r="R50" s="5">
        <f t="shared" si="13"/>
        <v>1</v>
      </c>
      <c r="S50" s="5">
        <f t="shared" si="14"/>
        <v>1</v>
      </c>
      <c r="T50" s="5">
        <f t="shared" si="15"/>
        <v>1</v>
      </c>
      <c r="U50" s="5">
        <f t="shared" si="16"/>
        <v>1</v>
      </c>
      <c r="V50" s="5">
        <f t="shared" si="17"/>
        <v>1</v>
      </c>
      <c r="W50" s="5">
        <f t="shared" si="18"/>
        <v>1</v>
      </c>
      <c r="X50" s="5">
        <f t="shared" si="19"/>
        <v>1</v>
      </c>
      <c r="Y50" s="5">
        <f t="shared" si="20"/>
        <v>1</v>
      </c>
      <c r="Z50" s="5">
        <f t="shared" si="21"/>
        <v>1</v>
      </c>
      <c r="AA50" s="5">
        <f t="shared" si="22"/>
        <v>1</v>
      </c>
      <c r="AB50" s="5">
        <f t="shared" si="23"/>
        <v>1</v>
      </c>
    </row>
    <row r="51" spans="1:28" x14ac:dyDescent="0.3">
      <c r="A51" t="s">
        <v>162</v>
      </c>
      <c r="B51" t="s">
        <v>256</v>
      </c>
      <c r="C51" t="s">
        <v>11</v>
      </c>
      <c r="Q51" s="5" t="e">
        <f t="shared" si="12"/>
        <v>#DIV/0!</v>
      </c>
      <c r="R51" s="5" t="e">
        <f t="shared" si="13"/>
        <v>#DIV/0!</v>
      </c>
      <c r="S51" s="5" t="e">
        <f t="shared" si="14"/>
        <v>#DIV/0!</v>
      </c>
      <c r="T51" s="5" t="e">
        <f t="shared" si="15"/>
        <v>#DIV/0!</v>
      </c>
      <c r="U51" s="5" t="e">
        <f t="shared" si="16"/>
        <v>#DIV/0!</v>
      </c>
      <c r="V51" s="5" t="e">
        <f t="shared" si="17"/>
        <v>#DIV/0!</v>
      </c>
      <c r="W51" s="5" t="e">
        <f t="shared" si="18"/>
        <v>#DIV/0!</v>
      </c>
      <c r="X51" s="5" t="e">
        <f t="shared" si="19"/>
        <v>#DIV/0!</v>
      </c>
      <c r="Y51" s="5" t="e">
        <f t="shared" si="20"/>
        <v>#DIV/0!</v>
      </c>
      <c r="Z51" s="5" t="e">
        <f t="shared" si="21"/>
        <v>#DIV/0!</v>
      </c>
      <c r="AA51" s="5" t="e">
        <f t="shared" si="22"/>
        <v>#DIV/0!</v>
      </c>
      <c r="AB51" s="5" t="e">
        <f t="shared" si="23"/>
        <v>#DIV/0!</v>
      </c>
    </row>
    <row r="52" spans="1:28" x14ac:dyDescent="0.3">
      <c r="A52" t="s">
        <v>110</v>
      </c>
      <c r="B52" t="s">
        <v>256</v>
      </c>
      <c r="C52" t="s">
        <v>9</v>
      </c>
      <c r="D52">
        <v>4</v>
      </c>
      <c r="F52">
        <v>4</v>
      </c>
      <c r="G52">
        <v>4</v>
      </c>
      <c r="H52">
        <v>4</v>
      </c>
      <c r="I52">
        <v>4</v>
      </c>
      <c r="J52">
        <v>4</v>
      </c>
      <c r="K52">
        <v>4</v>
      </c>
      <c r="L52">
        <v>4</v>
      </c>
      <c r="M52">
        <v>4</v>
      </c>
      <c r="N52">
        <v>4</v>
      </c>
      <c r="O52">
        <v>4</v>
      </c>
      <c r="P52">
        <v>4</v>
      </c>
      <c r="Q52" s="5" t="e">
        <f t="shared" si="12"/>
        <v>#DIV/0!</v>
      </c>
      <c r="R52" s="5">
        <f t="shared" si="13"/>
        <v>1</v>
      </c>
      <c r="S52" s="5">
        <f t="shared" si="14"/>
        <v>1</v>
      </c>
      <c r="T52" s="5">
        <f t="shared" si="15"/>
        <v>1</v>
      </c>
      <c r="U52" s="5">
        <f t="shared" si="16"/>
        <v>1</v>
      </c>
      <c r="V52" s="5">
        <f t="shared" si="17"/>
        <v>1</v>
      </c>
      <c r="W52" s="5">
        <f t="shared" si="18"/>
        <v>1</v>
      </c>
      <c r="X52" s="5">
        <f t="shared" si="19"/>
        <v>1</v>
      </c>
      <c r="Y52" s="5">
        <f t="shared" si="20"/>
        <v>1</v>
      </c>
      <c r="Z52" s="5">
        <f t="shared" si="21"/>
        <v>1</v>
      </c>
      <c r="AA52" s="5">
        <f t="shared" si="22"/>
        <v>1</v>
      </c>
      <c r="AB52" s="5">
        <f t="shared" si="23"/>
        <v>1</v>
      </c>
    </row>
    <row r="53" spans="1:28" x14ac:dyDescent="0.3">
      <c r="A53" t="s">
        <v>108</v>
      </c>
      <c r="B53" t="s">
        <v>256</v>
      </c>
      <c r="C53" t="s">
        <v>9</v>
      </c>
      <c r="D53">
        <v>6</v>
      </c>
      <c r="F53">
        <v>6</v>
      </c>
      <c r="G53">
        <v>6</v>
      </c>
      <c r="H53">
        <v>6</v>
      </c>
      <c r="I53">
        <v>6</v>
      </c>
      <c r="J53">
        <v>6</v>
      </c>
      <c r="K53">
        <v>6</v>
      </c>
      <c r="L53">
        <v>6</v>
      </c>
      <c r="M53">
        <v>6</v>
      </c>
      <c r="N53">
        <v>6</v>
      </c>
      <c r="O53">
        <v>6</v>
      </c>
      <c r="P53">
        <v>5</v>
      </c>
      <c r="Q53" s="5" t="e">
        <f t="shared" si="12"/>
        <v>#DIV/0!</v>
      </c>
      <c r="R53" s="5">
        <f t="shared" si="13"/>
        <v>1</v>
      </c>
      <c r="S53" s="5">
        <f t="shared" si="14"/>
        <v>1</v>
      </c>
      <c r="T53" s="5">
        <f t="shared" si="15"/>
        <v>1</v>
      </c>
      <c r="U53" s="5">
        <f t="shared" si="16"/>
        <v>1</v>
      </c>
      <c r="V53" s="5">
        <f t="shared" si="17"/>
        <v>1</v>
      </c>
      <c r="W53" s="5">
        <f t="shared" si="18"/>
        <v>1</v>
      </c>
      <c r="X53" s="5">
        <f t="shared" si="19"/>
        <v>1</v>
      </c>
      <c r="Y53" s="5">
        <f t="shared" si="20"/>
        <v>1</v>
      </c>
      <c r="Z53" s="5">
        <f t="shared" si="21"/>
        <v>1</v>
      </c>
      <c r="AA53" s="5">
        <f t="shared" si="22"/>
        <v>1</v>
      </c>
      <c r="AB53" s="5">
        <f t="shared" si="23"/>
        <v>0.83333333333333337</v>
      </c>
    </row>
    <row r="54" spans="1:28" x14ac:dyDescent="0.3">
      <c r="A54" t="s">
        <v>130</v>
      </c>
      <c r="B54" t="s">
        <v>256</v>
      </c>
      <c r="C54" t="s">
        <v>9</v>
      </c>
      <c r="D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 s="5" t="e">
        <f t="shared" si="12"/>
        <v>#DIV/0!</v>
      </c>
      <c r="R54" s="5">
        <f t="shared" si="13"/>
        <v>1</v>
      </c>
      <c r="S54" s="5">
        <f t="shared" si="14"/>
        <v>1</v>
      </c>
      <c r="T54" s="5">
        <f t="shared" si="15"/>
        <v>1</v>
      </c>
      <c r="U54" s="5">
        <f t="shared" si="16"/>
        <v>1</v>
      </c>
      <c r="V54" s="5">
        <f t="shared" si="17"/>
        <v>1</v>
      </c>
      <c r="W54" s="5">
        <f t="shared" si="18"/>
        <v>1</v>
      </c>
      <c r="X54" s="5">
        <f t="shared" si="19"/>
        <v>1</v>
      </c>
      <c r="Y54" s="5">
        <f t="shared" si="20"/>
        <v>1</v>
      </c>
      <c r="Z54" s="5">
        <f t="shared" si="21"/>
        <v>1</v>
      </c>
      <c r="AA54" s="5">
        <f t="shared" si="22"/>
        <v>1</v>
      </c>
      <c r="AB54" s="5">
        <f t="shared" si="23"/>
        <v>1</v>
      </c>
    </row>
    <row r="55" spans="1:28" x14ac:dyDescent="0.3">
      <c r="A55" t="s">
        <v>156</v>
      </c>
      <c r="B55" t="s">
        <v>256</v>
      </c>
      <c r="C55" t="s">
        <v>9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>
        <v>3</v>
      </c>
      <c r="N55">
        <v>3</v>
      </c>
      <c r="O55">
        <v>3</v>
      </c>
      <c r="P55">
        <v>3</v>
      </c>
      <c r="Q55" s="5">
        <f t="shared" si="12"/>
        <v>1</v>
      </c>
      <c r="R55" s="5">
        <f t="shared" si="13"/>
        <v>1</v>
      </c>
      <c r="S55" s="5">
        <f t="shared" si="14"/>
        <v>1</v>
      </c>
      <c r="T55" s="5">
        <f t="shared" si="15"/>
        <v>1</v>
      </c>
      <c r="U55" s="5">
        <f t="shared" si="16"/>
        <v>1</v>
      </c>
      <c r="V55" s="5">
        <f t="shared" si="17"/>
        <v>1</v>
      </c>
      <c r="W55" s="5">
        <f t="shared" si="18"/>
        <v>1</v>
      </c>
      <c r="X55" s="5">
        <f t="shared" si="19"/>
        <v>1</v>
      </c>
      <c r="Y55" s="5">
        <f t="shared" si="20"/>
        <v>1</v>
      </c>
      <c r="Z55" s="5">
        <f t="shared" si="21"/>
        <v>1</v>
      </c>
      <c r="AA55" s="5">
        <f t="shared" si="22"/>
        <v>1</v>
      </c>
      <c r="AB55" s="5">
        <f t="shared" si="23"/>
        <v>1</v>
      </c>
    </row>
    <row r="56" spans="1:28" x14ac:dyDescent="0.3">
      <c r="A56" t="s">
        <v>153</v>
      </c>
      <c r="B56" t="s">
        <v>256</v>
      </c>
      <c r="C56" t="s">
        <v>9</v>
      </c>
      <c r="D56">
        <v>4</v>
      </c>
      <c r="E56">
        <v>4</v>
      </c>
      <c r="F56">
        <v>4</v>
      </c>
      <c r="G56">
        <v>4</v>
      </c>
      <c r="H56">
        <v>4</v>
      </c>
      <c r="I56">
        <v>4</v>
      </c>
      <c r="J56">
        <v>4</v>
      </c>
      <c r="K56">
        <v>4</v>
      </c>
      <c r="L56">
        <v>4</v>
      </c>
      <c r="M56">
        <v>4</v>
      </c>
      <c r="N56">
        <v>4</v>
      </c>
      <c r="O56">
        <v>4</v>
      </c>
      <c r="P56">
        <v>4</v>
      </c>
      <c r="Q56" s="5">
        <f t="shared" si="12"/>
        <v>1</v>
      </c>
      <c r="R56" s="5">
        <f t="shared" si="13"/>
        <v>1</v>
      </c>
      <c r="S56" s="5">
        <f t="shared" si="14"/>
        <v>1</v>
      </c>
      <c r="T56" s="5">
        <f t="shared" si="15"/>
        <v>1</v>
      </c>
      <c r="U56" s="5">
        <f t="shared" si="16"/>
        <v>1</v>
      </c>
      <c r="V56" s="5">
        <f t="shared" si="17"/>
        <v>1</v>
      </c>
      <c r="W56" s="5">
        <f t="shared" si="18"/>
        <v>1</v>
      </c>
      <c r="X56" s="5">
        <f t="shared" si="19"/>
        <v>1</v>
      </c>
      <c r="Y56" s="5">
        <f t="shared" si="20"/>
        <v>1</v>
      </c>
      <c r="Z56" s="5">
        <f t="shared" si="21"/>
        <v>1</v>
      </c>
      <c r="AA56" s="5">
        <f t="shared" si="22"/>
        <v>1</v>
      </c>
      <c r="AB56" s="5">
        <f t="shared" si="23"/>
        <v>1</v>
      </c>
    </row>
    <row r="57" spans="1:28" x14ac:dyDescent="0.3">
      <c r="A57" t="s">
        <v>188</v>
      </c>
      <c r="B57" t="s">
        <v>256</v>
      </c>
      <c r="C57" t="s">
        <v>9</v>
      </c>
      <c r="D57">
        <v>12</v>
      </c>
      <c r="E57">
        <v>12</v>
      </c>
      <c r="F57">
        <v>12</v>
      </c>
      <c r="G57">
        <v>12</v>
      </c>
      <c r="H57">
        <v>12</v>
      </c>
      <c r="I57">
        <v>12</v>
      </c>
      <c r="J57">
        <v>12</v>
      </c>
      <c r="K57">
        <v>12</v>
      </c>
      <c r="L57">
        <v>12</v>
      </c>
      <c r="M57">
        <v>12</v>
      </c>
      <c r="N57">
        <v>12</v>
      </c>
      <c r="O57">
        <v>12</v>
      </c>
      <c r="P57">
        <v>12</v>
      </c>
      <c r="Q57" s="5">
        <f t="shared" si="12"/>
        <v>1</v>
      </c>
      <c r="R57" s="5">
        <f t="shared" si="13"/>
        <v>1</v>
      </c>
      <c r="S57" s="5">
        <f t="shared" si="14"/>
        <v>1</v>
      </c>
      <c r="T57" s="5">
        <f t="shared" si="15"/>
        <v>1</v>
      </c>
      <c r="U57" s="5">
        <f t="shared" si="16"/>
        <v>1</v>
      </c>
      <c r="V57" s="5">
        <f t="shared" si="17"/>
        <v>1</v>
      </c>
      <c r="W57" s="5">
        <f t="shared" si="18"/>
        <v>1</v>
      </c>
      <c r="X57" s="5">
        <f t="shared" si="19"/>
        <v>1</v>
      </c>
      <c r="Y57" s="5">
        <f t="shared" si="20"/>
        <v>1</v>
      </c>
      <c r="Z57" s="5">
        <f t="shared" si="21"/>
        <v>1</v>
      </c>
      <c r="AA57" s="5">
        <f t="shared" si="22"/>
        <v>1</v>
      </c>
      <c r="AB57" s="5">
        <f t="shared" si="23"/>
        <v>1</v>
      </c>
    </row>
    <row r="58" spans="1:28" x14ac:dyDescent="0.3">
      <c r="A58" t="s">
        <v>135</v>
      </c>
      <c r="B58" t="s">
        <v>256</v>
      </c>
      <c r="C58" t="s">
        <v>9</v>
      </c>
      <c r="D58">
        <v>10</v>
      </c>
      <c r="E58">
        <v>10</v>
      </c>
      <c r="F58">
        <v>10</v>
      </c>
      <c r="G58">
        <v>10</v>
      </c>
      <c r="H58">
        <v>10</v>
      </c>
      <c r="I58">
        <v>10</v>
      </c>
      <c r="J58">
        <v>10</v>
      </c>
      <c r="K58">
        <v>10</v>
      </c>
      <c r="L58">
        <v>10</v>
      </c>
      <c r="M58">
        <v>10</v>
      </c>
      <c r="N58">
        <v>10</v>
      </c>
      <c r="O58">
        <v>10</v>
      </c>
      <c r="P58">
        <v>10</v>
      </c>
      <c r="Q58" s="5">
        <f t="shared" si="12"/>
        <v>1</v>
      </c>
      <c r="R58" s="5">
        <f t="shared" si="13"/>
        <v>1</v>
      </c>
      <c r="S58" s="5">
        <f t="shared" si="14"/>
        <v>1</v>
      </c>
      <c r="T58" s="5">
        <f t="shared" si="15"/>
        <v>1</v>
      </c>
      <c r="U58" s="5">
        <f t="shared" si="16"/>
        <v>1</v>
      </c>
      <c r="V58" s="5">
        <f t="shared" si="17"/>
        <v>1</v>
      </c>
      <c r="W58" s="5">
        <f t="shared" si="18"/>
        <v>1</v>
      </c>
      <c r="X58" s="5">
        <f t="shared" si="19"/>
        <v>1</v>
      </c>
      <c r="Y58" s="5">
        <f t="shared" si="20"/>
        <v>1</v>
      </c>
      <c r="Z58" s="5">
        <f t="shared" si="21"/>
        <v>1</v>
      </c>
      <c r="AA58" s="5">
        <f t="shared" si="22"/>
        <v>1</v>
      </c>
      <c r="AB58" s="5">
        <f t="shared" si="23"/>
        <v>1</v>
      </c>
    </row>
    <row r="59" spans="1:28" x14ac:dyDescent="0.3">
      <c r="A59" t="s">
        <v>104</v>
      </c>
      <c r="B59" t="s">
        <v>256</v>
      </c>
      <c r="C59" t="s">
        <v>9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 s="5">
        <f t="shared" si="12"/>
        <v>1</v>
      </c>
      <c r="R59" s="5">
        <f t="shared" si="13"/>
        <v>1</v>
      </c>
      <c r="S59" s="5">
        <f t="shared" si="14"/>
        <v>1</v>
      </c>
      <c r="T59" s="5">
        <f t="shared" si="15"/>
        <v>1</v>
      </c>
      <c r="U59" s="5">
        <f t="shared" si="16"/>
        <v>1</v>
      </c>
      <c r="V59" s="5">
        <f t="shared" si="17"/>
        <v>1</v>
      </c>
      <c r="W59" s="5">
        <f t="shared" si="18"/>
        <v>1</v>
      </c>
      <c r="X59" s="5">
        <f t="shared" si="19"/>
        <v>1</v>
      </c>
      <c r="Y59" s="5">
        <f t="shared" si="20"/>
        <v>1</v>
      </c>
      <c r="Z59" s="5">
        <f t="shared" si="21"/>
        <v>1</v>
      </c>
      <c r="AA59" s="5">
        <f t="shared" si="22"/>
        <v>1</v>
      </c>
      <c r="AB59" s="5">
        <f t="shared" si="23"/>
        <v>1</v>
      </c>
    </row>
    <row r="60" spans="1:28" x14ac:dyDescent="0.3">
      <c r="A60" t="s">
        <v>183</v>
      </c>
      <c r="B60" t="s">
        <v>256</v>
      </c>
      <c r="C60" t="s">
        <v>9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 s="5">
        <f t="shared" si="12"/>
        <v>1</v>
      </c>
      <c r="R60" s="5">
        <f t="shared" si="13"/>
        <v>1</v>
      </c>
      <c r="S60" s="5">
        <f t="shared" si="14"/>
        <v>1</v>
      </c>
      <c r="T60" s="5">
        <f t="shared" si="15"/>
        <v>1</v>
      </c>
      <c r="U60" s="5">
        <f t="shared" si="16"/>
        <v>1</v>
      </c>
      <c r="V60" s="5">
        <f t="shared" si="17"/>
        <v>1</v>
      </c>
      <c r="W60" s="5">
        <f t="shared" si="18"/>
        <v>1</v>
      </c>
      <c r="X60" s="5">
        <f t="shared" si="19"/>
        <v>1</v>
      </c>
      <c r="Y60" s="5">
        <f t="shared" si="20"/>
        <v>1</v>
      </c>
      <c r="Z60" s="5">
        <f t="shared" si="21"/>
        <v>1</v>
      </c>
      <c r="AA60" s="5">
        <f t="shared" si="22"/>
        <v>1</v>
      </c>
      <c r="AB60" s="5">
        <f t="shared" si="23"/>
        <v>1</v>
      </c>
    </row>
    <row r="61" spans="1:28" x14ac:dyDescent="0.3">
      <c r="A61" t="s">
        <v>122</v>
      </c>
      <c r="B61" t="s">
        <v>256</v>
      </c>
      <c r="C61" t="s">
        <v>9</v>
      </c>
      <c r="D61">
        <v>13</v>
      </c>
      <c r="E61">
        <v>13</v>
      </c>
      <c r="F61">
        <v>13</v>
      </c>
      <c r="G61">
        <v>13</v>
      </c>
      <c r="H61">
        <v>13</v>
      </c>
      <c r="I61">
        <v>13</v>
      </c>
      <c r="J61">
        <v>13</v>
      </c>
      <c r="K61">
        <v>13</v>
      </c>
      <c r="L61">
        <v>13</v>
      </c>
      <c r="M61">
        <v>13</v>
      </c>
      <c r="N61">
        <v>13</v>
      </c>
      <c r="O61">
        <v>13</v>
      </c>
      <c r="P61">
        <v>13</v>
      </c>
      <c r="Q61" s="5">
        <f t="shared" si="12"/>
        <v>1</v>
      </c>
      <c r="R61" s="5">
        <f t="shared" si="13"/>
        <v>1</v>
      </c>
      <c r="S61" s="5">
        <f t="shared" si="14"/>
        <v>1</v>
      </c>
      <c r="T61" s="5">
        <f t="shared" si="15"/>
        <v>1</v>
      </c>
      <c r="U61" s="5">
        <f t="shared" si="16"/>
        <v>1</v>
      </c>
      <c r="V61" s="5">
        <f t="shared" si="17"/>
        <v>1</v>
      </c>
      <c r="W61" s="5">
        <f t="shared" si="18"/>
        <v>1</v>
      </c>
      <c r="X61" s="5">
        <f t="shared" si="19"/>
        <v>1</v>
      </c>
      <c r="Y61" s="5">
        <f t="shared" si="20"/>
        <v>1</v>
      </c>
      <c r="Z61" s="5">
        <f t="shared" si="21"/>
        <v>1</v>
      </c>
      <c r="AA61" s="5">
        <f t="shared" si="22"/>
        <v>1</v>
      </c>
      <c r="AB61" s="5">
        <f t="shared" si="23"/>
        <v>1</v>
      </c>
    </row>
    <row r="62" spans="1:28" x14ac:dyDescent="0.3">
      <c r="A62" t="s">
        <v>187</v>
      </c>
      <c r="B62" t="s">
        <v>256</v>
      </c>
      <c r="C62" t="s">
        <v>9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 s="5">
        <f t="shared" si="12"/>
        <v>1</v>
      </c>
      <c r="R62" s="5">
        <f t="shared" si="13"/>
        <v>1</v>
      </c>
      <c r="S62" s="5">
        <f t="shared" si="14"/>
        <v>1</v>
      </c>
      <c r="T62" s="5">
        <f t="shared" si="15"/>
        <v>1</v>
      </c>
      <c r="U62" s="5">
        <f t="shared" si="16"/>
        <v>1</v>
      </c>
      <c r="V62" s="5">
        <f t="shared" si="17"/>
        <v>1</v>
      </c>
      <c r="W62" s="5">
        <f t="shared" si="18"/>
        <v>1</v>
      </c>
      <c r="X62" s="5">
        <f t="shared" si="19"/>
        <v>1</v>
      </c>
      <c r="Y62" s="5">
        <f t="shared" si="20"/>
        <v>1</v>
      </c>
      <c r="Z62" s="5">
        <f t="shared" si="21"/>
        <v>1</v>
      </c>
      <c r="AA62" s="5">
        <f t="shared" si="22"/>
        <v>1</v>
      </c>
      <c r="AB62" s="5">
        <f t="shared" si="23"/>
        <v>1</v>
      </c>
    </row>
    <row r="63" spans="1:28" x14ac:dyDescent="0.3">
      <c r="A63" t="s">
        <v>160</v>
      </c>
      <c r="B63" t="s">
        <v>256</v>
      </c>
      <c r="C63" t="s">
        <v>9</v>
      </c>
      <c r="Q63" s="5" t="e">
        <f t="shared" si="12"/>
        <v>#DIV/0!</v>
      </c>
      <c r="R63" s="5" t="e">
        <f t="shared" si="13"/>
        <v>#DIV/0!</v>
      </c>
      <c r="S63" s="5" t="e">
        <f t="shared" si="14"/>
        <v>#DIV/0!</v>
      </c>
      <c r="T63" s="5" t="e">
        <f t="shared" si="15"/>
        <v>#DIV/0!</v>
      </c>
      <c r="U63" s="5" t="e">
        <f t="shared" si="16"/>
        <v>#DIV/0!</v>
      </c>
      <c r="V63" s="5" t="e">
        <f t="shared" si="17"/>
        <v>#DIV/0!</v>
      </c>
      <c r="W63" s="5" t="e">
        <f t="shared" si="18"/>
        <v>#DIV/0!</v>
      </c>
      <c r="X63" s="5" t="e">
        <f t="shared" si="19"/>
        <v>#DIV/0!</v>
      </c>
      <c r="Y63" s="5" t="e">
        <f t="shared" si="20"/>
        <v>#DIV/0!</v>
      </c>
      <c r="Z63" s="5" t="e">
        <f t="shared" si="21"/>
        <v>#DIV/0!</v>
      </c>
      <c r="AA63" s="5" t="e">
        <f t="shared" si="22"/>
        <v>#DIV/0!</v>
      </c>
      <c r="AB63" s="5" t="e">
        <f t="shared" si="23"/>
        <v>#DIV/0!</v>
      </c>
    </row>
    <row r="64" spans="1:28" x14ac:dyDescent="0.3">
      <c r="A64" t="s">
        <v>109</v>
      </c>
      <c r="B64" t="s">
        <v>256</v>
      </c>
      <c r="C64" t="s">
        <v>9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 s="5">
        <f t="shared" si="12"/>
        <v>1</v>
      </c>
      <c r="R64" s="5">
        <f t="shared" si="13"/>
        <v>1</v>
      </c>
      <c r="S64" s="5">
        <f t="shared" si="14"/>
        <v>1</v>
      </c>
      <c r="T64" s="5">
        <f t="shared" si="15"/>
        <v>1</v>
      </c>
      <c r="U64" s="5">
        <f t="shared" si="16"/>
        <v>1</v>
      </c>
      <c r="V64" s="5">
        <f t="shared" si="17"/>
        <v>1</v>
      </c>
      <c r="W64" s="5">
        <f t="shared" si="18"/>
        <v>1</v>
      </c>
      <c r="X64" s="5">
        <f t="shared" si="19"/>
        <v>1</v>
      </c>
      <c r="Y64" s="5">
        <f t="shared" si="20"/>
        <v>1</v>
      </c>
      <c r="Z64" s="5">
        <f t="shared" si="21"/>
        <v>1</v>
      </c>
      <c r="AA64" s="5">
        <f t="shared" si="22"/>
        <v>1</v>
      </c>
      <c r="AB64" s="5">
        <f t="shared" si="23"/>
        <v>1</v>
      </c>
    </row>
    <row r="65" spans="1:28" x14ac:dyDescent="0.3">
      <c r="A65" t="s">
        <v>179</v>
      </c>
      <c r="B65" t="s">
        <v>256</v>
      </c>
      <c r="C65" t="s">
        <v>9</v>
      </c>
      <c r="D65">
        <v>6</v>
      </c>
      <c r="E65">
        <v>6</v>
      </c>
      <c r="F65">
        <v>6</v>
      </c>
      <c r="G65">
        <v>6</v>
      </c>
      <c r="H65">
        <v>6</v>
      </c>
      <c r="I65">
        <v>6</v>
      </c>
      <c r="J65">
        <v>6</v>
      </c>
      <c r="K65">
        <v>6</v>
      </c>
      <c r="L65">
        <v>6</v>
      </c>
      <c r="M65">
        <v>6</v>
      </c>
      <c r="N65">
        <v>6</v>
      </c>
      <c r="O65">
        <v>5</v>
      </c>
      <c r="P65">
        <v>2</v>
      </c>
      <c r="Q65" s="5">
        <f t="shared" si="12"/>
        <v>1</v>
      </c>
      <c r="R65" s="5">
        <f t="shared" si="13"/>
        <v>1</v>
      </c>
      <c r="S65" s="5">
        <f t="shared" si="14"/>
        <v>1</v>
      </c>
      <c r="T65" s="5">
        <f t="shared" si="15"/>
        <v>1</v>
      </c>
      <c r="U65" s="5">
        <f t="shared" si="16"/>
        <v>1</v>
      </c>
      <c r="V65" s="5">
        <f t="shared" si="17"/>
        <v>1</v>
      </c>
      <c r="W65" s="5">
        <f t="shared" si="18"/>
        <v>1</v>
      </c>
      <c r="X65" s="5">
        <f t="shared" si="19"/>
        <v>1</v>
      </c>
      <c r="Y65" s="5">
        <f t="shared" si="20"/>
        <v>1</v>
      </c>
      <c r="Z65" s="5">
        <f t="shared" si="21"/>
        <v>1</v>
      </c>
      <c r="AA65" s="5">
        <f t="shared" si="22"/>
        <v>1.2</v>
      </c>
      <c r="AB65" s="5">
        <f t="shared" si="23"/>
        <v>0.33333333333333331</v>
      </c>
    </row>
    <row r="66" spans="1:28" x14ac:dyDescent="0.3">
      <c r="A66" t="s">
        <v>150</v>
      </c>
      <c r="B66" t="s">
        <v>256</v>
      </c>
      <c r="C66" t="s">
        <v>9</v>
      </c>
      <c r="Q66" s="5" t="e">
        <f t="shared" si="12"/>
        <v>#DIV/0!</v>
      </c>
      <c r="R66" s="5" t="e">
        <f t="shared" si="13"/>
        <v>#DIV/0!</v>
      </c>
      <c r="S66" s="5" t="e">
        <f t="shared" si="14"/>
        <v>#DIV/0!</v>
      </c>
      <c r="T66" s="5" t="e">
        <f t="shared" si="15"/>
        <v>#DIV/0!</v>
      </c>
      <c r="U66" s="5" t="e">
        <f t="shared" si="16"/>
        <v>#DIV/0!</v>
      </c>
      <c r="V66" s="5" t="e">
        <f t="shared" si="17"/>
        <v>#DIV/0!</v>
      </c>
      <c r="W66" s="5" t="e">
        <f t="shared" si="18"/>
        <v>#DIV/0!</v>
      </c>
      <c r="X66" s="5" t="e">
        <f t="shared" si="19"/>
        <v>#DIV/0!</v>
      </c>
      <c r="Y66" s="5" t="e">
        <f t="shared" si="20"/>
        <v>#DIV/0!</v>
      </c>
      <c r="Z66" s="5" t="e">
        <f t="shared" si="21"/>
        <v>#DIV/0!</v>
      </c>
      <c r="AA66" s="5" t="e">
        <f t="shared" si="22"/>
        <v>#DIV/0!</v>
      </c>
      <c r="AB66" s="5" t="e">
        <f t="shared" si="23"/>
        <v>#DIV/0!</v>
      </c>
    </row>
    <row r="67" spans="1:28" x14ac:dyDescent="0.3">
      <c r="A67" t="s">
        <v>155</v>
      </c>
      <c r="B67" t="s">
        <v>256</v>
      </c>
      <c r="C67" t="s">
        <v>9</v>
      </c>
      <c r="D67">
        <v>3</v>
      </c>
      <c r="E67">
        <v>3</v>
      </c>
      <c r="F67">
        <v>3</v>
      </c>
      <c r="G67">
        <v>3</v>
      </c>
      <c r="H67">
        <v>3</v>
      </c>
      <c r="I67">
        <v>3</v>
      </c>
      <c r="J67">
        <v>3</v>
      </c>
      <c r="K67">
        <v>3</v>
      </c>
      <c r="L67">
        <v>3</v>
      </c>
      <c r="M67">
        <v>3</v>
      </c>
      <c r="N67">
        <v>3</v>
      </c>
      <c r="O67">
        <v>3</v>
      </c>
      <c r="Q67" s="5">
        <f t="shared" si="12"/>
        <v>1</v>
      </c>
      <c r="R67" s="5">
        <f t="shared" si="13"/>
        <v>1</v>
      </c>
      <c r="S67" s="5">
        <f t="shared" si="14"/>
        <v>1</v>
      </c>
      <c r="T67" s="5">
        <f t="shared" si="15"/>
        <v>1</v>
      </c>
      <c r="U67" s="5">
        <f t="shared" si="16"/>
        <v>1</v>
      </c>
      <c r="V67" s="5">
        <f t="shared" si="17"/>
        <v>1</v>
      </c>
      <c r="W67" s="5">
        <f t="shared" si="18"/>
        <v>1</v>
      </c>
      <c r="X67" s="5">
        <f t="shared" si="19"/>
        <v>1</v>
      </c>
      <c r="Y67" s="5">
        <f t="shared" si="20"/>
        <v>1</v>
      </c>
      <c r="Z67" s="5">
        <f t="shared" si="21"/>
        <v>1</v>
      </c>
      <c r="AA67" s="5">
        <f t="shared" si="22"/>
        <v>1</v>
      </c>
      <c r="AB67" s="5">
        <f t="shared" si="23"/>
        <v>0</v>
      </c>
    </row>
    <row r="68" spans="1:28" x14ac:dyDescent="0.3">
      <c r="A68" t="s">
        <v>138</v>
      </c>
      <c r="B68" t="s">
        <v>256</v>
      </c>
      <c r="C68" t="s">
        <v>9</v>
      </c>
      <c r="D68">
        <v>13</v>
      </c>
      <c r="E68">
        <v>13</v>
      </c>
      <c r="F68">
        <v>13</v>
      </c>
      <c r="G68">
        <v>13</v>
      </c>
      <c r="H68">
        <v>13</v>
      </c>
      <c r="I68">
        <v>13</v>
      </c>
      <c r="J68">
        <v>13</v>
      </c>
      <c r="K68">
        <v>13</v>
      </c>
      <c r="L68">
        <v>13</v>
      </c>
      <c r="M68">
        <v>13</v>
      </c>
      <c r="N68">
        <v>13</v>
      </c>
      <c r="O68">
        <v>7</v>
      </c>
      <c r="Q68" s="5">
        <f t="shared" ref="Q68:Q92" si="24">GETPIVOTDATA("Count of Line Item #",$A$3,"File Name",$A68)/GETPIVOTDATA("Count of Purchase Order Number",$A$3,"File Name",$A68)</f>
        <v>1</v>
      </c>
      <c r="R68" s="5">
        <f t="shared" ref="R68:R89" si="25">GETPIVOTDATA("Count of Line Item #",$A$3,"File Name",$A68)/GETPIVOTDATA("Count of Supplier Order Number",$A$3,"File Name",$A68)</f>
        <v>1</v>
      </c>
      <c r="S68" s="5">
        <f t="shared" ref="S68:S89" si="26">GETPIVOTDATA("Count of Line Item #",$A$3,"File Name",$A68)/GETPIVOTDATA("Count of Order Date",$A$3,"File Name",$A68)</f>
        <v>1</v>
      </c>
      <c r="T68" s="5">
        <f t="shared" ref="T68:T89" si="27">GETPIVOTDATA("Count of Line Item #",$A$3,"File Name",$A68)/GETPIVOTDATA("Count of Supplier Name",$A$3,"File Name",$A68)</f>
        <v>1</v>
      </c>
      <c r="U68" s="5">
        <f t="shared" ref="U68:U89" si="28">GETPIVOTDATA("Count of Line Item #",$A$3,"File Name",$A68)/GETPIVOTDATA("Count of Customer Name",$A$3,"File Name",$A68)</f>
        <v>1</v>
      </c>
      <c r="V68" s="5">
        <f t="shared" ref="V68:V89" si="29">GETPIVOTDATA("Count of Line Item #",$A$3,"File Name",$A68)/GETPIVOTDATA("Count of Currency",$A$3,"File Name",$A68)</f>
        <v>1</v>
      </c>
      <c r="W68" s="5">
        <f t="shared" ref="W68:W89" si="30">GETPIVOTDATA("Count of Line Item #",$A$3,"File Name",$A68)/GETPIVOTDATA("Count of Article Number",$A$3,"File Name",$A68)</f>
        <v>1</v>
      </c>
      <c r="X68" s="5">
        <f t="shared" ref="X68:X89" si="31">GETPIVOTDATA("Count of Line Item #",$A$3,"File Name",$A68)/GETPIVOTDATA("Count of Item Description",$A$3,"File Name",$A68)</f>
        <v>1</v>
      </c>
      <c r="Y68" s="5">
        <f t="shared" ref="Y68:Y89" si="32">GETPIVOTDATA("Count of Line Item #",$A$3,"File Name",$A68)/GETPIVOTDATA("Count of Quantity",$A$3,"File Name",$A68)</f>
        <v>1</v>
      </c>
      <c r="Z68" s="5">
        <f t="shared" ref="Z68:Z89" si="33">GETPIVOTDATA("Count of Line Item #",$A$3,"File Name",$A68)/GETPIVOTDATA("Count of Unit of Measure",$A$3,"File Name",$A68)</f>
        <v>1</v>
      </c>
      <c r="AA68" s="5">
        <f t="shared" ref="AA68:AA89" si="34">GETPIVOTDATA("Count of Line Item #",$A$3,"File Name",$A68)/GETPIVOTDATA("Count of Unit Price",$A$3,"File Name",$A68)</f>
        <v>1.8571428571428572</v>
      </c>
      <c r="AB68" s="5">
        <f t="shared" ref="AB68:AB88" si="35">GETPIVOTDATA("Count of Item Planned Delivery Date",$A$3,"File Name",$A68)/GETPIVOTDATA("Count of Line Item #",$A$3,"File Name",$A68)</f>
        <v>0</v>
      </c>
    </row>
    <row r="69" spans="1:28" x14ac:dyDescent="0.3">
      <c r="A69" t="s">
        <v>114</v>
      </c>
      <c r="B69" t="s">
        <v>2364</v>
      </c>
      <c r="C69" t="s">
        <v>11</v>
      </c>
      <c r="Q69" s="5" t="e">
        <f t="shared" si="24"/>
        <v>#DIV/0!</v>
      </c>
      <c r="R69" s="5" t="e">
        <f t="shared" si="25"/>
        <v>#DIV/0!</v>
      </c>
      <c r="S69" s="5" t="e">
        <f t="shared" si="26"/>
        <v>#DIV/0!</v>
      </c>
      <c r="T69" s="5" t="e">
        <f t="shared" si="27"/>
        <v>#DIV/0!</v>
      </c>
      <c r="U69" s="5" t="e">
        <f t="shared" si="28"/>
        <v>#DIV/0!</v>
      </c>
      <c r="V69" s="5" t="e">
        <f t="shared" si="29"/>
        <v>#DIV/0!</v>
      </c>
      <c r="W69" s="5" t="e">
        <f t="shared" si="30"/>
        <v>#DIV/0!</v>
      </c>
      <c r="X69" s="5" t="e">
        <f t="shared" si="31"/>
        <v>#DIV/0!</v>
      </c>
      <c r="Y69" s="5" t="e">
        <f t="shared" si="32"/>
        <v>#DIV/0!</v>
      </c>
      <c r="Z69" s="5" t="e">
        <f t="shared" si="33"/>
        <v>#DIV/0!</v>
      </c>
      <c r="AA69" s="5" t="e">
        <f t="shared" si="34"/>
        <v>#DIV/0!</v>
      </c>
      <c r="AB69" s="5" t="e">
        <f t="shared" si="35"/>
        <v>#DIV/0!</v>
      </c>
    </row>
    <row r="70" spans="1:28" x14ac:dyDescent="0.3">
      <c r="A70" t="s">
        <v>186</v>
      </c>
      <c r="B70" t="s">
        <v>2364</v>
      </c>
      <c r="C70" t="s">
        <v>11</v>
      </c>
      <c r="Q70" s="5" t="e">
        <f t="shared" si="24"/>
        <v>#DIV/0!</v>
      </c>
      <c r="R70" s="5" t="e">
        <f t="shared" si="25"/>
        <v>#DIV/0!</v>
      </c>
      <c r="S70" s="5" t="e">
        <f t="shared" si="26"/>
        <v>#DIV/0!</v>
      </c>
      <c r="T70" s="5" t="e">
        <f t="shared" si="27"/>
        <v>#DIV/0!</v>
      </c>
      <c r="U70" s="5" t="e">
        <f t="shared" si="28"/>
        <v>#DIV/0!</v>
      </c>
      <c r="V70" s="5" t="e">
        <f t="shared" si="29"/>
        <v>#DIV/0!</v>
      </c>
      <c r="W70" s="5" t="e">
        <f t="shared" si="30"/>
        <v>#DIV/0!</v>
      </c>
      <c r="X70" s="5" t="e">
        <f t="shared" si="31"/>
        <v>#DIV/0!</v>
      </c>
      <c r="Y70" s="5" t="e">
        <f t="shared" si="32"/>
        <v>#DIV/0!</v>
      </c>
      <c r="Z70" s="5" t="e">
        <f t="shared" si="33"/>
        <v>#DIV/0!</v>
      </c>
      <c r="AA70" s="5" t="e">
        <f t="shared" si="34"/>
        <v>#DIV/0!</v>
      </c>
      <c r="AB70" s="5" t="e">
        <f t="shared" si="35"/>
        <v>#DIV/0!</v>
      </c>
    </row>
    <row r="71" spans="1:28" x14ac:dyDescent="0.3">
      <c r="A71" t="s">
        <v>146</v>
      </c>
      <c r="B71" t="s">
        <v>2364</v>
      </c>
      <c r="C71" t="s">
        <v>11</v>
      </c>
      <c r="Q71" s="5" t="e">
        <f t="shared" si="24"/>
        <v>#DIV/0!</v>
      </c>
      <c r="R71" s="5" t="e">
        <f t="shared" si="25"/>
        <v>#DIV/0!</v>
      </c>
      <c r="S71" s="5" t="e">
        <f t="shared" si="26"/>
        <v>#DIV/0!</v>
      </c>
      <c r="T71" s="5" t="e">
        <f t="shared" si="27"/>
        <v>#DIV/0!</v>
      </c>
      <c r="U71" s="5" t="e">
        <f t="shared" si="28"/>
        <v>#DIV/0!</v>
      </c>
      <c r="V71" s="5" t="e">
        <f t="shared" si="29"/>
        <v>#DIV/0!</v>
      </c>
      <c r="W71" s="5" t="e">
        <f t="shared" si="30"/>
        <v>#DIV/0!</v>
      </c>
      <c r="X71" s="5" t="e">
        <f t="shared" si="31"/>
        <v>#DIV/0!</v>
      </c>
      <c r="Y71" s="5" t="e">
        <f t="shared" si="32"/>
        <v>#DIV/0!</v>
      </c>
      <c r="Z71" s="5" t="e">
        <f t="shared" si="33"/>
        <v>#DIV/0!</v>
      </c>
      <c r="AA71" s="5" t="e">
        <f t="shared" si="34"/>
        <v>#DIV/0!</v>
      </c>
      <c r="AB71" s="5" t="e">
        <f t="shared" si="35"/>
        <v>#DIV/0!</v>
      </c>
    </row>
    <row r="72" spans="1:28" x14ac:dyDescent="0.3">
      <c r="A72" t="s">
        <v>154</v>
      </c>
      <c r="B72" t="s">
        <v>256</v>
      </c>
      <c r="C72" t="s">
        <v>11</v>
      </c>
      <c r="Q72" s="5" t="e">
        <f t="shared" si="24"/>
        <v>#DIV/0!</v>
      </c>
      <c r="R72" s="5" t="e">
        <f t="shared" si="25"/>
        <v>#DIV/0!</v>
      </c>
      <c r="S72" s="5" t="e">
        <f t="shared" si="26"/>
        <v>#DIV/0!</v>
      </c>
      <c r="T72" s="5" t="e">
        <f t="shared" si="27"/>
        <v>#DIV/0!</v>
      </c>
      <c r="U72" s="5" t="e">
        <f t="shared" si="28"/>
        <v>#DIV/0!</v>
      </c>
      <c r="V72" s="5" t="e">
        <f t="shared" si="29"/>
        <v>#DIV/0!</v>
      </c>
      <c r="W72" s="5" t="e">
        <f t="shared" si="30"/>
        <v>#DIV/0!</v>
      </c>
      <c r="X72" s="5" t="e">
        <f t="shared" si="31"/>
        <v>#DIV/0!</v>
      </c>
      <c r="Y72" s="5" t="e">
        <f t="shared" si="32"/>
        <v>#DIV/0!</v>
      </c>
      <c r="Z72" s="5" t="e">
        <f t="shared" si="33"/>
        <v>#DIV/0!</v>
      </c>
      <c r="AA72" s="5" t="e">
        <f t="shared" si="34"/>
        <v>#DIV/0!</v>
      </c>
      <c r="AB72" s="5" t="e">
        <f t="shared" si="35"/>
        <v>#DIV/0!</v>
      </c>
    </row>
    <row r="73" spans="1:28" x14ac:dyDescent="0.3">
      <c r="A73" t="s">
        <v>164</v>
      </c>
      <c r="B73" t="s">
        <v>2364</v>
      </c>
      <c r="C73" t="s">
        <v>11</v>
      </c>
      <c r="Q73" s="5" t="e">
        <f t="shared" si="24"/>
        <v>#DIV/0!</v>
      </c>
      <c r="R73" s="5" t="e">
        <f t="shared" si="25"/>
        <v>#DIV/0!</v>
      </c>
      <c r="S73" s="5" t="e">
        <f t="shared" si="26"/>
        <v>#DIV/0!</v>
      </c>
      <c r="T73" s="5" t="e">
        <f t="shared" si="27"/>
        <v>#DIV/0!</v>
      </c>
      <c r="U73" s="5" t="e">
        <f t="shared" si="28"/>
        <v>#DIV/0!</v>
      </c>
      <c r="V73" s="5" t="e">
        <f t="shared" si="29"/>
        <v>#DIV/0!</v>
      </c>
      <c r="W73" s="5" t="e">
        <f t="shared" si="30"/>
        <v>#DIV/0!</v>
      </c>
      <c r="X73" s="5" t="e">
        <f t="shared" si="31"/>
        <v>#DIV/0!</v>
      </c>
      <c r="Y73" s="5" t="e">
        <f t="shared" si="32"/>
        <v>#DIV/0!</v>
      </c>
      <c r="Z73" s="5" t="e">
        <f t="shared" si="33"/>
        <v>#DIV/0!</v>
      </c>
      <c r="AA73" s="5" t="e">
        <f t="shared" si="34"/>
        <v>#DIV/0!</v>
      </c>
      <c r="AB73" s="5" t="e">
        <f t="shared" si="35"/>
        <v>#DIV/0!</v>
      </c>
    </row>
    <row r="74" spans="1:28" x14ac:dyDescent="0.3">
      <c r="A74" t="s">
        <v>141</v>
      </c>
      <c r="B74" t="s">
        <v>2364</v>
      </c>
      <c r="C74" t="s">
        <v>11</v>
      </c>
      <c r="Q74" s="5" t="e">
        <f t="shared" si="24"/>
        <v>#DIV/0!</v>
      </c>
      <c r="R74" s="5" t="e">
        <f t="shared" si="25"/>
        <v>#DIV/0!</v>
      </c>
      <c r="S74" s="5" t="e">
        <f t="shared" si="26"/>
        <v>#DIV/0!</v>
      </c>
      <c r="T74" s="5" t="e">
        <f t="shared" si="27"/>
        <v>#DIV/0!</v>
      </c>
      <c r="U74" s="5" t="e">
        <f t="shared" si="28"/>
        <v>#DIV/0!</v>
      </c>
      <c r="V74" s="5" t="e">
        <f t="shared" si="29"/>
        <v>#DIV/0!</v>
      </c>
      <c r="W74" s="5" t="e">
        <f t="shared" si="30"/>
        <v>#DIV/0!</v>
      </c>
      <c r="X74" s="5" t="e">
        <f t="shared" si="31"/>
        <v>#DIV/0!</v>
      </c>
      <c r="Y74" s="5" t="e">
        <f t="shared" si="32"/>
        <v>#DIV/0!</v>
      </c>
      <c r="Z74" s="5" t="e">
        <f t="shared" si="33"/>
        <v>#DIV/0!</v>
      </c>
      <c r="AA74" s="5" t="e">
        <f t="shared" si="34"/>
        <v>#DIV/0!</v>
      </c>
      <c r="AB74" s="5" t="e">
        <f t="shared" si="35"/>
        <v>#DIV/0!</v>
      </c>
    </row>
    <row r="75" spans="1:28" x14ac:dyDescent="0.3">
      <c r="A75" t="s">
        <v>117</v>
      </c>
      <c r="B75" t="s">
        <v>256</v>
      </c>
      <c r="C75" t="s">
        <v>11</v>
      </c>
      <c r="Q75" s="5" t="e">
        <f t="shared" si="24"/>
        <v>#DIV/0!</v>
      </c>
      <c r="R75" s="5" t="e">
        <f t="shared" si="25"/>
        <v>#DIV/0!</v>
      </c>
      <c r="S75" s="5" t="e">
        <f t="shared" si="26"/>
        <v>#DIV/0!</v>
      </c>
      <c r="T75" s="5" t="e">
        <f t="shared" si="27"/>
        <v>#DIV/0!</v>
      </c>
      <c r="U75" s="5" t="e">
        <f t="shared" si="28"/>
        <v>#DIV/0!</v>
      </c>
      <c r="V75" s="5" t="e">
        <f t="shared" si="29"/>
        <v>#DIV/0!</v>
      </c>
      <c r="W75" s="5" t="e">
        <f t="shared" si="30"/>
        <v>#DIV/0!</v>
      </c>
      <c r="X75" s="5" t="e">
        <f t="shared" si="31"/>
        <v>#DIV/0!</v>
      </c>
      <c r="Y75" s="5" t="e">
        <f t="shared" si="32"/>
        <v>#DIV/0!</v>
      </c>
      <c r="Z75" s="5" t="e">
        <f t="shared" si="33"/>
        <v>#DIV/0!</v>
      </c>
      <c r="AA75" s="5" t="e">
        <f t="shared" si="34"/>
        <v>#DIV/0!</v>
      </c>
      <c r="AB75" s="5" t="e">
        <f t="shared" si="35"/>
        <v>#DIV/0!</v>
      </c>
    </row>
    <row r="76" spans="1:28" x14ac:dyDescent="0.3">
      <c r="A76" t="s">
        <v>168</v>
      </c>
      <c r="B76" t="s">
        <v>256</v>
      </c>
      <c r="C76" t="s">
        <v>11</v>
      </c>
      <c r="Q76" s="5" t="e">
        <f t="shared" si="24"/>
        <v>#DIV/0!</v>
      </c>
      <c r="R76" s="5" t="e">
        <f t="shared" si="25"/>
        <v>#DIV/0!</v>
      </c>
      <c r="S76" s="5" t="e">
        <f t="shared" si="26"/>
        <v>#DIV/0!</v>
      </c>
      <c r="T76" s="5" t="e">
        <f t="shared" si="27"/>
        <v>#DIV/0!</v>
      </c>
      <c r="U76" s="5" t="e">
        <f t="shared" si="28"/>
        <v>#DIV/0!</v>
      </c>
      <c r="V76" s="5" t="e">
        <f t="shared" si="29"/>
        <v>#DIV/0!</v>
      </c>
      <c r="W76" s="5" t="e">
        <f t="shared" si="30"/>
        <v>#DIV/0!</v>
      </c>
      <c r="X76" s="5" t="e">
        <f t="shared" si="31"/>
        <v>#DIV/0!</v>
      </c>
      <c r="Y76" s="5" t="e">
        <f t="shared" si="32"/>
        <v>#DIV/0!</v>
      </c>
      <c r="Z76" s="5" t="e">
        <f t="shared" si="33"/>
        <v>#DIV/0!</v>
      </c>
      <c r="AA76" s="5" t="e">
        <f t="shared" si="34"/>
        <v>#DIV/0!</v>
      </c>
      <c r="AB76" s="5" t="e">
        <f t="shared" si="35"/>
        <v>#DIV/0!</v>
      </c>
    </row>
    <row r="77" spans="1:28" x14ac:dyDescent="0.3">
      <c r="A77" t="s">
        <v>180</v>
      </c>
      <c r="B77" t="s">
        <v>256</v>
      </c>
      <c r="C77" t="s">
        <v>9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 s="5">
        <f t="shared" si="24"/>
        <v>1</v>
      </c>
      <c r="R77" s="5">
        <f t="shared" si="25"/>
        <v>1</v>
      </c>
      <c r="S77" s="5">
        <f t="shared" si="26"/>
        <v>1</v>
      </c>
      <c r="T77" s="5">
        <f t="shared" si="27"/>
        <v>1</v>
      </c>
      <c r="U77" s="5">
        <f t="shared" si="28"/>
        <v>1</v>
      </c>
      <c r="V77" s="5">
        <f t="shared" si="29"/>
        <v>1</v>
      </c>
      <c r="W77" s="5">
        <f t="shared" si="30"/>
        <v>1</v>
      </c>
      <c r="X77" s="5">
        <f t="shared" si="31"/>
        <v>1</v>
      </c>
      <c r="Y77" s="5">
        <f t="shared" si="32"/>
        <v>1</v>
      </c>
      <c r="Z77" s="5">
        <f t="shared" si="33"/>
        <v>1</v>
      </c>
      <c r="AA77" s="5">
        <f t="shared" si="34"/>
        <v>1</v>
      </c>
      <c r="AB77" s="5">
        <f t="shared" si="35"/>
        <v>1</v>
      </c>
    </row>
    <row r="78" spans="1:28" x14ac:dyDescent="0.3">
      <c r="A78" t="s">
        <v>175</v>
      </c>
      <c r="B78" t="s">
        <v>256</v>
      </c>
      <c r="C78" t="s">
        <v>9</v>
      </c>
      <c r="D78">
        <v>4</v>
      </c>
      <c r="E78">
        <v>4</v>
      </c>
      <c r="F78">
        <v>4</v>
      </c>
      <c r="G78">
        <v>4</v>
      </c>
      <c r="H78">
        <v>4</v>
      </c>
      <c r="I78">
        <v>4</v>
      </c>
      <c r="K78">
        <v>4</v>
      </c>
      <c r="L78">
        <v>4</v>
      </c>
      <c r="M78">
        <v>4</v>
      </c>
      <c r="N78">
        <v>4</v>
      </c>
      <c r="P78">
        <v>1</v>
      </c>
      <c r="Q78" s="5">
        <f t="shared" si="24"/>
        <v>1</v>
      </c>
      <c r="R78" s="5">
        <f t="shared" si="25"/>
        <v>1</v>
      </c>
      <c r="S78" s="5">
        <f t="shared" si="26"/>
        <v>1</v>
      </c>
      <c r="T78" s="5">
        <f t="shared" si="27"/>
        <v>1</v>
      </c>
      <c r="U78" s="5">
        <f t="shared" si="28"/>
        <v>1</v>
      </c>
      <c r="V78" s="5" t="e">
        <f t="shared" si="29"/>
        <v>#DIV/0!</v>
      </c>
      <c r="W78" s="5">
        <f t="shared" si="30"/>
        <v>1</v>
      </c>
      <c r="X78" s="5">
        <f t="shared" si="31"/>
        <v>1</v>
      </c>
      <c r="Y78" s="5">
        <f t="shared" si="32"/>
        <v>1</v>
      </c>
      <c r="Z78" s="5">
        <f t="shared" si="33"/>
        <v>1</v>
      </c>
      <c r="AA78" s="5" t="e">
        <f t="shared" si="34"/>
        <v>#DIV/0!</v>
      </c>
      <c r="AB78" s="5">
        <f t="shared" si="35"/>
        <v>0.25</v>
      </c>
    </row>
    <row r="79" spans="1:28" x14ac:dyDescent="0.3">
      <c r="A79" t="s">
        <v>140</v>
      </c>
      <c r="B79" t="s">
        <v>256</v>
      </c>
      <c r="C79" t="s">
        <v>9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K79">
        <v>1</v>
      </c>
      <c r="L79">
        <v>1</v>
      </c>
      <c r="M79">
        <v>1</v>
      </c>
      <c r="N79">
        <v>1</v>
      </c>
      <c r="P79">
        <v>1</v>
      </c>
      <c r="Q79" s="5">
        <f t="shared" si="24"/>
        <v>1</v>
      </c>
      <c r="R79" s="5">
        <f t="shared" si="25"/>
        <v>1</v>
      </c>
      <c r="S79" s="5">
        <f t="shared" si="26"/>
        <v>1</v>
      </c>
      <c r="T79" s="5">
        <f t="shared" si="27"/>
        <v>1</v>
      </c>
      <c r="U79" s="5">
        <f t="shared" si="28"/>
        <v>1</v>
      </c>
      <c r="V79" s="5" t="e">
        <f t="shared" si="29"/>
        <v>#DIV/0!</v>
      </c>
      <c r="W79" s="5">
        <f t="shared" si="30"/>
        <v>1</v>
      </c>
      <c r="X79" s="5">
        <f t="shared" si="31"/>
        <v>1</v>
      </c>
      <c r="Y79" s="5">
        <f t="shared" si="32"/>
        <v>1</v>
      </c>
      <c r="Z79" s="5">
        <f t="shared" si="33"/>
        <v>1</v>
      </c>
      <c r="AA79" s="5" t="e">
        <f t="shared" si="34"/>
        <v>#DIV/0!</v>
      </c>
      <c r="AB79" s="5">
        <f t="shared" si="35"/>
        <v>1</v>
      </c>
    </row>
    <row r="80" spans="1:28" x14ac:dyDescent="0.3">
      <c r="A80" t="s">
        <v>118</v>
      </c>
      <c r="B80" t="s">
        <v>256</v>
      </c>
      <c r="C80" t="s">
        <v>9</v>
      </c>
      <c r="D80">
        <v>2</v>
      </c>
      <c r="G80">
        <v>2</v>
      </c>
      <c r="H80">
        <v>2</v>
      </c>
      <c r="I80">
        <v>2</v>
      </c>
      <c r="K80">
        <v>2</v>
      </c>
      <c r="L80">
        <v>2</v>
      </c>
      <c r="M80">
        <v>2</v>
      </c>
      <c r="N80">
        <v>2</v>
      </c>
      <c r="P80">
        <v>2</v>
      </c>
      <c r="Q80" s="5" t="e">
        <f t="shared" si="24"/>
        <v>#DIV/0!</v>
      </c>
      <c r="R80" s="5" t="e">
        <f t="shared" si="25"/>
        <v>#DIV/0!</v>
      </c>
      <c r="S80" s="5">
        <f t="shared" si="26"/>
        <v>1</v>
      </c>
      <c r="T80" s="5">
        <f t="shared" si="27"/>
        <v>1</v>
      </c>
      <c r="U80" s="5">
        <f t="shared" si="28"/>
        <v>1</v>
      </c>
      <c r="V80" s="5" t="e">
        <f t="shared" si="29"/>
        <v>#DIV/0!</v>
      </c>
      <c r="W80" s="5">
        <f t="shared" si="30"/>
        <v>1</v>
      </c>
      <c r="X80" s="5">
        <f t="shared" si="31"/>
        <v>1</v>
      </c>
      <c r="Y80" s="5">
        <f t="shared" si="32"/>
        <v>1</v>
      </c>
      <c r="Z80" s="5">
        <f t="shared" si="33"/>
        <v>1</v>
      </c>
      <c r="AA80" s="5" t="e">
        <f t="shared" si="34"/>
        <v>#DIV/0!</v>
      </c>
      <c r="AB80" s="5">
        <f t="shared" si="35"/>
        <v>1</v>
      </c>
    </row>
    <row r="81" spans="1:28" x14ac:dyDescent="0.3">
      <c r="A81" t="s">
        <v>177</v>
      </c>
      <c r="B81" t="s">
        <v>256</v>
      </c>
      <c r="C81" t="s">
        <v>9</v>
      </c>
      <c r="D81">
        <v>1</v>
      </c>
      <c r="E81">
        <v>1</v>
      </c>
      <c r="G81">
        <v>1</v>
      </c>
      <c r="H81">
        <v>1</v>
      </c>
      <c r="I81">
        <v>1</v>
      </c>
      <c r="K81">
        <v>1</v>
      </c>
      <c r="L81">
        <v>1</v>
      </c>
      <c r="M81">
        <v>1</v>
      </c>
      <c r="N81">
        <v>1</v>
      </c>
      <c r="P81">
        <v>1</v>
      </c>
      <c r="Q81" s="5">
        <f t="shared" si="24"/>
        <v>1</v>
      </c>
      <c r="R81" s="5" t="e">
        <f t="shared" si="25"/>
        <v>#DIV/0!</v>
      </c>
      <c r="S81" s="5">
        <f t="shared" si="26"/>
        <v>1</v>
      </c>
      <c r="T81" s="5">
        <f t="shared" si="27"/>
        <v>1</v>
      </c>
      <c r="U81" s="5">
        <f t="shared" si="28"/>
        <v>1</v>
      </c>
      <c r="V81" s="5" t="e">
        <f t="shared" si="29"/>
        <v>#DIV/0!</v>
      </c>
      <c r="W81" s="5">
        <f t="shared" si="30"/>
        <v>1</v>
      </c>
      <c r="X81" s="5">
        <f t="shared" si="31"/>
        <v>1</v>
      </c>
      <c r="Y81" s="5">
        <f t="shared" si="32"/>
        <v>1</v>
      </c>
      <c r="Z81" s="5">
        <f t="shared" si="33"/>
        <v>1</v>
      </c>
      <c r="AA81" s="5" t="e">
        <f t="shared" si="34"/>
        <v>#DIV/0!</v>
      </c>
      <c r="AB81" s="5">
        <f t="shared" si="35"/>
        <v>1</v>
      </c>
    </row>
    <row r="82" spans="1:28" x14ac:dyDescent="0.3">
      <c r="A82" t="s">
        <v>123</v>
      </c>
      <c r="B82" t="s">
        <v>256</v>
      </c>
      <c r="C82" t="s">
        <v>9</v>
      </c>
      <c r="D82">
        <v>1</v>
      </c>
      <c r="E82">
        <v>1</v>
      </c>
      <c r="G82">
        <v>1</v>
      </c>
      <c r="H82">
        <v>1</v>
      </c>
      <c r="I82">
        <v>1</v>
      </c>
      <c r="K82">
        <v>1</v>
      </c>
      <c r="L82">
        <v>1</v>
      </c>
      <c r="M82">
        <v>1</v>
      </c>
      <c r="P82">
        <v>1</v>
      </c>
      <c r="Q82" s="5">
        <f t="shared" si="24"/>
        <v>1</v>
      </c>
      <c r="R82" s="5" t="e">
        <f t="shared" si="25"/>
        <v>#DIV/0!</v>
      </c>
      <c r="S82" s="5">
        <f t="shared" si="26"/>
        <v>1</v>
      </c>
      <c r="T82" s="5">
        <f t="shared" si="27"/>
        <v>1</v>
      </c>
      <c r="U82" s="5">
        <f t="shared" si="28"/>
        <v>1</v>
      </c>
      <c r="V82" s="5" t="e">
        <f t="shared" si="29"/>
        <v>#DIV/0!</v>
      </c>
      <c r="W82" s="5">
        <f t="shared" si="30"/>
        <v>1</v>
      </c>
      <c r="X82" s="5">
        <f t="shared" si="31"/>
        <v>1</v>
      </c>
      <c r="Y82" s="5">
        <f t="shared" si="32"/>
        <v>1</v>
      </c>
      <c r="Z82" s="5" t="e">
        <f t="shared" si="33"/>
        <v>#DIV/0!</v>
      </c>
      <c r="AA82" s="5" t="e">
        <f t="shared" si="34"/>
        <v>#DIV/0!</v>
      </c>
      <c r="AB82" s="5">
        <f t="shared" si="35"/>
        <v>1</v>
      </c>
    </row>
    <row r="83" spans="1:28" x14ac:dyDescent="0.3">
      <c r="A83" t="s">
        <v>105</v>
      </c>
      <c r="B83" t="s">
        <v>256</v>
      </c>
      <c r="C83" t="s">
        <v>9</v>
      </c>
      <c r="D83">
        <v>11</v>
      </c>
      <c r="E83">
        <v>11</v>
      </c>
      <c r="F83">
        <v>11</v>
      </c>
      <c r="G83">
        <v>11</v>
      </c>
      <c r="H83">
        <v>11</v>
      </c>
      <c r="I83">
        <v>11</v>
      </c>
      <c r="J83">
        <v>11</v>
      </c>
      <c r="K83">
        <v>11</v>
      </c>
      <c r="L83">
        <v>11</v>
      </c>
      <c r="M83">
        <v>11</v>
      </c>
      <c r="N83">
        <v>11</v>
      </c>
      <c r="O83">
        <v>11</v>
      </c>
      <c r="P83">
        <v>11</v>
      </c>
      <c r="Q83" s="5">
        <f t="shared" si="24"/>
        <v>1</v>
      </c>
      <c r="R83" s="5">
        <f t="shared" si="25"/>
        <v>1</v>
      </c>
      <c r="S83" s="5">
        <f t="shared" si="26"/>
        <v>1</v>
      </c>
      <c r="T83" s="5">
        <f t="shared" si="27"/>
        <v>1</v>
      </c>
      <c r="U83" s="5">
        <f t="shared" si="28"/>
        <v>1</v>
      </c>
      <c r="V83" s="5">
        <f t="shared" si="29"/>
        <v>1</v>
      </c>
      <c r="W83" s="5">
        <f t="shared" si="30"/>
        <v>1</v>
      </c>
      <c r="X83" s="5">
        <f t="shared" si="31"/>
        <v>1</v>
      </c>
      <c r="Y83" s="5">
        <f t="shared" si="32"/>
        <v>1</v>
      </c>
      <c r="Z83" s="5">
        <f t="shared" si="33"/>
        <v>1</v>
      </c>
      <c r="AA83" s="5">
        <f t="shared" si="34"/>
        <v>1</v>
      </c>
      <c r="AB83" s="5">
        <f t="shared" si="35"/>
        <v>1</v>
      </c>
    </row>
    <row r="84" spans="1:28" x14ac:dyDescent="0.3">
      <c r="A84" t="s">
        <v>126</v>
      </c>
      <c r="B84" t="s">
        <v>256</v>
      </c>
      <c r="C84" t="s">
        <v>9</v>
      </c>
      <c r="D84">
        <v>8</v>
      </c>
      <c r="E84">
        <v>8</v>
      </c>
      <c r="F84">
        <v>8</v>
      </c>
      <c r="G84">
        <v>8</v>
      </c>
      <c r="H84">
        <v>8</v>
      </c>
      <c r="I84">
        <v>8</v>
      </c>
      <c r="J84">
        <v>8</v>
      </c>
      <c r="K84">
        <v>8</v>
      </c>
      <c r="L84">
        <v>8</v>
      </c>
      <c r="M84">
        <v>8</v>
      </c>
      <c r="N84">
        <v>8</v>
      </c>
      <c r="O84">
        <v>8</v>
      </c>
      <c r="P84">
        <v>8</v>
      </c>
      <c r="Q84" s="5">
        <f t="shared" si="24"/>
        <v>1</v>
      </c>
      <c r="R84" s="5">
        <f t="shared" si="25"/>
        <v>1</v>
      </c>
      <c r="S84" s="5">
        <f t="shared" si="26"/>
        <v>1</v>
      </c>
      <c r="T84" s="5">
        <f t="shared" si="27"/>
        <v>1</v>
      </c>
      <c r="U84" s="5">
        <f t="shared" si="28"/>
        <v>1</v>
      </c>
      <c r="V84" s="5">
        <f t="shared" si="29"/>
        <v>1</v>
      </c>
      <c r="W84" s="5">
        <f t="shared" si="30"/>
        <v>1</v>
      </c>
      <c r="X84" s="5">
        <f t="shared" si="31"/>
        <v>1</v>
      </c>
      <c r="Y84" s="5">
        <f t="shared" si="32"/>
        <v>1</v>
      </c>
      <c r="Z84" s="5">
        <f t="shared" si="33"/>
        <v>1</v>
      </c>
      <c r="AA84" s="5">
        <f t="shared" si="34"/>
        <v>1</v>
      </c>
      <c r="AB84" s="5">
        <f t="shared" si="35"/>
        <v>1</v>
      </c>
    </row>
    <row r="85" spans="1:28" x14ac:dyDescent="0.3">
      <c r="A85" t="s">
        <v>115</v>
      </c>
      <c r="B85" t="s">
        <v>2364</v>
      </c>
      <c r="C85" t="s">
        <v>11</v>
      </c>
      <c r="Q85" s="5" t="e">
        <f t="shared" si="24"/>
        <v>#DIV/0!</v>
      </c>
      <c r="R85" s="5" t="e">
        <f t="shared" si="25"/>
        <v>#DIV/0!</v>
      </c>
      <c r="S85" s="5" t="e">
        <f t="shared" si="26"/>
        <v>#DIV/0!</v>
      </c>
      <c r="T85" s="5" t="e">
        <f t="shared" si="27"/>
        <v>#DIV/0!</v>
      </c>
      <c r="U85" s="5" t="e">
        <f t="shared" si="28"/>
        <v>#DIV/0!</v>
      </c>
      <c r="V85" s="5" t="e">
        <f t="shared" si="29"/>
        <v>#DIV/0!</v>
      </c>
      <c r="W85" s="5" t="e">
        <f t="shared" si="30"/>
        <v>#DIV/0!</v>
      </c>
      <c r="X85" s="5" t="e">
        <f t="shared" si="31"/>
        <v>#DIV/0!</v>
      </c>
      <c r="Y85" s="5" t="e">
        <f t="shared" si="32"/>
        <v>#DIV/0!</v>
      </c>
      <c r="Z85" s="5" t="e">
        <f t="shared" si="33"/>
        <v>#DIV/0!</v>
      </c>
      <c r="AA85" s="5" t="e">
        <f t="shared" si="34"/>
        <v>#DIV/0!</v>
      </c>
      <c r="AB85" s="5" t="e">
        <f t="shared" si="35"/>
        <v>#DIV/0!</v>
      </c>
    </row>
    <row r="86" spans="1:28" x14ac:dyDescent="0.3">
      <c r="A86" t="s">
        <v>137</v>
      </c>
      <c r="B86" t="s">
        <v>256</v>
      </c>
      <c r="C86" t="s">
        <v>9</v>
      </c>
      <c r="D86">
        <v>5</v>
      </c>
      <c r="E86">
        <v>5</v>
      </c>
      <c r="F86">
        <v>5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5</v>
      </c>
      <c r="N86">
        <v>5</v>
      </c>
      <c r="O86">
        <v>5</v>
      </c>
      <c r="P86">
        <v>5</v>
      </c>
      <c r="Q86" s="5">
        <f t="shared" si="24"/>
        <v>1</v>
      </c>
      <c r="R86" s="5">
        <f t="shared" si="25"/>
        <v>1</v>
      </c>
      <c r="S86" s="5">
        <f t="shared" si="26"/>
        <v>1</v>
      </c>
      <c r="T86" s="5">
        <f t="shared" si="27"/>
        <v>1</v>
      </c>
      <c r="U86" s="5">
        <f t="shared" si="28"/>
        <v>1</v>
      </c>
      <c r="V86" s="5">
        <f t="shared" si="29"/>
        <v>1</v>
      </c>
      <c r="W86" s="5">
        <f t="shared" si="30"/>
        <v>1</v>
      </c>
      <c r="X86" s="5">
        <f t="shared" si="31"/>
        <v>1</v>
      </c>
      <c r="Y86" s="5">
        <f t="shared" si="32"/>
        <v>1</v>
      </c>
      <c r="Z86" s="5">
        <f t="shared" si="33"/>
        <v>1</v>
      </c>
      <c r="AA86" s="5">
        <f t="shared" si="34"/>
        <v>1</v>
      </c>
      <c r="AB86" s="5">
        <f t="shared" si="35"/>
        <v>1</v>
      </c>
    </row>
    <row r="87" spans="1:28" x14ac:dyDescent="0.3">
      <c r="A87" t="s">
        <v>165</v>
      </c>
      <c r="B87" t="s">
        <v>256</v>
      </c>
      <c r="C87" t="s">
        <v>9</v>
      </c>
      <c r="D87">
        <v>5</v>
      </c>
      <c r="E87">
        <v>5</v>
      </c>
      <c r="F87">
        <v>5</v>
      </c>
      <c r="G87">
        <v>5</v>
      </c>
      <c r="H87">
        <v>5</v>
      </c>
      <c r="I87">
        <v>5</v>
      </c>
      <c r="J87">
        <v>5</v>
      </c>
      <c r="K87">
        <v>5</v>
      </c>
      <c r="L87">
        <v>5</v>
      </c>
      <c r="M87">
        <v>5</v>
      </c>
      <c r="N87">
        <v>5</v>
      </c>
      <c r="O87">
        <v>5</v>
      </c>
      <c r="P87">
        <v>5</v>
      </c>
      <c r="Q87" s="5">
        <f t="shared" si="24"/>
        <v>1</v>
      </c>
      <c r="R87" s="5">
        <f t="shared" si="25"/>
        <v>1</v>
      </c>
      <c r="S87" s="5">
        <f t="shared" si="26"/>
        <v>1</v>
      </c>
      <c r="T87" s="5">
        <f t="shared" si="27"/>
        <v>1</v>
      </c>
      <c r="U87" s="5">
        <f t="shared" si="28"/>
        <v>1</v>
      </c>
      <c r="V87" s="5">
        <f t="shared" si="29"/>
        <v>1</v>
      </c>
      <c r="W87" s="5">
        <f t="shared" si="30"/>
        <v>1</v>
      </c>
      <c r="X87" s="5">
        <f t="shared" si="31"/>
        <v>1</v>
      </c>
      <c r="Y87" s="5">
        <f t="shared" si="32"/>
        <v>1</v>
      </c>
      <c r="Z87" s="5">
        <f t="shared" si="33"/>
        <v>1</v>
      </c>
      <c r="AA87" s="5">
        <f t="shared" si="34"/>
        <v>1</v>
      </c>
      <c r="AB87" s="5">
        <f t="shared" si="35"/>
        <v>1</v>
      </c>
    </row>
    <row r="88" spans="1:28" x14ac:dyDescent="0.3">
      <c r="A88" t="s">
        <v>149</v>
      </c>
      <c r="B88" t="s">
        <v>256</v>
      </c>
      <c r="C88" t="s">
        <v>11</v>
      </c>
      <c r="Q88" s="5" t="e">
        <f t="shared" si="24"/>
        <v>#DIV/0!</v>
      </c>
      <c r="R88" s="5" t="e">
        <f t="shared" si="25"/>
        <v>#DIV/0!</v>
      </c>
      <c r="S88" s="5" t="e">
        <f t="shared" si="26"/>
        <v>#DIV/0!</v>
      </c>
      <c r="T88" s="5" t="e">
        <f t="shared" si="27"/>
        <v>#DIV/0!</v>
      </c>
      <c r="U88" s="5" t="e">
        <f t="shared" si="28"/>
        <v>#DIV/0!</v>
      </c>
      <c r="V88" s="5" t="e">
        <f t="shared" si="29"/>
        <v>#DIV/0!</v>
      </c>
      <c r="W88" s="5" t="e">
        <f t="shared" si="30"/>
        <v>#DIV/0!</v>
      </c>
      <c r="X88" s="5" t="e">
        <f t="shared" si="31"/>
        <v>#DIV/0!</v>
      </c>
      <c r="Y88" s="5" t="e">
        <f t="shared" si="32"/>
        <v>#DIV/0!</v>
      </c>
      <c r="Z88" s="5" t="e">
        <f t="shared" si="33"/>
        <v>#DIV/0!</v>
      </c>
      <c r="AA88" s="5" t="e">
        <f t="shared" si="34"/>
        <v>#DIV/0!</v>
      </c>
      <c r="AB88" s="5" t="e">
        <f t="shared" si="35"/>
        <v>#DIV/0!</v>
      </c>
    </row>
    <row r="89" spans="1:28" x14ac:dyDescent="0.3">
      <c r="A89" t="s">
        <v>157</v>
      </c>
      <c r="B89" t="s">
        <v>256</v>
      </c>
      <c r="C89" t="s">
        <v>11</v>
      </c>
      <c r="Q89" s="5" t="e">
        <f t="shared" si="24"/>
        <v>#DIV/0!</v>
      </c>
      <c r="R89" s="5" t="e">
        <f t="shared" si="25"/>
        <v>#DIV/0!</v>
      </c>
      <c r="S89" s="5" t="e">
        <f t="shared" si="26"/>
        <v>#DIV/0!</v>
      </c>
      <c r="T89" s="5" t="e">
        <f t="shared" si="27"/>
        <v>#DIV/0!</v>
      </c>
      <c r="U89" s="5" t="e">
        <f t="shared" si="28"/>
        <v>#DIV/0!</v>
      </c>
      <c r="V89" s="5" t="e">
        <f t="shared" si="29"/>
        <v>#DIV/0!</v>
      </c>
      <c r="W89" s="5" t="e">
        <f t="shared" si="30"/>
        <v>#DIV/0!</v>
      </c>
      <c r="X89" s="5" t="e">
        <f t="shared" si="31"/>
        <v>#DIV/0!</v>
      </c>
      <c r="Y89" s="5" t="e">
        <f t="shared" si="32"/>
        <v>#DIV/0!</v>
      </c>
      <c r="Z89" s="5" t="e">
        <f t="shared" si="33"/>
        <v>#DIV/0!</v>
      </c>
      <c r="AA89" s="5" t="e">
        <f t="shared" si="34"/>
        <v>#DIV/0!</v>
      </c>
      <c r="AB89" s="5"/>
    </row>
    <row r="90" spans="1:28" x14ac:dyDescent="0.3">
      <c r="A90" t="s">
        <v>112</v>
      </c>
      <c r="B90" t="s">
        <v>256</v>
      </c>
      <c r="C90" t="s">
        <v>9</v>
      </c>
      <c r="D90">
        <v>12</v>
      </c>
      <c r="E90">
        <v>12</v>
      </c>
      <c r="F90">
        <v>12</v>
      </c>
      <c r="G90">
        <v>12</v>
      </c>
      <c r="H90">
        <v>12</v>
      </c>
      <c r="I90">
        <v>12</v>
      </c>
      <c r="J90">
        <v>12</v>
      </c>
      <c r="K90">
        <v>12</v>
      </c>
      <c r="L90">
        <v>12</v>
      </c>
      <c r="M90">
        <v>12</v>
      </c>
      <c r="N90">
        <v>12</v>
      </c>
      <c r="O90">
        <v>12</v>
      </c>
      <c r="P90">
        <v>12</v>
      </c>
      <c r="Q90" s="5">
        <f t="shared" si="24"/>
        <v>1</v>
      </c>
    </row>
    <row r="91" spans="1:28" x14ac:dyDescent="0.3">
      <c r="A91" t="s">
        <v>174</v>
      </c>
      <c r="B91" t="s">
        <v>256</v>
      </c>
      <c r="C91" t="s">
        <v>9</v>
      </c>
      <c r="D91">
        <v>6</v>
      </c>
      <c r="E91">
        <v>6</v>
      </c>
      <c r="F91">
        <v>6</v>
      </c>
      <c r="G91">
        <v>6</v>
      </c>
      <c r="H91">
        <v>6</v>
      </c>
      <c r="I91">
        <v>6</v>
      </c>
      <c r="J91">
        <v>6</v>
      </c>
      <c r="K91">
        <v>6</v>
      </c>
      <c r="L91">
        <v>6</v>
      </c>
      <c r="M91">
        <v>6</v>
      </c>
      <c r="N91">
        <v>6</v>
      </c>
      <c r="O91">
        <v>6</v>
      </c>
      <c r="P91">
        <v>6</v>
      </c>
      <c r="Q91" s="5">
        <f t="shared" si="24"/>
        <v>1</v>
      </c>
    </row>
    <row r="92" spans="1:28" x14ac:dyDescent="0.3">
      <c r="A92" t="s">
        <v>178</v>
      </c>
      <c r="B92" t="s">
        <v>256</v>
      </c>
      <c r="C92" t="s">
        <v>9</v>
      </c>
      <c r="D92">
        <v>10</v>
      </c>
      <c r="E92">
        <v>10</v>
      </c>
      <c r="F92">
        <v>10</v>
      </c>
      <c r="G92">
        <v>10</v>
      </c>
      <c r="H92">
        <v>10</v>
      </c>
      <c r="I92">
        <v>10</v>
      </c>
      <c r="J92">
        <v>10</v>
      </c>
      <c r="K92">
        <v>10</v>
      </c>
      <c r="L92">
        <v>10</v>
      </c>
      <c r="M92">
        <v>10</v>
      </c>
      <c r="N92">
        <v>10</v>
      </c>
      <c r="O92">
        <v>10</v>
      </c>
      <c r="P92">
        <v>10</v>
      </c>
      <c r="Q92" s="5">
        <f t="shared" si="24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C839-6D86-4870-B1AC-539165632865}">
  <dimension ref="A1:AD90"/>
  <sheetViews>
    <sheetView topLeftCell="O1" workbookViewId="0">
      <selection activeCell="T1" sqref="T1:T1048576"/>
    </sheetView>
  </sheetViews>
  <sheetFormatPr defaultRowHeight="14.4" x14ac:dyDescent="0.3"/>
  <cols>
    <col min="1" max="1" width="69.88671875" bestFit="1" customWidth="1"/>
    <col min="2" max="2" width="16.6640625" bestFit="1" customWidth="1"/>
    <col min="3" max="3" width="28" bestFit="1" customWidth="1"/>
    <col min="4" max="4" width="7.109375" bestFit="1" customWidth="1"/>
    <col min="5" max="5" width="26.88671875" bestFit="1" customWidth="1"/>
    <col min="6" max="6" width="26.88671875" customWidth="1"/>
    <col min="7" max="7" width="16.88671875" bestFit="1" customWidth="1"/>
    <col min="8" max="8" width="16.88671875" customWidth="1"/>
    <col min="9" max="9" width="20" bestFit="1" customWidth="1"/>
    <col min="10" max="10" width="20" customWidth="1"/>
    <col min="11" max="11" width="21.44140625" bestFit="1" customWidth="1"/>
    <col min="12" max="12" width="21.44140625" customWidth="1"/>
    <col min="13" max="13" width="15.44140625" bestFit="1" customWidth="1"/>
    <col min="14" max="14" width="15.44140625" customWidth="1"/>
    <col min="15" max="15" width="20.33203125" bestFit="1" customWidth="1"/>
    <col min="16" max="16" width="20.33203125" customWidth="1"/>
    <col min="17" max="17" width="21.44140625" style="116" bestFit="1" customWidth="1"/>
    <col min="18" max="18" width="21.44140625" style="5" customWidth="1"/>
    <col min="19" max="19" width="14.77734375" style="5" bestFit="1" customWidth="1"/>
    <col min="20" max="20" width="14.77734375" style="5" customWidth="1"/>
    <col min="21" max="21" width="20.6640625" style="5" bestFit="1" customWidth="1"/>
    <col min="22" max="22" width="20.6640625" style="5" customWidth="1"/>
    <col min="23" max="23" width="15.88671875" style="5" bestFit="1" customWidth="1"/>
    <col min="24" max="24" width="15.88671875" style="5" customWidth="1"/>
    <col min="25" max="25" width="29.77734375" style="5" bestFit="1" customWidth="1"/>
    <col min="26" max="30" width="8.88671875" style="5"/>
  </cols>
  <sheetData>
    <row r="1" spans="1:28" x14ac:dyDescent="0.3">
      <c r="A1" t="s">
        <v>0</v>
      </c>
      <c r="B1" t="s">
        <v>1</v>
      </c>
      <c r="C1" t="s">
        <v>3</v>
      </c>
      <c r="D1" t="s">
        <v>2351</v>
      </c>
      <c r="E1" t="s">
        <v>2339</v>
      </c>
      <c r="F1" t="s">
        <v>2342</v>
      </c>
      <c r="G1" t="s">
        <v>2343</v>
      </c>
      <c r="H1" t="s">
        <v>2344</v>
      </c>
      <c r="I1" t="s">
        <v>2345</v>
      </c>
      <c r="J1" t="s">
        <v>2346</v>
      </c>
      <c r="K1" t="s">
        <v>2341</v>
      </c>
      <c r="L1" t="s">
        <v>2347</v>
      </c>
      <c r="M1" t="s">
        <v>2348</v>
      </c>
      <c r="N1" t="s">
        <v>2349</v>
      </c>
      <c r="O1" t="s">
        <v>2350</v>
      </c>
      <c r="P1" t="s">
        <v>2340</v>
      </c>
      <c r="Q1" s="116" t="s">
        <v>2352</v>
      </c>
      <c r="R1" s="5" t="s">
        <v>2353</v>
      </c>
      <c r="S1" s="5" t="s">
        <v>2354</v>
      </c>
      <c r="T1" s="5" t="s">
        <v>2355</v>
      </c>
      <c r="U1" s="5" t="s">
        <v>2356</v>
      </c>
      <c r="V1" s="5" t="s">
        <v>2357</v>
      </c>
      <c r="W1" s="5" t="s">
        <v>2358</v>
      </c>
      <c r="X1" s="5" t="s">
        <v>2359</v>
      </c>
      <c r="Y1" s="5" t="s">
        <v>2360</v>
      </c>
      <c r="Z1" s="5" t="s">
        <v>2361</v>
      </c>
      <c r="AA1" s="5" t="s">
        <v>2362</v>
      </c>
      <c r="AB1" s="5" t="s">
        <v>2363</v>
      </c>
    </row>
    <row r="2" spans="1:28" x14ac:dyDescent="0.3">
      <c r="A2" t="s">
        <v>132</v>
      </c>
      <c r="B2" t="s">
        <v>256</v>
      </c>
      <c r="C2" t="s">
        <v>9</v>
      </c>
      <c r="D2" s="115">
        <v>1</v>
      </c>
      <c r="E2">
        <v>1</v>
      </c>
      <c r="F2" s="115">
        <v>1</v>
      </c>
      <c r="G2">
        <v>1</v>
      </c>
      <c r="H2" s="115">
        <v>1</v>
      </c>
      <c r="I2">
        <v>1</v>
      </c>
      <c r="J2" s="115">
        <v>1</v>
      </c>
      <c r="K2">
        <v>1</v>
      </c>
      <c r="L2" s="115">
        <v>1</v>
      </c>
      <c r="M2">
        <v>1</v>
      </c>
      <c r="N2" s="115">
        <v>1</v>
      </c>
      <c r="O2">
        <v>1</v>
      </c>
      <c r="P2" s="115">
        <v>1</v>
      </c>
      <c r="Q2" s="116">
        <f t="shared" ref="Q2:Q33" si="0">E2/$D2</f>
        <v>1</v>
      </c>
      <c r="R2" s="5">
        <f t="shared" ref="R2:R33" si="1">F2/$D2</f>
        <v>1</v>
      </c>
      <c r="S2" s="5">
        <f t="shared" ref="S2:S33" si="2">G2/$D2</f>
        <v>1</v>
      </c>
      <c r="T2" s="5">
        <f t="shared" ref="T2:T33" si="3">H2/$D2</f>
        <v>1</v>
      </c>
      <c r="U2" s="5">
        <f t="shared" ref="U2:U33" si="4">I2/$D2</f>
        <v>1</v>
      </c>
      <c r="V2" s="5">
        <f t="shared" ref="V2:V33" si="5">J2/$D2</f>
        <v>1</v>
      </c>
      <c r="W2" s="5">
        <f t="shared" ref="W2:W33" si="6">K2/$D2</f>
        <v>1</v>
      </c>
      <c r="X2" s="5">
        <f t="shared" ref="X2:X33" si="7">L2/$D2</f>
        <v>1</v>
      </c>
      <c r="Y2" s="5">
        <f t="shared" ref="Y2:Y33" si="8">M2/$D2</f>
        <v>1</v>
      </c>
      <c r="Z2" s="5">
        <f t="shared" ref="Z2:Z33" si="9">N2/$D2</f>
        <v>1</v>
      </c>
      <c r="AA2" s="5">
        <f t="shared" ref="AA2:AA33" si="10">O2/$D2</f>
        <v>1</v>
      </c>
      <c r="AB2" s="5">
        <f t="shared" ref="AB2:AB33" si="11">P2/$D2</f>
        <v>1</v>
      </c>
    </row>
    <row r="3" spans="1:28" x14ac:dyDescent="0.3">
      <c r="A3" t="s">
        <v>169</v>
      </c>
      <c r="B3" t="s">
        <v>256</v>
      </c>
      <c r="C3" t="s">
        <v>9</v>
      </c>
      <c r="D3" s="115">
        <v>1</v>
      </c>
      <c r="E3">
        <v>1</v>
      </c>
      <c r="F3" s="115">
        <v>1</v>
      </c>
      <c r="G3">
        <v>1</v>
      </c>
      <c r="H3" s="115">
        <v>1</v>
      </c>
      <c r="I3">
        <v>1</v>
      </c>
      <c r="J3" s="115">
        <v>1</v>
      </c>
      <c r="K3">
        <v>1</v>
      </c>
      <c r="L3" s="115">
        <v>1</v>
      </c>
      <c r="M3">
        <v>1</v>
      </c>
      <c r="N3" s="115">
        <v>1</v>
      </c>
      <c r="O3">
        <v>1</v>
      </c>
      <c r="P3" s="115">
        <v>1</v>
      </c>
      <c r="Q3" s="116">
        <f t="shared" si="0"/>
        <v>1</v>
      </c>
      <c r="R3" s="5">
        <f t="shared" si="1"/>
        <v>1</v>
      </c>
      <c r="S3" s="5">
        <f t="shared" si="2"/>
        <v>1</v>
      </c>
      <c r="T3" s="5">
        <f t="shared" si="3"/>
        <v>1</v>
      </c>
      <c r="U3" s="5">
        <f t="shared" si="4"/>
        <v>1</v>
      </c>
      <c r="V3" s="5">
        <f t="shared" si="5"/>
        <v>1</v>
      </c>
      <c r="W3" s="5">
        <f t="shared" si="6"/>
        <v>1</v>
      </c>
      <c r="X3" s="5">
        <f t="shared" si="7"/>
        <v>1</v>
      </c>
      <c r="Y3" s="5">
        <f t="shared" si="8"/>
        <v>1</v>
      </c>
      <c r="Z3" s="5">
        <f t="shared" si="9"/>
        <v>1</v>
      </c>
      <c r="AA3" s="5">
        <f t="shared" si="10"/>
        <v>1</v>
      </c>
      <c r="AB3" s="5">
        <f t="shared" si="11"/>
        <v>1</v>
      </c>
    </row>
    <row r="4" spans="1:28" x14ac:dyDescent="0.3">
      <c r="A4" t="s">
        <v>139</v>
      </c>
      <c r="B4" t="s">
        <v>256</v>
      </c>
      <c r="C4" t="s">
        <v>9</v>
      </c>
      <c r="D4" s="115">
        <v>2</v>
      </c>
      <c r="E4">
        <v>2</v>
      </c>
      <c r="F4" s="115">
        <v>2</v>
      </c>
      <c r="G4">
        <v>2</v>
      </c>
      <c r="H4" s="115">
        <v>2</v>
      </c>
      <c r="I4">
        <v>2</v>
      </c>
      <c r="J4" s="115">
        <v>2</v>
      </c>
      <c r="K4">
        <v>2</v>
      </c>
      <c r="L4" s="115">
        <v>2</v>
      </c>
      <c r="M4">
        <v>2</v>
      </c>
      <c r="N4" s="115">
        <v>2</v>
      </c>
      <c r="O4">
        <v>2</v>
      </c>
      <c r="P4" s="115">
        <v>2</v>
      </c>
      <c r="Q4" s="116">
        <f t="shared" si="0"/>
        <v>1</v>
      </c>
      <c r="R4" s="5">
        <f t="shared" si="1"/>
        <v>1</v>
      </c>
      <c r="S4" s="5">
        <f t="shared" si="2"/>
        <v>1</v>
      </c>
      <c r="T4" s="5">
        <f t="shared" si="3"/>
        <v>1</v>
      </c>
      <c r="U4" s="5">
        <f t="shared" si="4"/>
        <v>1</v>
      </c>
      <c r="V4" s="5">
        <f t="shared" si="5"/>
        <v>1</v>
      </c>
      <c r="W4" s="5">
        <f t="shared" si="6"/>
        <v>1</v>
      </c>
      <c r="X4" s="5">
        <f t="shared" si="7"/>
        <v>1</v>
      </c>
      <c r="Y4" s="5">
        <f t="shared" si="8"/>
        <v>1</v>
      </c>
      <c r="Z4" s="5">
        <f t="shared" si="9"/>
        <v>1</v>
      </c>
      <c r="AA4" s="5">
        <f t="shared" si="10"/>
        <v>1</v>
      </c>
      <c r="AB4" s="5">
        <f t="shared" si="11"/>
        <v>1</v>
      </c>
    </row>
    <row r="5" spans="1:28" x14ac:dyDescent="0.3">
      <c r="A5" t="s">
        <v>161</v>
      </c>
      <c r="B5" t="s">
        <v>256</v>
      </c>
      <c r="C5" t="s">
        <v>9</v>
      </c>
      <c r="D5" s="115">
        <v>21</v>
      </c>
      <c r="E5">
        <v>21</v>
      </c>
      <c r="F5" s="115">
        <v>21</v>
      </c>
      <c r="G5">
        <v>21</v>
      </c>
      <c r="H5" s="115">
        <v>21</v>
      </c>
      <c r="I5">
        <v>21</v>
      </c>
      <c r="J5" s="115">
        <v>21</v>
      </c>
      <c r="K5">
        <v>21</v>
      </c>
      <c r="L5" s="115">
        <v>21</v>
      </c>
      <c r="M5">
        <v>21</v>
      </c>
      <c r="N5" s="115">
        <v>21</v>
      </c>
      <c r="O5">
        <v>21</v>
      </c>
      <c r="P5" s="115">
        <v>21</v>
      </c>
      <c r="Q5" s="116">
        <f t="shared" si="0"/>
        <v>1</v>
      </c>
      <c r="R5" s="5">
        <f t="shared" si="1"/>
        <v>1</v>
      </c>
      <c r="S5" s="5">
        <f t="shared" si="2"/>
        <v>1</v>
      </c>
      <c r="T5" s="5">
        <f t="shared" si="3"/>
        <v>1</v>
      </c>
      <c r="U5" s="5">
        <f t="shared" si="4"/>
        <v>1</v>
      </c>
      <c r="V5" s="5">
        <f t="shared" si="5"/>
        <v>1</v>
      </c>
      <c r="W5" s="5">
        <f t="shared" si="6"/>
        <v>1</v>
      </c>
      <c r="X5" s="5">
        <f t="shared" si="7"/>
        <v>1</v>
      </c>
      <c r="Y5" s="5">
        <f t="shared" si="8"/>
        <v>1</v>
      </c>
      <c r="Z5" s="5">
        <f t="shared" si="9"/>
        <v>1</v>
      </c>
      <c r="AA5" s="5">
        <f t="shared" si="10"/>
        <v>1</v>
      </c>
      <c r="AB5" s="5">
        <f t="shared" si="11"/>
        <v>1</v>
      </c>
    </row>
    <row r="6" spans="1:28" x14ac:dyDescent="0.3">
      <c r="A6" t="s">
        <v>143</v>
      </c>
      <c r="B6" t="s">
        <v>256</v>
      </c>
      <c r="C6" t="s">
        <v>9</v>
      </c>
      <c r="D6" s="115">
        <v>2</v>
      </c>
      <c r="E6">
        <v>2</v>
      </c>
      <c r="F6" s="115">
        <v>2</v>
      </c>
      <c r="G6">
        <v>2</v>
      </c>
      <c r="H6" s="115">
        <v>2</v>
      </c>
      <c r="I6">
        <v>2</v>
      </c>
      <c r="J6" s="115">
        <v>2</v>
      </c>
      <c r="K6">
        <v>2</v>
      </c>
      <c r="L6" s="115">
        <v>2</v>
      </c>
      <c r="M6">
        <v>2</v>
      </c>
      <c r="N6" s="115">
        <v>2</v>
      </c>
      <c r="O6">
        <v>2</v>
      </c>
      <c r="P6" s="115">
        <v>2</v>
      </c>
      <c r="Q6" s="116">
        <f t="shared" si="0"/>
        <v>1</v>
      </c>
      <c r="R6" s="5">
        <f t="shared" si="1"/>
        <v>1</v>
      </c>
      <c r="S6" s="5">
        <f t="shared" si="2"/>
        <v>1</v>
      </c>
      <c r="T6" s="5">
        <f t="shared" si="3"/>
        <v>1</v>
      </c>
      <c r="U6" s="5">
        <f t="shared" si="4"/>
        <v>1</v>
      </c>
      <c r="V6" s="5">
        <f t="shared" si="5"/>
        <v>1</v>
      </c>
      <c r="W6" s="5">
        <f t="shared" si="6"/>
        <v>1</v>
      </c>
      <c r="X6" s="5">
        <f t="shared" si="7"/>
        <v>1</v>
      </c>
      <c r="Y6" s="5">
        <f t="shared" si="8"/>
        <v>1</v>
      </c>
      <c r="Z6" s="5">
        <f t="shared" si="9"/>
        <v>1</v>
      </c>
      <c r="AA6" s="5">
        <f t="shared" si="10"/>
        <v>1</v>
      </c>
      <c r="AB6" s="5">
        <f t="shared" si="11"/>
        <v>1</v>
      </c>
    </row>
    <row r="7" spans="1:28" x14ac:dyDescent="0.3">
      <c r="A7" t="s">
        <v>173</v>
      </c>
      <c r="B7" t="s">
        <v>2364</v>
      </c>
      <c r="C7" t="s">
        <v>11</v>
      </c>
      <c r="D7" s="115"/>
      <c r="F7" s="115"/>
      <c r="H7" s="115"/>
      <c r="J7" s="115"/>
      <c r="L7" s="115"/>
      <c r="N7" s="115"/>
      <c r="P7" s="115"/>
      <c r="Q7" s="116" t="e">
        <f t="shared" si="0"/>
        <v>#DIV/0!</v>
      </c>
      <c r="R7" s="5" t="e">
        <f t="shared" si="1"/>
        <v>#DIV/0!</v>
      </c>
      <c r="S7" s="5" t="e">
        <f t="shared" si="2"/>
        <v>#DIV/0!</v>
      </c>
      <c r="T7" s="5" t="e">
        <f t="shared" si="3"/>
        <v>#DIV/0!</v>
      </c>
      <c r="U7" s="5" t="e">
        <f t="shared" si="4"/>
        <v>#DIV/0!</v>
      </c>
      <c r="V7" s="5" t="e">
        <f t="shared" si="5"/>
        <v>#DIV/0!</v>
      </c>
      <c r="W7" s="5" t="e">
        <f t="shared" si="6"/>
        <v>#DIV/0!</v>
      </c>
      <c r="X7" s="5" t="e">
        <f t="shared" si="7"/>
        <v>#DIV/0!</v>
      </c>
      <c r="Y7" s="5" t="e">
        <f t="shared" si="8"/>
        <v>#DIV/0!</v>
      </c>
      <c r="Z7" s="5" t="e">
        <f t="shared" si="9"/>
        <v>#DIV/0!</v>
      </c>
      <c r="AA7" s="5" t="e">
        <f t="shared" si="10"/>
        <v>#DIV/0!</v>
      </c>
      <c r="AB7" s="5" t="e">
        <f t="shared" si="11"/>
        <v>#DIV/0!</v>
      </c>
    </row>
    <row r="8" spans="1:28" x14ac:dyDescent="0.3">
      <c r="A8" t="s">
        <v>129</v>
      </c>
      <c r="B8" t="s">
        <v>256</v>
      </c>
      <c r="C8" t="s">
        <v>9</v>
      </c>
      <c r="D8" s="115">
        <v>2</v>
      </c>
      <c r="E8">
        <v>2</v>
      </c>
      <c r="F8" s="115">
        <v>2</v>
      </c>
      <c r="G8">
        <v>2</v>
      </c>
      <c r="H8" s="115">
        <v>2</v>
      </c>
      <c r="I8">
        <v>2</v>
      </c>
      <c r="J8" s="115">
        <v>2</v>
      </c>
      <c r="K8">
        <v>2</v>
      </c>
      <c r="L8" s="115">
        <v>2</v>
      </c>
      <c r="M8">
        <v>2</v>
      </c>
      <c r="N8" s="115">
        <v>2</v>
      </c>
      <c r="O8">
        <v>1</v>
      </c>
      <c r="P8" s="115">
        <v>2</v>
      </c>
      <c r="Q8" s="116">
        <f t="shared" si="0"/>
        <v>1</v>
      </c>
      <c r="R8" s="5">
        <f t="shared" si="1"/>
        <v>1</v>
      </c>
      <c r="S8" s="5">
        <f t="shared" si="2"/>
        <v>1</v>
      </c>
      <c r="T8" s="5">
        <f t="shared" si="3"/>
        <v>1</v>
      </c>
      <c r="U8" s="5">
        <f t="shared" si="4"/>
        <v>1</v>
      </c>
      <c r="V8" s="5">
        <f t="shared" si="5"/>
        <v>1</v>
      </c>
      <c r="W8" s="5">
        <f t="shared" si="6"/>
        <v>1</v>
      </c>
      <c r="X8" s="5">
        <f t="shared" si="7"/>
        <v>1</v>
      </c>
      <c r="Y8" s="5">
        <f t="shared" si="8"/>
        <v>1</v>
      </c>
      <c r="Z8" s="5">
        <f t="shared" si="9"/>
        <v>1</v>
      </c>
      <c r="AA8" s="5">
        <f t="shared" si="10"/>
        <v>0.5</v>
      </c>
      <c r="AB8" s="5">
        <f t="shared" si="11"/>
        <v>1</v>
      </c>
    </row>
    <row r="9" spans="1:28" x14ac:dyDescent="0.3">
      <c r="A9" t="s">
        <v>170</v>
      </c>
      <c r="B9" t="s">
        <v>256</v>
      </c>
      <c r="C9" t="s">
        <v>9</v>
      </c>
      <c r="D9" s="115">
        <v>1</v>
      </c>
      <c r="E9">
        <v>1</v>
      </c>
      <c r="F9" s="115">
        <v>1</v>
      </c>
      <c r="G9">
        <v>1</v>
      </c>
      <c r="H9" s="115">
        <v>1</v>
      </c>
      <c r="I9">
        <v>1</v>
      </c>
      <c r="J9" s="115">
        <v>1</v>
      </c>
      <c r="K9">
        <v>1</v>
      </c>
      <c r="L9" s="115">
        <v>1</v>
      </c>
      <c r="M9">
        <v>1</v>
      </c>
      <c r="N9" s="115">
        <v>1</v>
      </c>
      <c r="O9">
        <v>1</v>
      </c>
      <c r="P9" s="115"/>
      <c r="Q9" s="116">
        <f t="shared" si="0"/>
        <v>1</v>
      </c>
      <c r="R9" s="5">
        <f t="shared" si="1"/>
        <v>1</v>
      </c>
      <c r="S9" s="5">
        <f t="shared" si="2"/>
        <v>1</v>
      </c>
      <c r="T9" s="5">
        <f t="shared" si="3"/>
        <v>1</v>
      </c>
      <c r="U9" s="5">
        <f t="shared" si="4"/>
        <v>1</v>
      </c>
      <c r="V9" s="5">
        <f t="shared" si="5"/>
        <v>1</v>
      </c>
      <c r="W9" s="5">
        <f t="shared" si="6"/>
        <v>1</v>
      </c>
      <c r="X9" s="5">
        <f t="shared" si="7"/>
        <v>1</v>
      </c>
      <c r="Y9" s="5">
        <f t="shared" si="8"/>
        <v>1</v>
      </c>
      <c r="Z9" s="5">
        <f t="shared" si="9"/>
        <v>1</v>
      </c>
      <c r="AA9" s="5">
        <f t="shared" si="10"/>
        <v>1</v>
      </c>
      <c r="AB9" s="5">
        <f t="shared" si="11"/>
        <v>0</v>
      </c>
    </row>
    <row r="10" spans="1:28" x14ac:dyDescent="0.3">
      <c r="A10" t="s">
        <v>106</v>
      </c>
      <c r="B10" t="s">
        <v>256</v>
      </c>
      <c r="C10" t="s">
        <v>9</v>
      </c>
      <c r="D10" s="115">
        <v>2</v>
      </c>
      <c r="E10">
        <v>2</v>
      </c>
      <c r="F10" s="115">
        <v>2</v>
      </c>
      <c r="G10">
        <v>2</v>
      </c>
      <c r="H10" s="115">
        <v>2</v>
      </c>
      <c r="I10">
        <v>2</v>
      </c>
      <c r="J10" s="115">
        <v>2</v>
      </c>
      <c r="K10">
        <v>2</v>
      </c>
      <c r="L10" s="115">
        <v>2</v>
      </c>
      <c r="M10">
        <v>2</v>
      </c>
      <c r="N10" s="115">
        <v>2</v>
      </c>
      <c r="O10">
        <v>2</v>
      </c>
      <c r="P10" s="115"/>
      <c r="Q10" s="116">
        <f t="shared" si="0"/>
        <v>1</v>
      </c>
      <c r="R10" s="5">
        <f t="shared" si="1"/>
        <v>1</v>
      </c>
      <c r="S10" s="5">
        <f t="shared" si="2"/>
        <v>1</v>
      </c>
      <c r="T10" s="5">
        <f t="shared" si="3"/>
        <v>1</v>
      </c>
      <c r="U10" s="5">
        <f t="shared" si="4"/>
        <v>1</v>
      </c>
      <c r="V10" s="5">
        <f t="shared" si="5"/>
        <v>1</v>
      </c>
      <c r="W10" s="5">
        <f t="shared" si="6"/>
        <v>1</v>
      </c>
      <c r="X10" s="5">
        <f t="shared" si="7"/>
        <v>1</v>
      </c>
      <c r="Y10" s="5">
        <f t="shared" si="8"/>
        <v>1</v>
      </c>
      <c r="Z10" s="5">
        <f t="shared" si="9"/>
        <v>1</v>
      </c>
      <c r="AA10" s="5">
        <f t="shared" si="10"/>
        <v>1</v>
      </c>
      <c r="AB10" s="5">
        <f t="shared" si="11"/>
        <v>0</v>
      </c>
    </row>
    <row r="11" spans="1:28" x14ac:dyDescent="0.3">
      <c r="A11" t="s">
        <v>136</v>
      </c>
      <c r="B11" t="s">
        <v>256</v>
      </c>
      <c r="C11" t="s">
        <v>9</v>
      </c>
      <c r="D11" s="115">
        <v>6</v>
      </c>
      <c r="E11">
        <v>6</v>
      </c>
      <c r="F11" s="115">
        <v>6</v>
      </c>
      <c r="G11">
        <v>6</v>
      </c>
      <c r="H11" s="115">
        <v>6</v>
      </c>
      <c r="I11">
        <v>6</v>
      </c>
      <c r="J11" s="115">
        <v>6</v>
      </c>
      <c r="K11">
        <v>6</v>
      </c>
      <c r="L11" s="115">
        <v>6</v>
      </c>
      <c r="M11">
        <v>6</v>
      </c>
      <c r="N11" s="115">
        <v>6</v>
      </c>
      <c r="O11">
        <v>3</v>
      </c>
      <c r="P11" s="115">
        <v>4</v>
      </c>
      <c r="Q11" s="116">
        <f t="shared" si="0"/>
        <v>1</v>
      </c>
      <c r="R11" s="5">
        <f t="shared" si="1"/>
        <v>1</v>
      </c>
      <c r="S11" s="5">
        <f t="shared" si="2"/>
        <v>1</v>
      </c>
      <c r="T11" s="5">
        <f t="shared" si="3"/>
        <v>1</v>
      </c>
      <c r="U11" s="5">
        <f t="shared" si="4"/>
        <v>1</v>
      </c>
      <c r="V11" s="5">
        <f t="shared" si="5"/>
        <v>1</v>
      </c>
      <c r="W11" s="5">
        <f t="shared" si="6"/>
        <v>1</v>
      </c>
      <c r="X11" s="5">
        <f t="shared" si="7"/>
        <v>1</v>
      </c>
      <c r="Y11" s="5">
        <f t="shared" si="8"/>
        <v>1</v>
      </c>
      <c r="Z11" s="5">
        <f t="shared" si="9"/>
        <v>1</v>
      </c>
      <c r="AA11" s="5">
        <f t="shared" si="10"/>
        <v>0.5</v>
      </c>
      <c r="AB11" s="5">
        <f t="shared" si="11"/>
        <v>0.66666666666666663</v>
      </c>
    </row>
    <row r="12" spans="1:28" x14ac:dyDescent="0.3">
      <c r="A12" t="s">
        <v>166</v>
      </c>
      <c r="B12" t="s">
        <v>256</v>
      </c>
      <c r="C12" t="s">
        <v>9</v>
      </c>
      <c r="D12" s="115">
        <v>88</v>
      </c>
      <c r="E12">
        <v>88</v>
      </c>
      <c r="F12" s="115">
        <v>88</v>
      </c>
      <c r="G12">
        <v>88</v>
      </c>
      <c r="H12" s="115">
        <v>88</v>
      </c>
      <c r="I12">
        <v>88</v>
      </c>
      <c r="J12" s="115">
        <v>88</v>
      </c>
      <c r="K12">
        <v>88</v>
      </c>
      <c r="L12" s="115">
        <v>88</v>
      </c>
      <c r="M12">
        <v>88</v>
      </c>
      <c r="N12" s="115">
        <v>88</v>
      </c>
      <c r="O12">
        <v>88</v>
      </c>
      <c r="P12" s="115">
        <v>84</v>
      </c>
      <c r="Q12" s="116">
        <f t="shared" si="0"/>
        <v>1</v>
      </c>
      <c r="R12" s="5">
        <f t="shared" si="1"/>
        <v>1</v>
      </c>
      <c r="S12" s="5">
        <f t="shared" si="2"/>
        <v>1</v>
      </c>
      <c r="T12" s="5">
        <f t="shared" si="3"/>
        <v>1</v>
      </c>
      <c r="U12" s="5">
        <f t="shared" si="4"/>
        <v>1</v>
      </c>
      <c r="V12" s="5">
        <f t="shared" si="5"/>
        <v>1</v>
      </c>
      <c r="W12" s="5">
        <f t="shared" si="6"/>
        <v>1</v>
      </c>
      <c r="X12" s="5">
        <f t="shared" si="7"/>
        <v>1</v>
      </c>
      <c r="Y12" s="5">
        <f t="shared" si="8"/>
        <v>1</v>
      </c>
      <c r="Z12" s="5">
        <f t="shared" si="9"/>
        <v>1</v>
      </c>
      <c r="AA12" s="5">
        <f t="shared" si="10"/>
        <v>1</v>
      </c>
      <c r="AB12" s="5">
        <f t="shared" si="11"/>
        <v>0.95454545454545459</v>
      </c>
    </row>
    <row r="13" spans="1:28" x14ac:dyDescent="0.3">
      <c r="A13" t="s">
        <v>128</v>
      </c>
      <c r="B13" t="s">
        <v>256</v>
      </c>
      <c r="C13" t="s">
        <v>9</v>
      </c>
      <c r="D13" s="115">
        <v>1</v>
      </c>
      <c r="E13">
        <v>1</v>
      </c>
      <c r="F13" s="115">
        <v>1</v>
      </c>
      <c r="G13">
        <v>1</v>
      </c>
      <c r="H13" s="115">
        <v>1</v>
      </c>
      <c r="I13">
        <v>1</v>
      </c>
      <c r="J13" s="115">
        <v>1</v>
      </c>
      <c r="K13">
        <v>1</v>
      </c>
      <c r="L13" s="115">
        <v>1</v>
      </c>
      <c r="M13">
        <v>1</v>
      </c>
      <c r="N13" s="115">
        <v>1</v>
      </c>
      <c r="O13">
        <v>1</v>
      </c>
      <c r="P13" s="115">
        <v>1</v>
      </c>
      <c r="Q13" s="116">
        <f t="shared" si="0"/>
        <v>1</v>
      </c>
      <c r="R13" s="5">
        <f t="shared" si="1"/>
        <v>1</v>
      </c>
      <c r="S13" s="5">
        <f t="shared" si="2"/>
        <v>1</v>
      </c>
      <c r="T13" s="5">
        <f t="shared" si="3"/>
        <v>1</v>
      </c>
      <c r="U13" s="5">
        <f t="shared" si="4"/>
        <v>1</v>
      </c>
      <c r="V13" s="5">
        <f t="shared" si="5"/>
        <v>1</v>
      </c>
      <c r="W13" s="5">
        <f t="shared" si="6"/>
        <v>1</v>
      </c>
      <c r="X13" s="5">
        <f t="shared" si="7"/>
        <v>1</v>
      </c>
      <c r="Y13" s="5">
        <f t="shared" si="8"/>
        <v>1</v>
      </c>
      <c r="Z13" s="5">
        <f t="shared" si="9"/>
        <v>1</v>
      </c>
      <c r="AA13" s="5">
        <f t="shared" si="10"/>
        <v>1</v>
      </c>
      <c r="AB13" s="5">
        <f t="shared" si="11"/>
        <v>1</v>
      </c>
    </row>
    <row r="14" spans="1:28" x14ac:dyDescent="0.3">
      <c r="A14" t="s">
        <v>167</v>
      </c>
      <c r="B14" t="s">
        <v>256</v>
      </c>
      <c r="C14" t="s">
        <v>9</v>
      </c>
      <c r="D14" s="115">
        <v>2</v>
      </c>
      <c r="E14">
        <v>2</v>
      </c>
      <c r="F14" s="115">
        <v>2</v>
      </c>
      <c r="G14">
        <v>2</v>
      </c>
      <c r="H14" s="115">
        <v>2</v>
      </c>
      <c r="I14">
        <v>2</v>
      </c>
      <c r="J14" s="115">
        <v>2</v>
      </c>
      <c r="K14">
        <v>2</v>
      </c>
      <c r="L14" s="115">
        <v>2</v>
      </c>
      <c r="M14">
        <v>2</v>
      </c>
      <c r="N14" s="115">
        <v>2</v>
      </c>
      <c r="O14">
        <v>2</v>
      </c>
      <c r="P14" s="115">
        <v>2</v>
      </c>
      <c r="Q14" s="116">
        <f t="shared" si="0"/>
        <v>1</v>
      </c>
      <c r="R14" s="5">
        <f t="shared" si="1"/>
        <v>1</v>
      </c>
      <c r="S14" s="5">
        <f t="shared" si="2"/>
        <v>1</v>
      </c>
      <c r="T14" s="5">
        <f t="shared" si="3"/>
        <v>1</v>
      </c>
      <c r="U14" s="5">
        <f t="shared" si="4"/>
        <v>1</v>
      </c>
      <c r="V14" s="5">
        <f t="shared" si="5"/>
        <v>1</v>
      </c>
      <c r="W14" s="5">
        <f t="shared" si="6"/>
        <v>1</v>
      </c>
      <c r="X14" s="5">
        <f t="shared" si="7"/>
        <v>1</v>
      </c>
      <c r="Y14" s="5">
        <f t="shared" si="8"/>
        <v>1</v>
      </c>
      <c r="Z14" s="5">
        <f t="shared" si="9"/>
        <v>1</v>
      </c>
      <c r="AA14" s="5">
        <f t="shared" si="10"/>
        <v>1</v>
      </c>
      <c r="AB14" s="5">
        <f t="shared" si="11"/>
        <v>1</v>
      </c>
    </row>
    <row r="15" spans="1:28" x14ac:dyDescent="0.3">
      <c r="A15" t="s">
        <v>144</v>
      </c>
      <c r="B15" t="s">
        <v>256</v>
      </c>
      <c r="C15" t="s">
        <v>9</v>
      </c>
      <c r="D15" s="115">
        <v>1</v>
      </c>
      <c r="E15">
        <v>1</v>
      </c>
      <c r="F15" s="115">
        <v>1</v>
      </c>
      <c r="G15">
        <v>1</v>
      </c>
      <c r="H15" s="115">
        <v>1</v>
      </c>
      <c r="I15">
        <v>1</v>
      </c>
      <c r="J15" s="115">
        <v>1</v>
      </c>
      <c r="K15">
        <v>1</v>
      </c>
      <c r="L15" s="115">
        <v>1</v>
      </c>
      <c r="M15">
        <v>1</v>
      </c>
      <c r="N15" s="115">
        <v>1</v>
      </c>
      <c r="O15">
        <v>1</v>
      </c>
      <c r="P15" s="115"/>
      <c r="Q15" s="116">
        <f t="shared" si="0"/>
        <v>1</v>
      </c>
      <c r="R15" s="5">
        <f t="shared" si="1"/>
        <v>1</v>
      </c>
      <c r="S15" s="5">
        <f t="shared" si="2"/>
        <v>1</v>
      </c>
      <c r="T15" s="5">
        <f t="shared" si="3"/>
        <v>1</v>
      </c>
      <c r="U15" s="5">
        <f t="shared" si="4"/>
        <v>1</v>
      </c>
      <c r="V15" s="5">
        <f t="shared" si="5"/>
        <v>1</v>
      </c>
      <c r="W15" s="5">
        <f t="shared" si="6"/>
        <v>1</v>
      </c>
      <c r="X15" s="5">
        <f t="shared" si="7"/>
        <v>1</v>
      </c>
      <c r="Y15" s="5">
        <f t="shared" si="8"/>
        <v>1</v>
      </c>
      <c r="Z15" s="5">
        <f t="shared" si="9"/>
        <v>1</v>
      </c>
      <c r="AA15" s="5">
        <f t="shared" si="10"/>
        <v>1</v>
      </c>
      <c r="AB15" s="5">
        <f t="shared" si="11"/>
        <v>0</v>
      </c>
    </row>
    <row r="16" spans="1:28" x14ac:dyDescent="0.3">
      <c r="A16" t="s">
        <v>163</v>
      </c>
      <c r="B16" t="s">
        <v>256</v>
      </c>
      <c r="C16" t="s">
        <v>9</v>
      </c>
      <c r="D16" s="115">
        <v>1</v>
      </c>
      <c r="E16">
        <v>1</v>
      </c>
      <c r="F16" s="115">
        <v>1</v>
      </c>
      <c r="G16">
        <v>1</v>
      </c>
      <c r="H16" s="115">
        <v>1</v>
      </c>
      <c r="I16">
        <v>1</v>
      </c>
      <c r="J16" s="115">
        <v>1</v>
      </c>
      <c r="K16">
        <v>1</v>
      </c>
      <c r="L16" s="115">
        <v>1</v>
      </c>
      <c r="M16">
        <v>1</v>
      </c>
      <c r="N16" s="115">
        <v>1</v>
      </c>
      <c r="O16">
        <v>1</v>
      </c>
      <c r="P16" s="115"/>
      <c r="Q16" s="116">
        <f t="shared" si="0"/>
        <v>1</v>
      </c>
      <c r="R16" s="5">
        <f t="shared" si="1"/>
        <v>1</v>
      </c>
      <c r="S16" s="5">
        <f t="shared" si="2"/>
        <v>1</v>
      </c>
      <c r="T16" s="5">
        <f t="shared" si="3"/>
        <v>1</v>
      </c>
      <c r="U16" s="5">
        <f t="shared" si="4"/>
        <v>1</v>
      </c>
      <c r="V16" s="5">
        <f t="shared" si="5"/>
        <v>1</v>
      </c>
      <c r="W16" s="5">
        <f t="shared" si="6"/>
        <v>1</v>
      </c>
      <c r="X16" s="5">
        <f t="shared" si="7"/>
        <v>1</v>
      </c>
      <c r="Y16" s="5">
        <f t="shared" si="8"/>
        <v>1</v>
      </c>
      <c r="Z16" s="5">
        <f t="shared" si="9"/>
        <v>1</v>
      </c>
      <c r="AA16" s="5">
        <f t="shared" si="10"/>
        <v>1</v>
      </c>
      <c r="AB16" s="5">
        <f t="shared" si="11"/>
        <v>0</v>
      </c>
    </row>
    <row r="17" spans="1:28" x14ac:dyDescent="0.3">
      <c r="A17" t="s">
        <v>159</v>
      </c>
      <c r="B17" t="s">
        <v>256</v>
      </c>
      <c r="C17" t="s">
        <v>9</v>
      </c>
      <c r="D17" s="115">
        <v>1</v>
      </c>
      <c r="E17">
        <v>1</v>
      </c>
      <c r="F17" s="115">
        <v>1</v>
      </c>
      <c r="G17">
        <v>1</v>
      </c>
      <c r="H17" s="115">
        <v>1</v>
      </c>
      <c r="I17">
        <v>1</v>
      </c>
      <c r="J17" s="115">
        <v>1</v>
      </c>
      <c r="K17">
        <v>1</v>
      </c>
      <c r="L17" s="115">
        <v>1</v>
      </c>
      <c r="M17">
        <v>1</v>
      </c>
      <c r="N17" s="115">
        <v>1</v>
      </c>
      <c r="O17">
        <v>1</v>
      </c>
      <c r="P17" s="115"/>
      <c r="Q17" s="116">
        <f t="shared" si="0"/>
        <v>1</v>
      </c>
      <c r="R17" s="5">
        <f t="shared" si="1"/>
        <v>1</v>
      </c>
      <c r="S17" s="5">
        <f t="shared" si="2"/>
        <v>1</v>
      </c>
      <c r="T17" s="5">
        <f t="shared" si="3"/>
        <v>1</v>
      </c>
      <c r="U17" s="5">
        <f t="shared" si="4"/>
        <v>1</v>
      </c>
      <c r="V17" s="5">
        <f t="shared" si="5"/>
        <v>1</v>
      </c>
      <c r="W17" s="5">
        <f t="shared" si="6"/>
        <v>1</v>
      </c>
      <c r="X17" s="5">
        <f t="shared" si="7"/>
        <v>1</v>
      </c>
      <c r="Y17" s="5">
        <f t="shared" si="8"/>
        <v>1</v>
      </c>
      <c r="Z17" s="5">
        <f t="shared" si="9"/>
        <v>1</v>
      </c>
      <c r="AA17" s="5">
        <f t="shared" si="10"/>
        <v>1</v>
      </c>
      <c r="AB17" s="5">
        <f t="shared" si="11"/>
        <v>0</v>
      </c>
    </row>
    <row r="18" spans="1:28" x14ac:dyDescent="0.3">
      <c r="A18" t="s">
        <v>185</v>
      </c>
      <c r="B18" t="s">
        <v>256</v>
      </c>
      <c r="C18" t="s">
        <v>9</v>
      </c>
      <c r="D18" s="115">
        <v>2</v>
      </c>
      <c r="E18">
        <v>2</v>
      </c>
      <c r="F18" s="115">
        <v>2</v>
      </c>
      <c r="G18">
        <v>2</v>
      </c>
      <c r="H18" s="115">
        <v>2</v>
      </c>
      <c r="I18">
        <v>2</v>
      </c>
      <c r="J18" s="115">
        <v>2</v>
      </c>
      <c r="K18">
        <v>2</v>
      </c>
      <c r="L18" s="115">
        <v>2</v>
      </c>
      <c r="M18">
        <v>2</v>
      </c>
      <c r="N18" s="115">
        <v>2</v>
      </c>
      <c r="O18">
        <v>2</v>
      </c>
      <c r="P18" s="115">
        <v>2</v>
      </c>
      <c r="Q18" s="116">
        <f t="shared" si="0"/>
        <v>1</v>
      </c>
      <c r="R18" s="5">
        <f t="shared" si="1"/>
        <v>1</v>
      </c>
      <c r="S18" s="5">
        <f t="shared" si="2"/>
        <v>1</v>
      </c>
      <c r="T18" s="5">
        <f t="shared" si="3"/>
        <v>1</v>
      </c>
      <c r="U18" s="5">
        <f t="shared" si="4"/>
        <v>1</v>
      </c>
      <c r="V18" s="5">
        <f t="shared" si="5"/>
        <v>1</v>
      </c>
      <c r="W18" s="5">
        <f t="shared" si="6"/>
        <v>1</v>
      </c>
      <c r="X18" s="5">
        <f t="shared" si="7"/>
        <v>1</v>
      </c>
      <c r="Y18" s="5">
        <f t="shared" si="8"/>
        <v>1</v>
      </c>
      <c r="Z18" s="5">
        <f t="shared" si="9"/>
        <v>1</v>
      </c>
      <c r="AA18" s="5">
        <f t="shared" si="10"/>
        <v>1</v>
      </c>
      <c r="AB18" s="5">
        <f t="shared" si="11"/>
        <v>1</v>
      </c>
    </row>
    <row r="19" spans="1:28" x14ac:dyDescent="0.3">
      <c r="A19" t="s">
        <v>172</v>
      </c>
      <c r="B19" t="s">
        <v>256</v>
      </c>
      <c r="C19" t="s">
        <v>9</v>
      </c>
      <c r="D19" s="115">
        <v>29</v>
      </c>
      <c r="E19">
        <v>29</v>
      </c>
      <c r="F19" s="115">
        <v>29</v>
      </c>
      <c r="G19">
        <v>29</v>
      </c>
      <c r="H19" s="115">
        <v>29</v>
      </c>
      <c r="I19">
        <v>29</v>
      </c>
      <c r="J19" s="115">
        <v>29</v>
      </c>
      <c r="K19">
        <v>29</v>
      </c>
      <c r="L19" s="115">
        <v>29</v>
      </c>
      <c r="M19">
        <v>29</v>
      </c>
      <c r="N19" s="115"/>
      <c r="O19">
        <v>29</v>
      </c>
      <c r="P19" s="115">
        <v>29</v>
      </c>
      <c r="Q19" s="116">
        <f t="shared" si="0"/>
        <v>1</v>
      </c>
      <c r="R19" s="5">
        <f t="shared" si="1"/>
        <v>1</v>
      </c>
      <c r="S19" s="5">
        <f t="shared" si="2"/>
        <v>1</v>
      </c>
      <c r="T19" s="5">
        <f t="shared" si="3"/>
        <v>1</v>
      </c>
      <c r="U19" s="5">
        <f t="shared" si="4"/>
        <v>1</v>
      </c>
      <c r="V19" s="5">
        <f t="shared" si="5"/>
        <v>1</v>
      </c>
      <c r="W19" s="5">
        <f t="shared" si="6"/>
        <v>1</v>
      </c>
      <c r="X19" s="5">
        <f t="shared" si="7"/>
        <v>1</v>
      </c>
      <c r="Y19" s="5">
        <f t="shared" si="8"/>
        <v>1</v>
      </c>
      <c r="Z19" s="5">
        <f t="shared" si="9"/>
        <v>0</v>
      </c>
      <c r="AA19" s="5">
        <f t="shared" si="10"/>
        <v>1</v>
      </c>
      <c r="AB19" s="5">
        <f t="shared" si="11"/>
        <v>1</v>
      </c>
    </row>
    <row r="20" spans="1:28" x14ac:dyDescent="0.3">
      <c r="A20" t="s">
        <v>152</v>
      </c>
      <c r="B20" t="s">
        <v>256</v>
      </c>
      <c r="C20" t="s">
        <v>9</v>
      </c>
      <c r="D20" s="115">
        <v>11</v>
      </c>
      <c r="E20">
        <v>11</v>
      </c>
      <c r="F20" s="115">
        <v>11</v>
      </c>
      <c r="G20">
        <v>11</v>
      </c>
      <c r="H20" s="115">
        <v>11</v>
      </c>
      <c r="I20">
        <v>11</v>
      </c>
      <c r="J20" s="115">
        <v>11</v>
      </c>
      <c r="K20">
        <v>11</v>
      </c>
      <c r="L20" s="115">
        <v>11</v>
      </c>
      <c r="M20">
        <v>11</v>
      </c>
      <c r="N20" s="115"/>
      <c r="O20">
        <v>11</v>
      </c>
      <c r="P20" s="115">
        <v>11</v>
      </c>
      <c r="Q20" s="116">
        <f t="shared" si="0"/>
        <v>1</v>
      </c>
      <c r="R20" s="5">
        <f t="shared" si="1"/>
        <v>1</v>
      </c>
      <c r="S20" s="5">
        <f t="shared" si="2"/>
        <v>1</v>
      </c>
      <c r="T20" s="5">
        <f t="shared" si="3"/>
        <v>1</v>
      </c>
      <c r="U20" s="5">
        <f t="shared" si="4"/>
        <v>1</v>
      </c>
      <c r="V20" s="5">
        <f t="shared" si="5"/>
        <v>1</v>
      </c>
      <c r="W20" s="5">
        <f t="shared" si="6"/>
        <v>1</v>
      </c>
      <c r="X20" s="5">
        <f t="shared" si="7"/>
        <v>1</v>
      </c>
      <c r="Y20" s="5">
        <f t="shared" si="8"/>
        <v>1</v>
      </c>
      <c r="Z20" s="5">
        <f t="shared" si="9"/>
        <v>0</v>
      </c>
      <c r="AA20" s="5">
        <f t="shared" si="10"/>
        <v>1</v>
      </c>
      <c r="AB20" s="5">
        <f t="shared" si="11"/>
        <v>1</v>
      </c>
    </row>
    <row r="21" spans="1:28" x14ac:dyDescent="0.3">
      <c r="A21" t="s">
        <v>142</v>
      </c>
      <c r="B21" t="s">
        <v>256</v>
      </c>
      <c r="C21" t="s">
        <v>9</v>
      </c>
      <c r="D21" s="115">
        <v>1</v>
      </c>
      <c r="E21">
        <v>1</v>
      </c>
      <c r="F21" s="115">
        <v>1</v>
      </c>
      <c r="G21">
        <v>1</v>
      </c>
      <c r="H21" s="115">
        <v>1</v>
      </c>
      <c r="I21">
        <v>1</v>
      </c>
      <c r="J21" s="115">
        <v>1</v>
      </c>
      <c r="K21">
        <v>1</v>
      </c>
      <c r="L21" s="115"/>
      <c r="M21">
        <v>1</v>
      </c>
      <c r="N21" s="115"/>
      <c r="O21">
        <v>1</v>
      </c>
      <c r="P21" s="115">
        <v>1</v>
      </c>
      <c r="Q21" s="116">
        <f t="shared" si="0"/>
        <v>1</v>
      </c>
      <c r="R21" s="5">
        <f t="shared" si="1"/>
        <v>1</v>
      </c>
      <c r="S21" s="5">
        <f t="shared" si="2"/>
        <v>1</v>
      </c>
      <c r="T21" s="5">
        <f t="shared" si="3"/>
        <v>1</v>
      </c>
      <c r="U21" s="5">
        <f t="shared" si="4"/>
        <v>1</v>
      </c>
      <c r="V21" s="5">
        <f t="shared" si="5"/>
        <v>1</v>
      </c>
      <c r="W21" s="5">
        <f t="shared" si="6"/>
        <v>1</v>
      </c>
      <c r="X21" s="5">
        <f t="shared" si="7"/>
        <v>0</v>
      </c>
      <c r="Y21" s="5">
        <f t="shared" si="8"/>
        <v>1</v>
      </c>
      <c r="Z21" s="5">
        <f t="shared" si="9"/>
        <v>0</v>
      </c>
      <c r="AA21" s="5">
        <f t="shared" si="10"/>
        <v>1</v>
      </c>
      <c r="AB21" s="5">
        <f t="shared" si="11"/>
        <v>1</v>
      </c>
    </row>
    <row r="22" spans="1:28" x14ac:dyDescent="0.3">
      <c r="A22" t="s">
        <v>121</v>
      </c>
      <c r="B22" t="s">
        <v>256</v>
      </c>
      <c r="C22" t="s">
        <v>9</v>
      </c>
      <c r="D22" s="115">
        <v>1</v>
      </c>
      <c r="E22">
        <v>1</v>
      </c>
      <c r="F22" s="115">
        <v>1</v>
      </c>
      <c r="G22">
        <v>1</v>
      </c>
      <c r="H22" s="115">
        <v>1</v>
      </c>
      <c r="I22">
        <v>1</v>
      </c>
      <c r="J22" s="115"/>
      <c r="K22">
        <v>1</v>
      </c>
      <c r="L22" s="115">
        <v>1</v>
      </c>
      <c r="M22">
        <v>1</v>
      </c>
      <c r="N22" s="115"/>
      <c r="P22" s="115">
        <v>1</v>
      </c>
      <c r="Q22" s="116">
        <f t="shared" si="0"/>
        <v>1</v>
      </c>
      <c r="R22" s="5">
        <f t="shared" si="1"/>
        <v>1</v>
      </c>
      <c r="S22" s="5">
        <f t="shared" si="2"/>
        <v>1</v>
      </c>
      <c r="T22" s="5">
        <f t="shared" si="3"/>
        <v>1</v>
      </c>
      <c r="U22" s="5">
        <f t="shared" si="4"/>
        <v>1</v>
      </c>
      <c r="V22" s="5">
        <f t="shared" si="5"/>
        <v>0</v>
      </c>
      <c r="W22" s="5">
        <f t="shared" si="6"/>
        <v>1</v>
      </c>
      <c r="X22" s="5">
        <f t="shared" si="7"/>
        <v>1</v>
      </c>
      <c r="Y22" s="5">
        <f t="shared" si="8"/>
        <v>1</v>
      </c>
      <c r="Z22" s="5">
        <f t="shared" si="9"/>
        <v>0</v>
      </c>
      <c r="AA22" s="5">
        <f t="shared" si="10"/>
        <v>0</v>
      </c>
      <c r="AB22" s="5">
        <f t="shared" si="11"/>
        <v>1</v>
      </c>
    </row>
    <row r="23" spans="1:28" x14ac:dyDescent="0.3">
      <c r="A23" t="s">
        <v>121</v>
      </c>
      <c r="B23" t="s">
        <v>256</v>
      </c>
      <c r="C23" t="s">
        <v>11</v>
      </c>
      <c r="D23" s="115"/>
      <c r="F23" s="115"/>
      <c r="H23" s="115"/>
      <c r="J23" s="115"/>
      <c r="L23" s="115"/>
      <c r="N23" s="115"/>
      <c r="P23" s="115"/>
      <c r="Q23" s="116" t="e">
        <f t="shared" si="0"/>
        <v>#DIV/0!</v>
      </c>
      <c r="R23" s="5" t="e">
        <f t="shared" si="1"/>
        <v>#DIV/0!</v>
      </c>
      <c r="S23" s="5" t="e">
        <f t="shared" si="2"/>
        <v>#DIV/0!</v>
      </c>
      <c r="T23" s="5" t="e">
        <f t="shared" si="3"/>
        <v>#DIV/0!</v>
      </c>
      <c r="U23" s="5" t="e">
        <f t="shared" si="4"/>
        <v>#DIV/0!</v>
      </c>
      <c r="V23" s="5" t="e">
        <f t="shared" si="5"/>
        <v>#DIV/0!</v>
      </c>
      <c r="W23" s="5" t="e">
        <f t="shared" si="6"/>
        <v>#DIV/0!</v>
      </c>
      <c r="X23" s="5" t="e">
        <f t="shared" si="7"/>
        <v>#DIV/0!</v>
      </c>
      <c r="Y23" s="5" t="e">
        <f t="shared" si="8"/>
        <v>#DIV/0!</v>
      </c>
      <c r="Z23" s="5" t="e">
        <f t="shared" si="9"/>
        <v>#DIV/0!</v>
      </c>
      <c r="AA23" s="5" t="e">
        <f t="shared" si="10"/>
        <v>#DIV/0!</v>
      </c>
      <c r="AB23" s="5" t="e">
        <f t="shared" si="11"/>
        <v>#DIV/0!</v>
      </c>
    </row>
    <row r="24" spans="1:28" x14ac:dyDescent="0.3">
      <c r="A24" t="s">
        <v>121</v>
      </c>
      <c r="B24" t="s">
        <v>2364</v>
      </c>
      <c r="C24" t="s">
        <v>11</v>
      </c>
      <c r="D24" s="115"/>
      <c r="F24" s="115"/>
      <c r="H24" s="115"/>
      <c r="J24" s="115"/>
      <c r="L24" s="115"/>
      <c r="N24" s="115"/>
      <c r="P24" s="115"/>
      <c r="Q24" s="116" t="e">
        <f t="shared" si="0"/>
        <v>#DIV/0!</v>
      </c>
      <c r="R24" s="5" t="e">
        <f t="shared" si="1"/>
        <v>#DIV/0!</v>
      </c>
      <c r="S24" s="5" t="e">
        <f t="shared" si="2"/>
        <v>#DIV/0!</v>
      </c>
      <c r="T24" s="5" t="e">
        <f t="shared" si="3"/>
        <v>#DIV/0!</v>
      </c>
      <c r="U24" s="5" t="e">
        <f t="shared" si="4"/>
        <v>#DIV/0!</v>
      </c>
      <c r="V24" s="5" t="e">
        <f t="shared" si="5"/>
        <v>#DIV/0!</v>
      </c>
      <c r="W24" s="5" t="e">
        <f t="shared" si="6"/>
        <v>#DIV/0!</v>
      </c>
      <c r="X24" s="5" t="e">
        <f t="shared" si="7"/>
        <v>#DIV/0!</v>
      </c>
      <c r="Y24" s="5" t="e">
        <f t="shared" si="8"/>
        <v>#DIV/0!</v>
      </c>
      <c r="Z24" s="5" t="e">
        <f t="shared" si="9"/>
        <v>#DIV/0!</v>
      </c>
      <c r="AA24" s="5" t="e">
        <f t="shared" si="10"/>
        <v>#DIV/0!</v>
      </c>
      <c r="AB24" s="5" t="e">
        <f t="shared" si="11"/>
        <v>#DIV/0!</v>
      </c>
    </row>
    <row r="25" spans="1:28" x14ac:dyDescent="0.3">
      <c r="A25" t="s">
        <v>181</v>
      </c>
      <c r="B25" t="s">
        <v>256</v>
      </c>
      <c r="C25" t="s">
        <v>9</v>
      </c>
      <c r="D25" s="115">
        <v>1</v>
      </c>
      <c r="E25">
        <v>1</v>
      </c>
      <c r="F25" s="115">
        <v>1</v>
      </c>
      <c r="G25">
        <v>1</v>
      </c>
      <c r="H25" s="115">
        <v>1</v>
      </c>
      <c r="I25">
        <v>1</v>
      </c>
      <c r="J25" s="115">
        <v>1</v>
      </c>
      <c r="K25">
        <v>1</v>
      </c>
      <c r="L25" s="115">
        <v>1</v>
      </c>
      <c r="M25">
        <v>1</v>
      </c>
      <c r="N25" s="115">
        <v>1</v>
      </c>
      <c r="O25">
        <v>1</v>
      </c>
      <c r="P25" s="115">
        <v>1</v>
      </c>
      <c r="Q25" s="116">
        <f t="shared" si="0"/>
        <v>1</v>
      </c>
      <c r="R25" s="5">
        <f t="shared" si="1"/>
        <v>1</v>
      </c>
      <c r="S25" s="5">
        <f t="shared" si="2"/>
        <v>1</v>
      </c>
      <c r="T25" s="5">
        <f t="shared" si="3"/>
        <v>1</v>
      </c>
      <c r="U25" s="5">
        <f t="shared" si="4"/>
        <v>1</v>
      </c>
      <c r="V25" s="5">
        <f t="shared" si="5"/>
        <v>1</v>
      </c>
      <c r="W25" s="5">
        <f t="shared" si="6"/>
        <v>1</v>
      </c>
      <c r="X25" s="5">
        <f t="shared" si="7"/>
        <v>1</v>
      </c>
      <c r="Y25" s="5">
        <f t="shared" si="8"/>
        <v>1</v>
      </c>
      <c r="Z25" s="5">
        <f t="shared" si="9"/>
        <v>1</v>
      </c>
      <c r="AA25" s="5">
        <f t="shared" si="10"/>
        <v>1</v>
      </c>
      <c r="AB25" s="5">
        <f t="shared" si="11"/>
        <v>1</v>
      </c>
    </row>
    <row r="26" spans="1:28" x14ac:dyDescent="0.3">
      <c r="A26" t="s">
        <v>120</v>
      </c>
      <c r="B26" t="s">
        <v>256</v>
      </c>
      <c r="C26" t="s">
        <v>9</v>
      </c>
      <c r="D26" s="115">
        <v>1</v>
      </c>
      <c r="E26">
        <v>1</v>
      </c>
      <c r="F26" s="115">
        <v>1</v>
      </c>
      <c r="G26">
        <v>1</v>
      </c>
      <c r="H26" s="115">
        <v>1</v>
      </c>
      <c r="I26">
        <v>1</v>
      </c>
      <c r="J26" s="115">
        <v>1</v>
      </c>
      <c r="K26">
        <v>1</v>
      </c>
      <c r="L26" s="115">
        <v>1</v>
      </c>
      <c r="M26">
        <v>1</v>
      </c>
      <c r="N26" s="115">
        <v>1</v>
      </c>
      <c r="O26">
        <v>1</v>
      </c>
      <c r="P26" s="115">
        <v>1</v>
      </c>
      <c r="Q26" s="116">
        <f t="shared" si="0"/>
        <v>1</v>
      </c>
      <c r="R26" s="5">
        <f t="shared" si="1"/>
        <v>1</v>
      </c>
      <c r="S26" s="5">
        <f t="shared" si="2"/>
        <v>1</v>
      </c>
      <c r="T26" s="5">
        <f t="shared" si="3"/>
        <v>1</v>
      </c>
      <c r="U26" s="5">
        <f t="shared" si="4"/>
        <v>1</v>
      </c>
      <c r="V26" s="5">
        <f t="shared" si="5"/>
        <v>1</v>
      </c>
      <c r="W26" s="5">
        <f t="shared" si="6"/>
        <v>1</v>
      </c>
      <c r="X26" s="5">
        <f t="shared" si="7"/>
        <v>1</v>
      </c>
      <c r="Y26" s="5">
        <f t="shared" si="8"/>
        <v>1</v>
      </c>
      <c r="Z26" s="5">
        <f t="shared" si="9"/>
        <v>1</v>
      </c>
      <c r="AA26" s="5">
        <f t="shared" si="10"/>
        <v>1</v>
      </c>
      <c r="AB26" s="5">
        <f t="shared" si="11"/>
        <v>1</v>
      </c>
    </row>
    <row r="27" spans="1:28" x14ac:dyDescent="0.3">
      <c r="A27" t="s">
        <v>145</v>
      </c>
      <c r="B27" t="s">
        <v>256</v>
      </c>
      <c r="C27" t="s">
        <v>9</v>
      </c>
      <c r="D27" s="115">
        <v>1</v>
      </c>
      <c r="E27">
        <v>1</v>
      </c>
      <c r="F27" s="115">
        <v>1</v>
      </c>
      <c r="G27">
        <v>1</v>
      </c>
      <c r="H27" s="115">
        <v>1</v>
      </c>
      <c r="I27">
        <v>1</v>
      </c>
      <c r="J27" s="115">
        <v>1</v>
      </c>
      <c r="K27">
        <v>1</v>
      </c>
      <c r="L27" s="115">
        <v>1</v>
      </c>
      <c r="M27">
        <v>1</v>
      </c>
      <c r="N27" s="115">
        <v>1</v>
      </c>
      <c r="O27">
        <v>1</v>
      </c>
      <c r="P27" s="115">
        <v>1</v>
      </c>
      <c r="Q27" s="116">
        <f t="shared" si="0"/>
        <v>1</v>
      </c>
      <c r="R27" s="5">
        <f t="shared" si="1"/>
        <v>1</v>
      </c>
      <c r="S27" s="5">
        <f t="shared" si="2"/>
        <v>1</v>
      </c>
      <c r="T27" s="5">
        <f t="shared" si="3"/>
        <v>1</v>
      </c>
      <c r="U27" s="5">
        <f t="shared" si="4"/>
        <v>1</v>
      </c>
      <c r="V27" s="5">
        <f t="shared" si="5"/>
        <v>1</v>
      </c>
      <c r="W27" s="5">
        <f t="shared" si="6"/>
        <v>1</v>
      </c>
      <c r="X27" s="5">
        <f t="shared" si="7"/>
        <v>1</v>
      </c>
      <c r="Y27" s="5">
        <f t="shared" si="8"/>
        <v>1</v>
      </c>
      <c r="Z27" s="5">
        <f t="shared" si="9"/>
        <v>1</v>
      </c>
      <c r="AA27" s="5">
        <f t="shared" si="10"/>
        <v>1</v>
      </c>
      <c r="AB27" s="5">
        <f t="shared" si="11"/>
        <v>1</v>
      </c>
    </row>
    <row r="28" spans="1:28" x14ac:dyDescent="0.3">
      <c r="A28" t="s">
        <v>182</v>
      </c>
      <c r="B28" t="s">
        <v>256</v>
      </c>
      <c r="C28" t="s">
        <v>9</v>
      </c>
      <c r="D28" s="115">
        <v>1</v>
      </c>
      <c r="E28">
        <v>1</v>
      </c>
      <c r="F28" s="115">
        <v>1</v>
      </c>
      <c r="G28">
        <v>1</v>
      </c>
      <c r="H28" s="115">
        <v>1</v>
      </c>
      <c r="I28">
        <v>1</v>
      </c>
      <c r="J28" s="115">
        <v>1</v>
      </c>
      <c r="K28">
        <v>1</v>
      </c>
      <c r="L28" s="115">
        <v>1</v>
      </c>
      <c r="M28">
        <v>1</v>
      </c>
      <c r="N28" s="115">
        <v>1</v>
      </c>
      <c r="O28">
        <v>1</v>
      </c>
      <c r="P28" s="115">
        <v>1</v>
      </c>
      <c r="Q28" s="116">
        <f t="shared" si="0"/>
        <v>1</v>
      </c>
      <c r="R28" s="5">
        <f t="shared" si="1"/>
        <v>1</v>
      </c>
      <c r="S28" s="5">
        <f t="shared" si="2"/>
        <v>1</v>
      </c>
      <c r="T28" s="5">
        <f t="shared" si="3"/>
        <v>1</v>
      </c>
      <c r="U28" s="5">
        <f t="shared" si="4"/>
        <v>1</v>
      </c>
      <c r="V28" s="5">
        <f t="shared" si="5"/>
        <v>1</v>
      </c>
      <c r="W28" s="5">
        <f t="shared" si="6"/>
        <v>1</v>
      </c>
      <c r="X28" s="5">
        <f t="shared" si="7"/>
        <v>1</v>
      </c>
      <c r="Y28" s="5">
        <f t="shared" si="8"/>
        <v>1</v>
      </c>
      <c r="Z28" s="5">
        <f t="shared" si="9"/>
        <v>1</v>
      </c>
      <c r="AA28" s="5">
        <f t="shared" si="10"/>
        <v>1</v>
      </c>
      <c r="AB28" s="5">
        <f t="shared" si="11"/>
        <v>1</v>
      </c>
    </row>
    <row r="29" spans="1:28" x14ac:dyDescent="0.3">
      <c r="A29" t="s">
        <v>151</v>
      </c>
      <c r="B29" t="s">
        <v>256</v>
      </c>
      <c r="C29" t="s">
        <v>9</v>
      </c>
      <c r="D29" s="115">
        <v>1</v>
      </c>
      <c r="E29">
        <v>1</v>
      </c>
      <c r="F29" s="115">
        <v>1</v>
      </c>
      <c r="G29">
        <v>1</v>
      </c>
      <c r="H29" s="115">
        <v>1</v>
      </c>
      <c r="I29">
        <v>1</v>
      </c>
      <c r="J29" s="115">
        <v>1</v>
      </c>
      <c r="K29">
        <v>1</v>
      </c>
      <c r="L29" s="115">
        <v>1</v>
      </c>
      <c r="M29">
        <v>1</v>
      </c>
      <c r="N29" s="115">
        <v>1</v>
      </c>
      <c r="O29">
        <v>1</v>
      </c>
      <c r="P29" s="115">
        <v>1</v>
      </c>
      <c r="Q29" s="116">
        <f t="shared" si="0"/>
        <v>1</v>
      </c>
      <c r="R29" s="5">
        <f t="shared" si="1"/>
        <v>1</v>
      </c>
      <c r="S29" s="5">
        <f t="shared" si="2"/>
        <v>1</v>
      </c>
      <c r="T29" s="5">
        <f t="shared" si="3"/>
        <v>1</v>
      </c>
      <c r="U29" s="5">
        <f t="shared" si="4"/>
        <v>1</v>
      </c>
      <c r="V29" s="5">
        <f t="shared" si="5"/>
        <v>1</v>
      </c>
      <c r="W29" s="5">
        <f t="shared" si="6"/>
        <v>1</v>
      </c>
      <c r="X29" s="5">
        <f t="shared" si="7"/>
        <v>1</v>
      </c>
      <c r="Y29" s="5">
        <f t="shared" si="8"/>
        <v>1</v>
      </c>
      <c r="Z29" s="5">
        <f t="shared" si="9"/>
        <v>1</v>
      </c>
      <c r="AA29" s="5">
        <f t="shared" si="10"/>
        <v>1</v>
      </c>
      <c r="AB29" s="5">
        <f t="shared" si="11"/>
        <v>1</v>
      </c>
    </row>
    <row r="30" spans="1:28" x14ac:dyDescent="0.3">
      <c r="A30" t="s">
        <v>171</v>
      </c>
      <c r="B30" t="s">
        <v>256</v>
      </c>
      <c r="C30" t="s">
        <v>9</v>
      </c>
      <c r="D30" s="115">
        <v>2</v>
      </c>
      <c r="E30">
        <v>2</v>
      </c>
      <c r="F30" s="115">
        <v>2</v>
      </c>
      <c r="G30">
        <v>2</v>
      </c>
      <c r="H30" s="115">
        <v>2</v>
      </c>
      <c r="I30">
        <v>2</v>
      </c>
      <c r="J30" s="115">
        <v>2</v>
      </c>
      <c r="K30">
        <v>2</v>
      </c>
      <c r="L30" s="115">
        <v>2</v>
      </c>
      <c r="M30">
        <v>2</v>
      </c>
      <c r="N30" s="115">
        <v>2</v>
      </c>
      <c r="O30">
        <v>2</v>
      </c>
      <c r="P30" s="115">
        <v>2</v>
      </c>
      <c r="Q30" s="116">
        <f t="shared" si="0"/>
        <v>1</v>
      </c>
      <c r="R30" s="5">
        <f t="shared" si="1"/>
        <v>1</v>
      </c>
      <c r="S30" s="5">
        <f t="shared" si="2"/>
        <v>1</v>
      </c>
      <c r="T30" s="5">
        <f t="shared" si="3"/>
        <v>1</v>
      </c>
      <c r="U30" s="5">
        <f t="shared" si="4"/>
        <v>1</v>
      </c>
      <c r="V30" s="5">
        <f t="shared" si="5"/>
        <v>1</v>
      </c>
      <c r="W30" s="5">
        <f t="shared" si="6"/>
        <v>1</v>
      </c>
      <c r="X30" s="5">
        <f t="shared" si="7"/>
        <v>1</v>
      </c>
      <c r="Y30" s="5">
        <f t="shared" si="8"/>
        <v>1</v>
      </c>
      <c r="Z30" s="5">
        <f t="shared" si="9"/>
        <v>1</v>
      </c>
      <c r="AA30" s="5">
        <f t="shared" si="10"/>
        <v>1</v>
      </c>
      <c r="AB30" s="5">
        <f t="shared" si="11"/>
        <v>1</v>
      </c>
    </row>
    <row r="31" spans="1:28" x14ac:dyDescent="0.3">
      <c r="A31" t="s">
        <v>113</v>
      </c>
      <c r="B31" t="s">
        <v>256</v>
      </c>
      <c r="C31" t="s">
        <v>9</v>
      </c>
      <c r="D31" s="115">
        <v>11</v>
      </c>
      <c r="E31">
        <v>11</v>
      </c>
      <c r="F31" s="115">
        <v>11</v>
      </c>
      <c r="G31">
        <v>11</v>
      </c>
      <c r="H31" s="115">
        <v>11</v>
      </c>
      <c r="I31">
        <v>11</v>
      </c>
      <c r="J31" s="115">
        <v>11</v>
      </c>
      <c r="K31">
        <v>11</v>
      </c>
      <c r="L31" s="115">
        <v>11</v>
      </c>
      <c r="M31">
        <v>11</v>
      </c>
      <c r="N31" s="115">
        <v>11</v>
      </c>
      <c r="O31">
        <v>11</v>
      </c>
      <c r="P31" s="115">
        <v>11</v>
      </c>
      <c r="Q31" s="116">
        <f t="shared" si="0"/>
        <v>1</v>
      </c>
      <c r="R31" s="5">
        <f t="shared" si="1"/>
        <v>1</v>
      </c>
      <c r="S31" s="5">
        <f t="shared" si="2"/>
        <v>1</v>
      </c>
      <c r="T31" s="5">
        <f t="shared" si="3"/>
        <v>1</v>
      </c>
      <c r="U31" s="5">
        <f t="shared" si="4"/>
        <v>1</v>
      </c>
      <c r="V31" s="5">
        <f t="shared" si="5"/>
        <v>1</v>
      </c>
      <c r="W31" s="5">
        <f t="shared" si="6"/>
        <v>1</v>
      </c>
      <c r="X31" s="5">
        <f t="shared" si="7"/>
        <v>1</v>
      </c>
      <c r="Y31" s="5">
        <f t="shared" si="8"/>
        <v>1</v>
      </c>
      <c r="Z31" s="5">
        <f t="shared" si="9"/>
        <v>1</v>
      </c>
      <c r="AA31" s="5">
        <f t="shared" si="10"/>
        <v>1</v>
      </c>
      <c r="AB31" s="5">
        <f t="shared" si="11"/>
        <v>1</v>
      </c>
    </row>
    <row r="32" spans="1:28" x14ac:dyDescent="0.3">
      <c r="A32" t="s">
        <v>134</v>
      </c>
      <c r="B32" t="s">
        <v>256</v>
      </c>
      <c r="C32" t="s">
        <v>9</v>
      </c>
      <c r="D32" s="115">
        <v>2</v>
      </c>
      <c r="E32">
        <v>2</v>
      </c>
      <c r="F32" s="115">
        <v>2</v>
      </c>
      <c r="G32">
        <v>2</v>
      </c>
      <c r="H32" s="115">
        <v>2</v>
      </c>
      <c r="I32">
        <v>2</v>
      </c>
      <c r="J32" s="115">
        <v>2</v>
      </c>
      <c r="K32">
        <v>2</v>
      </c>
      <c r="L32" s="115">
        <v>2</v>
      </c>
      <c r="M32">
        <v>2</v>
      </c>
      <c r="N32" s="115">
        <v>2</v>
      </c>
      <c r="O32">
        <v>2</v>
      </c>
      <c r="P32" s="115">
        <v>2</v>
      </c>
      <c r="Q32" s="116">
        <f t="shared" si="0"/>
        <v>1</v>
      </c>
      <c r="R32" s="5">
        <f t="shared" si="1"/>
        <v>1</v>
      </c>
      <c r="S32" s="5">
        <f t="shared" si="2"/>
        <v>1</v>
      </c>
      <c r="T32" s="5">
        <f t="shared" si="3"/>
        <v>1</v>
      </c>
      <c r="U32" s="5">
        <f t="shared" si="4"/>
        <v>1</v>
      </c>
      <c r="V32" s="5">
        <f t="shared" si="5"/>
        <v>1</v>
      </c>
      <c r="W32" s="5">
        <f t="shared" si="6"/>
        <v>1</v>
      </c>
      <c r="X32" s="5">
        <f t="shared" si="7"/>
        <v>1</v>
      </c>
      <c r="Y32" s="5">
        <f t="shared" si="8"/>
        <v>1</v>
      </c>
      <c r="Z32" s="5">
        <f t="shared" si="9"/>
        <v>1</v>
      </c>
      <c r="AA32" s="5">
        <f t="shared" si="10"/>
        <v>1</v>
      </c>
      <c r="AB32" s="5">
        <f t="shared" si="11"/>
        <v>1</v>
      </c>
    </row>
    <row r="33" spans="1:28" x14ac:dyDescent="0.3">
      <c r="A33" t="s">
        <v>125</v>
      </c>
      <c r="B33" t="s">
        <v>256</v>
      </c>
      <c r="C33" t="s">
        <v>11</v>
      </c>
      <c r="D33" s="115"/>
      <c r="F33" s="115"/>
      <c r="H33" s="115"/>
      <c r="J33" s="115"/>
      <c r="L33" s="115"/>
      <c r="N33" s="115"/>
      <c r="P33" s="115"/>
      <c r="Q33" s="116" t="e">
        <f t="shared" si="0"/>
        <v>#DIV/0!</v>
      </c>
      <c r="R33" s="5" t="e">
        <f t="shared" si="1"/>
        <v>#DIV/0!</v>
      </c>
      <c r="S33" s="5" t="e">
        <f t="shared" si="2"/>
        <v>#DIV/0!</v>
      </c>
      <c r="T33" s="5" t="e">
        <f t="shared" si="3"/>
        <v>#DIV/0!</v>
      </c>
      <c r="U33" s="5" t="e">
        <f t="shared" si="4"/>
        <v>#DIV/0!</v>
      </c>
      <c r="V33" s="5" t="e">
        <f t="shared" si="5"/>
        <v>#DIV/0!</v>
      </c>
      <c r="W33" s="5" t="e">
        <f t="shared" si="6"/>
        <v>#DIV/0!</v>
      </c>
      <c r="X33" s="5" t="e">
        <f t="shared" si="7"/>
        <v>#DIV/0!</v>
      </c>
      <c r="Y33" s="5" t="e">
        <f t="shared" si="8"/>
        <v>#DIV/0!</v>
      </c>
      <c r="Z33" s="5" t="e">
        <f t="shared" si="9"/>
        <v>#DIV/0!</v>
      </c>
      <c r="AA33" s="5" t="e">
        <f t="shared" si="10"/>
        <v>#DIV/0!</v>
      </c>
      <c r="AB33" s="5" t="e">
        <f t="shared" si="11"/>
        <v>#DIV/0!</v>
      </c>
    </row>
    <row r="34" spans="1:28" x14ac:dyDescent="0.3">
      <c r="A34" t="s">
        <v>111</v>
      </c>
      <c r="B34" t="s">
        <v>256</v>
      </c>
      <c r="C34" t="s">
        <v>9</v>
      </c>
      <c r="D34" s="115">
        <v>30</v>
      </c>
      <c r="E34">
        <v>30</v>
      </c>
      <c r="F34" s="115">
        <v>30</v>
      </c>
      <c r="G34">
        <v>30</v>
      </c>
      <c r="H34" s="115">
        <v>30</v>
      </c>
      <c r="I34">
        <v>30</v>
      </c>
      <c r="J34" s="115">
        <v>30</v>
      </c>
      <c r="K34">
        <v>30</v>
      </c>
      <c r="L34" s="115">
        <v>30</v>
      </c>
      <c r="M34">
        <v>30</v>
      </c>
      <c r="N34" s="115">
        <v>30</v>
      </c>
      <c r="O34">
        <v>30</v>
      </c>
      <c r="P34" s="115">
        <v>30</v>
      </c>
      <c r="Q34" s="116">
        <f t="shared" ref="Q34:Q65" si="12">E34/$D34</f>
        <v>1</v>
      </c>
      <c r="R34" s="5">
        <f t="shared" ref="R34:R65" si="13">F34/$D34</f>
        <v>1</v>
      </c>
      <c r="S34" s="5">
        <f t="shared" ref="S34:S65" si="14">G34/$D34</f>
        <v>1</v>
      </c>
      <c r="T34" s="5">
        <f t="shared" ref="T34:T65" si="15">H34/$D34</f>
        <v>1</v>
      </c>
      <c r="U34" s="5">
        <f t="shared" ref="U34:U65" si="16">I34/$D34</f>
        <v>1</v>
      </c>
      <c r="V34" s="5">
        <f t="shared" ref="V34:V65" si="17">J34/$D34</f>
        <v>1</v>
      </c>
      <c r="W34" s="5">
        <f t="shared" ref="W34:W65" si="18">K34/$D34</f>
        <v>1</v>
      </c>
      <c r="X34" s="5">
        <f t="shared" ref="X34:X65" si="19">L34/$D34</f>
        <v>1</v>
      </c>
      <c r="Y34" s="5">
        <f t="shared" ref="Y34:Y65" si="20">M34/$D34</f>
        <v>1</v>
      </c>
      <c r="Z34" s="5">
        <f t="shared" ref="Z34:Z65" si="21">N34/$D34</f>
        <v>1</v>
      </c>
      <c r="AA34" s="5">
        <f t="shared" ref="AA34:AA65" si="22">O34/$D34</f>
        <v>1</v>
      </c>
      <c r="AB34" s="5">
        <f t="shared" ref="AB34:AB65" si="23">P34/$D34</f>
        <v>1</v>
      </c>
    </row>
    <row r="35" spans="1:28" x14ac:dyDescent="0.3">
      <c r="A35" t="s">
        <v>133</v>
      </c>
      <c r="B35" t="s">
        <v>256</v>
      </c>
      <c r="C35" t="s">
        <v>9</v>
      </c>
      <c r="D35" s="115">
        <v>27</v>
      </c>
      <c r="E35">
        <v>27</v>
      </c>
      <c r="F35" s="115">
        <v>27</v>
      </c>
      <c r="G35">
        <v>27</v>
      </c>
      <c r="H35" s="115">
        <v>27</v>
      </c>
      <c r="I35">
        <v>27</v>
      </c>
      <c r="J35" s="115">
        <v>27</v>
      </c>
      <c r="K35">
        <v>27</v>
      </c>
      <c r="L35" s="115">
        <v>27</v>
      </c>
      <c r="M35">
        <v>27</v>
      </c>
      <c r="N35" s="115">
        <v>27</v>
      </c>
      <c r="O35">
        <v>27</v>
      </c>
      <c r="P35" s="115">
        <v>27</v>
      </c>
      <c r="Q35" s="116">
        <f t="shared" si="12"/>
        <v>1</v>
      </c>
      <c r="R35" s="5">
        <f t="shared" si="13"/>
        <v>1</v>
      </c>
      <c r="S35" s="5">
        <f t="shared" si="14"/>
        <v>1</v>
      </c>
      <c r="T35" s="5">
        <f t="shared" si="15"/>
        <v>1</v>
      </c>
      <c r="U35" s="5">
        <f t="shared" si="16"/>
        <v>1</v>
      </c>
      <c r="V35" s="5">
        <f t="shared" si="17"/>
        <v>1</v>
      </c>
      <c r="W35" s="5">
        <f t="shared" si="18"/>
        <v>1</v>
      </c>
      <c r="X35" s="5">
        <f t="shared" si="19"/>
        <v>1</v>
      </c>
      <c r="Y35" s="5">
        <f t="shared" si="20"/>
        <v>1</v>
      </c>
      <c r="Z35" s="5">
        <f t="shared" si="21"/>
        <v>1</v>
      </c>
      <c r="AA35" s="5">
        <f t="shared" si="22"/>
        <v>1</v>
      </c>
      <c r="AB35" s="5">
        <f t="shared" si="23"/>
        <v>1</v>
      </c>
    </row>
    <row r="36" spans="1:28" x14ac:dyDescent="0.3">
      <c r="A36" t="s">
        <v>124</v>
      </c>
      <c r="B36" t="s">
        <v>256</v>
      </c>
      <c r="C36" t="s">
        <v>9</v>
      </c>
      <c r="D36" s="115">
        <v>4</v>
      </c>
      <c r="E36">
        <v>4</v>
      </c>
      <c r="F36" s="115">
        <v>4</v>
      </c>
      <c r="G36">
        <v>4</v>
      </c>
      <c r="H36" s="115">
        <v>4</v>
      </c>
      <c r="I36">
        <v>4</v>
      </c>
      <c r="J36" s="115">
        <v>4</v>
      </c>
      <c r="K36">
        <v>4</v>
      </c>
      <c r="L36" s="115">
        <v>4</v>
      </c>
      <c r="M36">
        <v>4</v>
      </c>
      <c r="N36" s="115">
        <v>4</v>
      </c>
      <c r="O36">
        <v>4</v>
      </c>
      <c r="P36" s="115">
        <v>4</v>
      </c>
      <c r="Q36" s="116">
        <f t="shared" si="12"/>
        <v>1</v>
      </c>
      <c r="R36" s="5">
        <f t="shared" si="13"/>
        <v>1</v>
      </c>
      <c r="S36" s="5">
        <f t="shared" si="14"/>
        <v>1</v>
      </c>
      <c r="T36" s="5">
        <f t="shared" si="15"/>
        <v>1</v>
      </c>
      <c r="U36" s="5">
        <f t="shared" si="16"/>
        <v>1</v>
      </c>
      <c r="V36" s="5">
        <f t="shared" si="17"/>
        <v>1</v>
      </c>
      <c r="W36" s="5">
        <f t="shared" si="18"/>
        <v>1</v>
      </c>
      <c r="X36" s="5">
        <f t="shared" si="19"/>
        <v>1</v>
      </c>
      <c r="Y36" s="5">
        <f t="shared" si="20"/>
        <v>1</v>
      </c>
      <c r="Z36" s="5">
        <f t="shared" si="21"/>
        <v>1</v>
      </c>
      <c r="AA36" s="5">
        <f t="shared" si="22"/>
        <v>1</v>
      </c>
      <c r="AB36" s="5">
        <f t="shared" si="23"/>
        <v>1</v>
      </c>
    </row>
    <row r="37" spans="1:28" x14ac:dyDescent="0.3">
      <c r="A37" t="s">
        <v>148</v>
      </c>
      <c r="B37" t="s">
        <v>256</v>
      </c>
      <c r="C37" t="s">
        <v>9</v>
      </c>
      <c r="D37" s="115">
        <v>42</v>
      </c>
      <c r="E37">
        <v>42</v>
      </c>
      <c r="F37" s="115">
        <v>42</v>
      </c>
      <c r="G37">
        <v>42</v>
      </c>
      <c r="H37" s="115">
        <v>42</v>
      </c>
      <c r="I37">
        <v>42</v>
      </c>
      <c r="J37" s="115">
        <v>42</v>
      </c>
      <c r="K37">
        <v>42</v>
      </c>
      <c r="L37" s="115">
        <v>42</v>
      </c>
      <c r="M37">
        <v>42</v>
      </c>
      <c r="N37" s="115">
        <v>42</v>
      </c>
      <c r="O37">
        <v>42</v>
      </c>
      <c r="P37" s="115">
        <v>42</v>
      </c>
      <c r="Q37" s="116">
        <f t="shared" si="12"/>
        <v>1</v>
      </c>
      <c r="R37" s="5">
        <f t="shared" si="13"/>
        <v>1</v>
      </c>
      <c r="S37" s="5">
        <f t="shared" si="14"/>
        <v>1</v>
      </c>
      <c r="T37" s="5">
        <f t="shared" si="15"/>
        <v>1</v>
      </c>
      <c r="U37" s="5">
        <f t="shared" si="16"/>
        <v>1</v>
      </c>
      <c r="V37" s="5">
        <f t="shared" si="17"/>
        <v>1</v>
      </c>
      <c r="W37" s="5">
        <f t="shared" si="18"/>
        <v>1</v>
      </c>
      <c r="X37" s="5">
        <f t="shared" si="19"/>
        <v>1</v>
      </c>
      <c r="Y37" s="5">
        <f t="shared" si="20"/>
        <v>1</v>
      </c>
      <c r="Z37" s="5">
        <f t="shared" si="21"/>
        <v>1</v>
      </c>
      <c r="AA37" s="5">
        <f t="shared" si="22"/>
        <v>1</v>
      </c>
      <c r="AB37" s="5">
        <f t="shared" si="23"/>
        <v>1</v>
      </c>
    </row>
    <row r="38" spans="1:28" x14ac:dyDescent="0.3">
      <c r="A38" t="s">
        <v>176</v>
      </c>
      <c r="B38" t="s">
        <v>256</v>
      </c>
      <c r="C38" t="s">
        <v>9</v>
      </c>
      <c r="D38" s="115">
        <v>13</v>
      </c>
      <c r="E38">
        <v>13</v>
      </c>
      <c r="F38" s="115">
        <v>13</v>
      </c>
      <c r="G38">
        <v>13</v>
      </c>
      <c r="H38" s="115">
        <v>13</v>
      </c>
      <c r="I38">
        <v>13</v>
      </c>
      <c r="J38" s="115">
        <v>13</v>
      </c>
      <c r="K38">
        <v>13</v>
      </c>
      <c r="L38" s="115">
        <v>13</v>
      </c>
      <c r="M38">
        <v>13</v>
      </c>
      <c r="N38" s="115">
        <v>13</v>
      </c>
      <c r="O38">
        <v>13</v>
      </c>
      <c r="P38" s="115">
        <v>13</v>
      </c>
      <c r="Q38" s="116">
        <f t="shared" si="12"/>
        <v>1</v>
      </c>
      <c r="R38" s="5">
        <f t="shared" si="13"/>
        <v>1</v>
      </c>
      <c r="S38" s="5">
        <f t="shared" si="14"/>
        <v>1</v>
      </c>
      <c r="T38" s="5">
        <f t="shared" si="15"/>
        <v>1</v>
      </c>
      <c r="U38" s="5">
        <f t="shared" si="16"/>
        <v>1</v>
      </c>
      <c r="V38" s="5">
        <f t="shared" si="17"/>
        <v>1</v>
      </c>
      <c r="W38" s="5">
        <f t="shared" si="18"/>
        <v>1</v>
      </c>
      <c r="X38" s="5">
        <f t="shared" si="19"/>
        <v>1</v>
      </c>
      <c r="Y38" s="5">
        <f t="shared" si="20"/>
        <v>1</v>
      </c>
      <c r="Z38" s="5">
        <f t="shared" si="21"/>
        <v>1</v>
      </c>
      <c r="AA38" s="5">
        <f t="shared" si="22"/>
        <v>1</v>
      </c>
      <c r="AB38" s="5">
        <f t="shared" si="23"/>
        <v>1</v>
      </c>
    </row>
    <row r="39" spans="1:28" x14ac:dyDescent="0.3">
      <c r="A39" t="s">
        <v>116</v>
      </c>
      <c r="B39" t="s">
        <v>256</v>
      </c>
      <c r="C39" t="s">
        <v>11</v>
      </c>
      <c r="D39" s="115"/>
      <c r="F39" s="115"/>
      <c r="H39" s="115"/>
      <c r="J39" s="115"/>
      <c r="L39" s="115"/>
      <c r="N39" s="115"/>
      <c r="P39" s="115"/>
      <c r="Q39" s="116" t="e">
        <f t="shared" si="12"/>
        <v>#DIV/0!</v>
      </c>
      <c r="R39" s="5" t="e">
        <f t="shared" si="13"/>
        <v>#DIV/0!</v>
      </c>
      <c r="S39" s="5" t="e">
        <f t="shared" si="14"/>
        <v>#DIV/0!</v>
      </c>
      <c r="T39" s="5" t="e">
        <f t="shared" si="15"/>
        <v>#DIV/0!</v>
      </c>
      <c r="U39" s="5" t="e">
        <f t="shared" si="16"/>
        <v>#DIV/0!</v>
      </c>
      <c r="V39" s="5" t="e">
        <f t="shared" si="17"/>
        <v>#DIV/0!</v>
      </c>
      <c r="W39" s="5" t="e">
        <f t="shared" si="18"/>
        <v>#DIV/0!</v>
      </c>
      <c r="X39" s="5" t="e">
        <f t="shared" si="19"/>
        <v>#DIV/0!</v>
      </c>
      <c r="Y39" s="5" t="e">
        <f t="shared" si="20"/>
        <v>#DIV/0!</v>
      </c>
      <c r="Z39" s="5" t="e">
        <f t="shared" si="21"/>
        <v>#DIV/0!</v>
      </c>
      <c r="AA39" s="5" t="e">
        <f t="shared" si="22"/>
        <v>#DIV/0!</v>
      </c>
      <c r="AB39" s="5" t="e">
        <f t="shared" si="23"/>
        <v>#DIV/0!</v>
      </c>
    </row>
    <row r="40" spans="1:28" x14ac:dyDescent="0.3">
      <c r="A40" t="s">
        <v>116</v>
      </c>
      <c r="B40" t="s">
        <v>2364</v>
      </c>
      <c r="C40" t="s">
        <v>11</v>
      </c>
      <c r="D40" s="115"/>
      <c r="F40" s="115"/>
      <c r="H40" s="115"/>
      <c r="J40" s="115"/>
      <c r="L40" s="115"/>
      <c r="N40" s="115"/>
      <c r="P40" s="115"/>
      <c r="Q40" s="116" t="e">
        <f t="shared" si="12"/>
        <v>#DIV/0!</v>
      </c>
      <c r="R40" s="5" t="e">
        <f t="shared" si="13"/>
        <v>#DIV/0!</v>
      </c>
      <c r="S40" s="5" t="e">
        <f t="shared" si="14"/>
        <v>#DIV/0!</v>
      </c>
      <c r="T40" s="5" t="e">
        <f t="shared" si="15"/>
        <v>#DIV/0!</v>
      </c>
      <c r="U40" s="5" t="e">
        <f t="shared" si="16"/>
        <v>#DIV/0!</v>
      </c>
      <c r="V40" s="5" t="e">
        <f t="shared" si="17"/>
        <v>#DIV/0!</v>
      </c>
      <c r="W40" s="5" t="e">
        <f t="shared" si="18"/>
        <v>#DIV/0!</v>
      </c>
      <c r="X40" s="5" t="e">
        <f t="shared" si="19"/>
        <v>#DIV/0!</v>
      </c>
      <c r="Y40" s="5" t="e">
        <f t="shared" si="20"/>
        <v>#DIV/0!</v>
      </c>
      <c r="Z40" s="5" t="e">
        <f t="shared" si="21"/>
        <v>#DIV/0!</v>
      </c>
      <c r="AA40" s="5" t="e">
        <f t="shared" si="22"/>
        <v>#DIV/0!</v>
      </c>
      <c r="AB40" s="5" t="e">
        <f t="shared" si="23"/>
        <v>#DIV/0!</v>
      </c>
    </row>
    <row r="41" spans="1:28" x14ac:dyDescent="0.3">
      <c r="A41" t="s">
        <v>119</v>
      </c>
      <c r="B41" t="s">
        <v>256</v>
      </c>
      <c r="C41" t="s">
        <v>9</v>
      </c>
      <c r="D41" s="115"/>
      <c r="F41" s="115"/>
      <c r="H41" s="115"/>
      <c r="J41" s="115"/>
      <c r="L41" s="115"/>
      <c r="N41" s="115"/>
      <c r="P41" s="115"/>
      <c r="Q41" s="116" t="e">
        <f t="shared" si="12"/>
        <v>#DIV/0!</v>
      </c>
      <c r="R41" s="5" t="e">
        <f t="shared" si="13"/>
        <v>#DIV/0!</v>
      </c>
      <c r="S41" s="5" t="e">
        <f t="shared" si="14"/>
        <v>#DIV/0!</v>
      </c>
      <c r="T41" s="5" t="e">
        <f t="shared" si="15"/>
        <v>#DIV/0!</v>
      </c>
      <c r="U41" s="5" t="e">
        <f t="shared" si="16"/>
        <v>#DIV/0!</v>
      </c>
      <c r="V41" s="5" t="e">
        <f t="shared" si="17"/>
        <v>#DIV/0!</v>
      </c>
      <c r="W41" s="5" t="e">
        <f t="shared" si="18"/>
        <v>#DIV/0!</v>
      </c>
      <c r="X41" s="5" t="e">
        <f t="shared" si="19"/>
        <v>#DIV/0!</v>
      </c>
      <c r="Y41" s="5" t="e">
        <f t="shared" si="20"/>
        <v>#DIV/0!</v>
      </c>
      <c r="Z41" s="5" t="e">
        <f t="shared" si="21"/>
        <v>#DIV/0!</v>
      </c>
      <c r="AA41" s="5" t="e">
        <f t="shared" si="22"/>
        <v>#DIV/0!</v>
      </c>
      <c r="AB41" s="5" t="e">
        <f t="shared" si="23"/>
        <v>#DIV/0!</v>
      </c>
    </row>
    <row r="42" spans="1:28" x14ac:dyDescent="0.3">
      <c r="A42" t="s">
        <v>119</v>
      </c>
      <c r="B42" t="s">
        <v>256</v>
      </c>
      <c r="C42" t="s">
        <v>11</v>
      </c>
      <c r="D42" s="115"/>
      <c r="F42" s="115"/>
      <c r="H42" s="115"/>
      <c r="J42" s="115"/>
      <c r="L42" s="115"/>
      <c r="N42" s="115"/>
      <c r="P42" s="115"/>
      <c r="Q42" s="116" t="e">
        <f t="shared" si="12"/>
        <v>#DIV/0!</v>
      </c>
      <c r="R42" s="5" t="e">
        <f t="shared" si="13"/>
        <v>#DIV/0!</v>
      </c>
      <c r="S42" s="5" t="e">
        <f t="shared" si="14"/>
        <v>#DIV/0!</v>
      </c>
      <c r="T42" s="5" t="e">
        <f t="shared" si="15"/>
        <v>#DIV/0!</v>
      </c>
      <c r="U42" s="5" t="e">
        <f t="shared" si="16"/>
        <v>#DIV/0!</v>
      </c>
      <c r="V42" s="5" t="e">
        <f t="shared" si="17"/>
        <v>#DIV/0!</v>
      </c>
      <c r="W42" s="5" t="e">
        <f t="shared" si="18"/>
        <v>#DIV/0!</v>
      </c>
      <c r="X42" s="5" t="e">
        <f t="shared" si="19"/>
        <v>#DIV/0!</v>
      </c>
      <c r="Y42" s="5" t="e">
        <f t="shared" si="20"/>
        <v>#DIV/0!</v>
      </c>
      <c r="Z42" s="5" t="e">
        <f t="shared" si="21"/>
        <v>#DIV/0!</v>
      </c>
      <c r="AA42" s="5" t="e">
        <f t="shared" si="22"/>
        <v>#DIV/0!</v>
      </c>
      <c r="AB42" s="5" t="e">
        <f t="shared" si="23"/>
        <v>#DIV/0!</v>
      </c>
    </row>
    <row r="43" spans="1:28" x14ac:dyDescent="0.3">
      <c r="A43" t="s">
        <v>184</v>
      </c>
      <c r="B43" t="s">
        <v>256</v>
      </c>
      <c r="C43" t="s">
        <v>9</v>
      </c>
      <c r="D43" s="115"/>
      <c r="F43" s="115"/>
      <c r="H43" s="115"/>
      <c r="J43" s="115"/>
      <c r="L43" s="115"/>
      <c r="N43" s="115"/>
      <c r="P43" s="115"/>
      <c r="Q43" s="116" t="e">
        <f t="shared" si="12"/>
        <v>#DIV/0!</v>
      </c>
      <c r="R43" s="5" t="e">
        <f t="shared" si="13"/>
        <v>#DIV/0!</v>
      </c>
      <c r="S43" s="5" t="e">
        <f t="shared" si="14"/>
        <v>#DIV/0!</v>
      </c>
      <c r="T43" s="5" t="e">
        <f t="shared" si="15"/>
        <v>#DIV/0!</v>
      </c>
      <c r="U43" s="5" t="e">
        <f t="shared" si="16"/>
        <v>#DIV/0!</v>
      </c>
      <c r="V43" s="5" t="e">
        <f t="shared" si="17"/>
        <v>#DIV/0!</v>
      </c>
      <c r="W43" s="5" t="e">
        <f t="shared" si="18"/>
        <v>#DIV/0!</v>
      </c>
      <c r="X43" s="5" t="e">
        <f t="shared" si="19"/>
        <v>#DIV/0!</v>
      </c>
      <c r="Y43" s="5" t="e">
        <f t="shared" si="20"/>
        <v>#DIV/0!</v>
      </c>
      <c r="Z43" s="5" t="e">
        <f t="shared" si="21"/>
        <v>#DIV/0!</v>
      </c>
      <c r="AA43" s="5" t="e">
        <f t="shared" si="22"/>
        <v>#DIV/0!</v>
      </c>
      <c r="AB43" s="5" t="e">
        <f t="shared" si="23"/>
        <v>#DIV/0!</v>
      </c>
    </row>
    <row r="44" spans="1:28" x14ac:dyDescent="0.3">
      <c r="A44" t="s">
        <v>147</v>
      </c>
      <c r="B44" t="s">
        <v>256</v>
      </c>
      <c r="C44" t="s">
        <v>9</v>
      </c>
      <c r="D44" s="115">
        <v>1</v>
      </c>
      <c r="E44">
        <v>1</v>
      </c>
      <c r="F44" s="115">
        <v>1</v>
      </c>
      <c r="G44">
        <v>1</v>
      </c>
      <c r="H44" s="115">
        <v>1</v>
      </c>
      <c r="I44">
        <v>1</v>
      </c>
      <c r="J44" s="115">
        <v>1</v>
      </c>
      <c r="K44">
        <v>1</v>
      </c>
      <c r="L44" s="115">
        <v>1</v>
      </c>
      <c r="M44">
        <v>1</v>
      </c>
      <c r="N44" s="115"/>
      <c r="O44">
        <v>1</v>
      </c>
      <c r="P44" s="115"/>
      <c r="Q44" s="116">
        <f t="shared" si="12"/>
        <v>1</v>
      </c>
      <c r="R44" s="5">
        <f t="shared" si="13"/>
        <v>1</v>
      </c>
      <c r="S44" s="5">
        <f t="shared" si="14"/>
        <v>1</v>
      </c>
      <c r="T44" s="5">
        <f t="shared" si="15"/>
        <v>1</v>
      </c>
      <c r="U44" s="5">
        <f t="shared" si="16"/>
        <v>1</v>
      </c>
      <c r="V44" s="5">
        <f t="shared" si="17"/>
        <v>1</v>
      </c>
      <c r="W44" s="5">
        <f t="shared" si="18"/>
        <v>1</v>
      </c>
      <c r="X44" s="5">
        <f t="shared" si="19"/>
        <v>1</v>
      </c>
      <c r="Y44" s="5">
        <f t="shared" si="20"/>
        <v>1</v>
      </c>
      <c r="Z44" s="5">
        <f t="shared" si="21"/>
        <v>0</v>
      </c>
      <c r="AA44" s="5">
        <f t="shared" si="22"/>
        <v>1</v>
      </c>
      <c r="AB44" s="5">
        <f t="shared" si="23"/>
        <v>0</v>
      </c>
    </row>
    <row r="45" spans="1:28" x14ac:dyDescent="0.3">
      <c r="A45" t="s">
        <v>127</v>
      </c>
      <c r="B45" t="s">
        <v>256</v>
      </c>
      <c r="C45" t="s">
        <v>9</v>
      </c>
      <c r="D45" s="115">
        <v>1</v>
      </c>
      <c r="E45">
        <v>1</v>
      </c>
      <c r="F45" s="115">
        <v>1</v>
      </c>
      <c r="G45">
        <v>1</v>
      </c>
      <c r="H45" s="115">
        <v>1</v>
      </c>
      <c r="I45">
        <v>1</v>
      </c>
      <c r="J45" s="115">
        <v>1</v>
      </c>
      <c r="K45">
        <v>1</v>
      </c>
      <c r="L45" s="115">
        <v>1</v>
      </c>
      <c r="M45">
        <v>1</v>
      </c>
      <c r="N45" s="115"/>
      <c r="O45">
        <v>1</v>
      </c>
      <c r="P45" s="115"/>
      <c r="Q45" s="116">
        <f t="shared" si="12"/>
        <v>1</v>
      </c>
      <c r="R45" s="5">
        <f t="shared" si="13"/>
        <v>1</v>
      </c>
      <c r="S45" s="5">
        <f t="shared" si="14"/>
        <v>1</v>
      </c>
      <c r="T45" s="5">
        <f t="shared" si="15"/>
        <v>1</v>
      </c>
      <c r="U45" s="5">
        <f t="shared" si="16"/>
        <v>1</v>
      </c>
      <c r="V45" s="5">
        <f t="shared" si="17"/>
        <v>1</v>
      </c>
      <c r="W45" s="5">
        <f t="shared" si="18"/>
        <v>1</v>
      </c>
      <c r="X45" s="5">
        <f t="shared" si="19"/>
        <v>1</v>
      </c>
      <c r="Y45" s="5">
        <f t="shared" si="20"/>
        <v>1</v>
      </c>
      <c r="Z45" s="5">
        <f t="shared" si="21"/>
        <v>0</v>
      </c>
      <c r="AA45" s="5">
        <f t="shared" si="22"/>
        <v>1</v>
      </c>
      <c r="AB45" s="5">
        <f t="shared" si="23"/>
        <v>0</v>
      </c>
    </row>
    <row r="46" spans="1:28" x14ac:dyDescent="0.3">
      <c r="A46" t="s">
        <v>107</v>
      </c>
      <c r="B46" t="s">
        <v>256</v>
      </c>
      <c r="C46" t="s">
        <v>9</v>
      </c>
      <c r="D46" s="115">
        <v>1</v>
      </c>
      <c r="E46">
        <v>1</v>
      </c>
      <c r="F46" s="115">
        <v>1</v>
      </c>
      <c r="G46">
        <v>1</v>
      </c>
      <c r="H46" s="115">
        <v>1</v>
      </c>
      <c r="I46">
        <v>1</v>
      </c>
      <c r="J46" s="115">
        <v>1</v>
      </c>
      <c r="K46">
        <v>1</v>
      </c>
      <c r="L46" s="115">
        <v>1</v>
      </c>
      <c r="M46">
        <v>1</v>
      </c>
      <c r="N46" s="115"/>
      <c r="O46">
        <v>1</v>
      </c>
      <c r="P46" s="115"/>
      <c r="Q46" s="116">
        <f t="shared" si="12"/>
        <v>1</v>
      </c>
      <c r="R46" s="5">
        <f t="shared" si="13"/>
        <v>1</v>
      </c>
      <c r="S46" s="5">
        <f t="shared" si="14"/>
        <v>1</v>
      </c>
      <c r="T46" s="5">
        <f t="shared" si="15"/>
        <v>1</v>
      </c>
      <c r="U46" s="5">
        <f t="shared" si="16"/>
        <v>1</v>
      </c>
      <c r="V46" s="5">
        <f t="shared" si="17"/>
        <v>1</v>
      </c>
      <c r="W46" s="5">
        <f t="shared" si="18"/>
        <v>1</v>
      </c>
      <c r="X46" s="5">
        <f t="shared" si="19"/>
        <v>1</v>
      </c>
      <c r="Y46" s="5">
        <f t="shared" si="20"/>
        <v>1</v>
      </c>
      <c r="Z46" s="5">
        <f t="shared" si="21"/>
        <v>0</v>
      </c>
      <c r="AA46" s="5">
        <f t="shared" si="22"/>
        <v>1</v>
      </c>
      <c r="AB46" s="5">
        <f t="shared" si="23"/>
        <v>0</v>
      </c>
    </row>
    <row r="47" spans="1:28" x14ac:dyDescent="0.3">
      <c r="A47" t="s">
        <v>131</v>
      </c>
      <c r="B47" t="s">
        <v>256</v>
      </c>
      <c r="C47" t="s">
        <v>9</v>
      </c>
      <c r="D47" s="115">
        <v>1</v>
      </c>
      <c r="E47">
        <v>1</v>
      </c>
      <c r="F47" s="115">
        <v>1</v>
      </c>
      <c r="G47">
        <v>1</v>
      </c>
      <c r="H47" s="115">
        <v>1</v>
      </c>
      <c r="I47">
        <v>1</v>
      </c>
      <c r="J47" s="115">
        <v>1</v>
      </c>
      <c r="K47">
        <v>1</v>
      </c>
      <c r="L47" s="115">
        <v>1</v>
      </c>
      <c r="M47">
        <v>1</v>
      </c>
      <c r="N47" s="115">
        <v>1</v>
      </c>
      <c r="O47">
        <v>1</v>
      </c>
      <c r="P47" s="115">
        <v>1</v>
      </c>
      <c r="Q47" s="116">
        <f t="shared" si="12"/>
        <v>1</v>
      </c>
      <c r="R47" s="5">
        <f t="shared" si="13"/>
        <v>1</v>
      </c>
      <c r="S47" s="5">
        <f t="shared" si="14"/>
        <v>1</v>
      </c>
      <c r="T47" s="5">
        <f t="shared" si="15"/>
        <v>1</v>
      </c>
      <c r="U47" s="5">
        <f t="shared" si="16"/>
        <v>1</v>
      </c>
      <c r="V47" s="5">
        <f t="shared" si="17"/>
        <v>1</v>
      </c>
      <c r="W47" s="5">
        <f t="shared" si="18"/>
        <v>1</v>
      </c>
      <c r="X47" s="5">
        <f t="shared" si="19"/>
        <v>1</v>
      </c>
      <c r="Y47" s="5">
        <f t="shared" si="20"/>
        <v>1</v>
      </c>
      <c r="Z47" s="5">
        <f t="shared" si="21"/>
        <v>1</v>
      </c>
      <c r="AA47" s="5">
        <f t="shared" si="22"/>
        <v>1</v>
      </c>
      <c r="AB47" s="5">
        <f t="shared" si="23"/>
        <v>1</v>
      </c>
    </row>
    <row r="48" spans="1:28" x14ac:dyDescent="0.3">
      <c r="A48" t="s">
        <v>158</v>
      </c>
      <c r="B48" t="s">
        <v>256</v>
      </c>
      <c r="C48" t="s">
        <v>9</v>
      </c>
      <c r="D48" s="115">
        <v>2</v>
      </c>
      <c r="E48">
        <v>2</v>
      </c>
      <c r="F48" s="115">
        <v>2</v>
      </c>
      <c r="G48">
        <v>2</v>
      </c>
      <c r="H48" s="115">
        <v>2</v>
      </c>
      <c r="I48">
        <v>2</v>
      </c>
      <c r="J48" s="115">
        <v>2</v>
      </c>
      <c r="K48">
        <v>2</v>
      </c>
      <c r="L48" s="115">
        <v>2</v>
      </c>
      <c r="M48">
        <v>2</v>
      </c>
      <c r="N48" s="115">
        <v>2</v>
      </c>
      <c r="O48">
        <v>2</v>
      </c>
      <c r="P48" s="115">
        <v>2</v>
      </c>
      <c r="Q48" s="116">
        <f t="shared" si="12"/>
        <v>1</v>
      </c>
      <c r="R48" s="5">
        <f t="shared" si="13"/>
        <v>1</v>
      </c>
      <c r="S48" s="5">
        <f t="shared" si="14"/>
        <v>1</v>
      </c>
      <c r="T48" s="5">
        <f t="shared" si="15"/>
        <v>1</v>
      </c>
      <c r="U48" s="5">
        <f t="shared" si="16"/>
        <v>1</v>
      </c>
      <c r="V48" s="5">
        <f t="shared" si="17"/>
        <v>1</v>
      </c>
      <c r="W48" s="5">
        <f t="shared" si="18"/>
        <v>1</v>
      </c>
      <c r="X48" s="5">
        <f t="shared" si="19"/>
        <v>1</v>
      </c>
      <c r="Y48" s="5">
        <f t="shared" si="20"/>
        <v>1</v>
      </c>
      <c r="Z48" s="5">
        <f t="shared" si="21"/>
        <v>1</v>
      </c>
      <c r="AA48" s="5">
        <f t="shared" si="22"/>
        <v>1</v>
      </c>
      <c r="AB48" s="5">
        <f t="shared" si="23"/>
        <v>1</v>
      </c>
    </row>
    <row r="49" spans="1:28" x14ac:dyDescent="0.3">
      <c r="A49" t="s">
        <v>162</v>
      </c>
      <c r="B49" t="s">
        <v>256</v>
      </c>
      <c r="C49" t="s">
        <v>11</v>
      </c>
      <c r="D49" s="115"/>
      <c r="F49" s="115"/>
      <c r="H49" s="115"/>
      <c r="J49" s="115"/>
      <c r="L49" s="115"/>
      <c r="N49" s="115"/>
      <c r="P49" s="115"/>
      <c r="Q49" s="116" t="e">
        <f t="shared" si="12"/>
        <v>#DIV/0!</v>
      </c>
      <c r="R49" s="5" t="e">
        <f t="shared" si="13"/>
        <v>#DIV/0!</v>
      </c>
      <c r="S49" s="5" t="e">
        <f t="shared" si="14"/>
        <v>#DIV/0!</v>
      </c>
      <c r="T49" s="5" t="e">
        <f t="shared" si="15"/>
        <v>#DIV/0!</v>
      </c>
      <c r="U49" s="5" t="e">
        <f t="shared" si="16"/>
        <v>#DIV/0!</v>
      </c>
      <c r="V49" s="5" t="e">
        <f t="shared" si="17"/>
        <v>#DIV/0!</v>
      </c>
      <c r="W49" s="5" t="e">
        <f t="shared" si="18"/>
        <v>#DIV/0!</v>
      </c>
      <c r="X49" s="5" t="e">
        <f t="shared" si="19"/>
        <v>#DIV/0!</v>
      </c>
      <c r="Y49" s="5" t="e">
        <f t="shared" si="20"/>
        <v>#DIV/0!</v>
      </c>
      <c r="Z49" s="5" t="e">
        <f t="shared" si="21"/>
        <v>#DIV/0!</v>
      </c>
      <c r="AA49" s="5" t="e">
        <f t="shared" si="22"/>
        <v>#DIV/0!</v>
      </c>
      <c r="AB49" s="5" t="e">
        <f t="shared" si="23"/>
        <v>#DIV/0!</v>
      </c>
    </row>
    <row r="50" spans="1:28" x14ac:dyDescent="0.3">
      <c r="A50" t="s">
        <v>110</v>
      </c>
      <c r="B50" t="s">
        <v>256</v>
      </c>
      <c r="C50" t="s">
        <v>9</v>
      </c>
      <c r="D50" s="115">
        <v>4</v>
      </c>
      <c r="F50" s="115">
        <v>4</v>
      </c>
      <c r="G50">
        <v>4</v>
      </c>
      <c r="H50" s="115">
        <v>4</v>
      </c>
      <c r="I50">
        <v>4</v>
      </c>
      <c r="J50" s="115">
        <v>4</v>
      </c>
      <c r="K50">
        <v>4</v>
      </c>
      <c r="L50" s="115">
        <v>4</v>
      </c>
      <c r="M50">
        <v>4</v>
      </c>
      <c r="N50" s="115">
        <v>4</v>
      </c>
      <c r="O50">
        <v>4</v>
      </c>
      <c r="P50" s="115">
        <v>4</v>
      </c>
      <c r="Q50" s="116">
        <f t="shared" si="12"/>
        <v>0</v>
      </c>
      <c r="R50" s="5">
        <f t="shared" si="13"/>
        <v>1</v>
      </c>
      <c r="S50" s="5">
        <f t="shared" si="14"/>
        <v>1</v>
      </c>
      <c r="T50" s="5">
        <f t="shared" si="15"/>
        <v>1</v>
      </c>
      <c r="U50" s="5">
        <f t="shared" si="16"/>
        <v>1</v>
      </c>
      <c r="V50" s="5">
        <f t="shared" si="17"/>
        <v>1</v>
      </c>
      <c r="W50" s="5">
        <f t="shared" si="18"/>
        <v>1</v>
      </c>
      <c r="X50" s="5">
        <f t="shared" si="19"/>
        <v>1</v>
      </c>
      <c r="Y50" s="5">
        <f t="shared" si="20"/>
        <v>1</v>
      </c>
      <c r="Z50" s="5">
        <f t="shared" si="21"/>
        <v>1</v>
      </c>
      <c r="AA50" s="5">
        <f t="shared" si="22"/>
        <v>1</v>
      </c>
      <c r="AB50" s="5">
        <f t="shared" si="23"/>
        <v>1</v>
      </c>
    </row>
    <row r="51" spans="1:28" x14ac:dyDescent="0.3">
      <c r="A51" t="s">
        <v>108</v>
      </c>
      <c r="B51" t="s">
        <v>256</v>
      </c>
      <c r="C51" t="s">
        <v>9</v>
      </c>
      <c r="D51" s="115">
        <v>6</v>
      </c>
      <c r="F51" s="115">
        <v>6</v>
      </c>
      <c r="G51">
        <v>6</v>
      </c>
      <c r="H51" s="115">
        <v>6</v>
      </c>
      <c r="I51">
        <v>6</v>
      </c>
      <c r="J51" s="115">
        <v>6</v>
      </c>
      <c r="K51">
        <v>6</v>
      </c>
      <c r="L51" s="115">
        <v>6</v>
      </c>
      <c r="M51">
        <v>6</v>
      </c>
      <c r="N51" s="115">
        <v>6</v>
      </c>
      <c r="O51">
        <v>6</v>
      </c>
      <c r="P51" s="115">
        <v>5</v>
      </c>
      <c r="Q51" s="116">
        <f t="shared" si="12"/>
        <v>0</v>
      </c>
      <c r="R51" s="5">
        <f t="shared" si="13"/>
        <v>1</v>
      </c>
      <c r="S51" s="5">
        <f t="shared" si="14"/>
        <v>1</v>
      </c>
      <c r="T51" s="5">
        <f t="shared" si="15"/>
        <v>1</v>
      </c>
      <c r="U51" s="5">
        <f t="shared" si="16"/>
        <v>1</v>
      </c>
      <c r="V51" s="5">
        <f t="shared" si="17"/>
        <v>1</v>
      </c>
      <c r="W51" s="5">
        <f t="shared" si="18"/>
        <v>1</v>
      </c>
      <c r="X51" s="5">
        <f t="shared" si="19"/>
        <v>1</v>
      </c>
      <c r="Y51" s="5">
        <f t="shared" si="20"/>
        <v>1</v>
      </c>
      <c r="Z51" s="5">
        <f t="shared" si="21"/>
        <v>1</v>
      </c>
      <c r="AA51" s="5">
        <f t="shared" si="22"/>
        <v>1</v>
      </c>
      <c r="AB51" s="5">
        <f t="shared" si="23"/>
        <v>0.83333333333333337</v>
      </c>
    </row>
    <row r="52" spans="1:28" x14ac:dyDescent="0.3">
      <c r="A52" t="s">
        <v>130</v>
      </c>
      <c r="B52" t="s">
        <v>256</v>
      </c>
      <c r="C52" t="s">
        <v>9</v>
      </c>
      <c r="D52" s="115">
        <v>1</v>
      </c>
      <c r="F52" s="115">
        <v>1</v>
      </c>
      <c r="G52">
        <v>1</v>
      </c>
      <c r="H52" s="115">
        <v>1</v>
      </c>
      <c r="I52">
        <v>1</v>
      </c>
      <c r="J52" s="115">
        <v>1</v>
      </c>
      <c r="K52">
        <v>1</v>
      </c>
      <c r="L52" s="115">
        <v>1</v>
      </c>
      <c r="M52">
        <v>1</v>
      </c>
      <c r="N52" s="115">
        <v>1</v>
      </c>
      <c r="O52">
        <v>1</v>
      </c>
      <c r="P52" s="115">
        <v>1</v>
      </c>
      <c r="Q52" s="116">
        <f t="shared" si="12"/>
        <v>0</v>
      </c>
      <c r="R52" s="5">
        <f t="shared" si="13"/>
        <v>1</v>
      </c>
      <c r="S52" s="5">
        <f t="shared" si="14"/>
        <v>1</v>
      </c>
      <c r="T52" s="5">
        <f t="shared" si="15"/>
        <v>1</v>
      </c>
      <c r="U52" s="5">
        <f t="shared" si="16"/>
        <v>1</v>
      </c>
      <c r="V52" s="5">
        <f t="shared" si="17"/>
        <v>1</v>
      </c>
      <c r="W52" s="5">
        <f t="shared" si="18"/>
        <v>1</v>
      </c>
      <c r="X52" s="5">
        <f t="shared" si="19"/>
        <v>1</v>
      </c>
      <c r="Y52" s="5">
        <f t="shared" si="20"/>
        <v>1</v>
      </c>
      <c r="Z52" s="5">
        <f t="shared" si="21"/>
        <v>1</v>
      </c>
      <c r="AA52" s="5">
        <f t="shared" si="22"/>
        <v>1</v>
      </c>
      <c r="AB52" s="5">
        <f t="shared" si="23"/>
        <v>1</v>
      </c>
    </row>
    <row r="53" spans="1:28" x14ac:dyDescent="0.3">
      <c r="A53" t="s">
        <v>156</v>
      </c>
      <c r="B53" t="s">
        <v>256</v>
      </c>
      <c r="C53" t="s">
        <v>9</v>
      </c>
      <c r="D53" s="115">
        <v>3</v>
      </c>
      <c r="E53">
        <v>3</v>
      </c>
      <c r="F53" s="115">
        <v>3</v>
      </c>
      <c r="G53">
        <v>3</v>
      </c>
      <c r="H53" s="115">
        <v>3</v>
      </c>
      <c r="I53">
        <v>3</v>
      </c>
      <c r="J53" s="115">
        <v>3</v>
      </c>
      <c r="K53">
        <v>3</v>
      </c>
      <c r="L53" s="115">
        <v>3</v>
      </c>
      <c r="M53">
        <v>3</v>
      </c>
      <c r="N53" s="115">
        <v>3</v>
      </c>
      <c r="O53">
        <v>3</v>
      </c>
      <c r="P53" s="115">
        <v>3</v>
      </c>
      <c r="Q53" s="116">
        <f t="shared" si="12"/>
        <v>1</v>
      </c>
      <c r="R53" s="5">
        <f t="shared" si="13"/>
        <v>1</v>
      </c>
      <c r="S53" s="5">
        <f t="shared" si="14"/>
        <v>1</v>
      </c>
      <c r="T53" s="5">
        <f t="shared" si="15"/>
        <v>1</v>
      </c>
      <c r="U53" s="5">
        <f t="shared" si="16"/>
        <v>1</v>
      </c>
      <c r="V53" s="5">
        <f t="shared" si="17"/>
        <v>1</v>
      </c>
      <c r="W53" s="5">
        <f t="shared" si="18"/>
        <v>1</v>
      </c>
      <c r="X53" s="5">
        <f t="shared" si="19"/>
        <v>1</v>
      </c>
      <c r="Y53" s="5">
        <f t="shared" si="20"/>
        <v>1</v>
      </c>
      <c r="Z53" s="5">
        <f t="shared" si="21"/>
        <v>1</v>
      </c>
      <c r="AA53" s="5">
        <f t="shared" si="22"/>
        <v>1</v>
      </c>
      <c r="AB53" s="5">
        <f t="shared" si="23"/>
        <v>1</v>
      </c>
    </row>
    <row r="54" spans="1:28" x14ac:dyDescent="0.3">
      <c r="A54" t="s">
        <v>153</v>
      </c>
      <c r="B54" t="s">
        <v>256</v>
      </c>
      <c r="C54" t="s">
        <v>9</v>
      </c>
      <c r="D54" s="115">
        <v>4</v>
      </c>
      <c r="E54">
        <v>4</v>
      </c>
      <c r="F54" s="115">
        <v>4</v>
      </c>
      <c r="G54">
        <v>4</v>
      </c>
      <c r="H54" s="115">
        <v>4</v>
      </c>
      <c r="I54">
        <v>4</v>
      </c>
      <c r="J54" s="115">
        <v>4</v>
      </c>
      <c r="K54">
        <v>4</v>
      </c>
      <c r="L54" s="115">
        <v>4</v>
      </c>
      <c r="M54">
        <v>4</v>
      </c>
      <c r="N54" s="115">
        <v>4</v>
      </c>
      <c r="O54">
        <v>4</v>
      </c>
      <c r="P54" s="115">
        <v>4</v>
      </c>
      <c r="Q54" s="116">
        <f t="shared" si="12"/>
        <v>1</v>
      </c>
      <c r="R54" s="5">
        <f t="shared" si="13"/>
        <v>1</v>
      </c>
      <c r="S54" s="5">
        <f t="shared" si="14"/>
        <v>1</v>
      </c>
      <c r="T54" s="5">
        <f t="shared" si="15"/>
        <v>1</v>
      </c>
      <c r="U54" s="5">
        <f t="shared" si="16"/>
        <v>1</v>
      </c>
      <c r="V54" s="5">
        <f t="shared" si="17"/>
        <v>1</v>
      </c>
      <c r="W54" s="5">
        <f t="shared" si="18"/>
        <v>1</v>
      </c>
      <c r="X54" s="5">
        <f t="shared" si="19"/>
        <v>1</v>
      </c>
      <c r="Y54" s="5">
        <f t="shared" si="20"/>
        <v>1</v>
      </c>
      <c r="Z54" s="5">
        <f t="shared" si="21"/>
        <v>1</v>
      </c>
      <c r="AA54" s="5">
        <f t="shared" si="22"/>
        <v>1</v>
      </c>
      <c r="AB54" s="5">
        <f t="shared" si="23"/>
        <v>1</v>
      </c>
    </row>
    <row r="55" spans="1:28" x14ac:dyDescent="0.3">
      <c r="A55" t="s">
        <v>188</v>
      </c>
      <c r="B55" t="s">
        <v>256</v>
      </c>
      <c r="C55" t="s">
        <v>9</v>
      </c>
      <c r="D55" s="115">
        <v>12</v>
      </c>
      <c r="E55">
        <v>12</v>
      </c>
      <c r="F55" s="115">
        <v>12</v>
      </c>
      <c r="G55">
        <v>12</v>
      </c>
      <c r="H55" s="115">
        <v>12</v>
      </c>
      <c r="I55">
        <v>12</v>
      </c>
      <c r="J55" s="115">
        <v>12</v>
      </c>
      <c r="K55">
        <v>12</v>
      </c>
      <c r="L55" s="115">
        <v>12</v>
      </c>
      <c r="M55">
        <v>12</v>
      </c>
      <c r="N55" s="115">
        <v>12</v>
      </c>
      <c r="O55">
        <v>12</v>
      </c>
      <c r="P55" s="115">
        <v>12</v>
      </c>
      <c r="Q55" s="116">
        <f t="shared" si="12"/>
        <v>1</v>
      </c>
      <c r="R55" s="5">
        <f t="shared" si="13"/>
        <v>1</v>
      </c>
      <c r="S55" s="5">
        <f t="shared" si="14"/>
        <v>1</v>
      </c>
      <c r="T55" s="5">
        <f t="shared" si="15"/>
        <v>1</v>
      </c>
      <c r="U55" s="5">
        <f t="shared" si="16"/>
        <v>1</v>
      </c>
      <c r="V55" s="5">
        <f t="shared" si="17"/>
        <v>1</v>
      </c>
      <c r="W55" s="5">
        <f t="shared" si="18"/>
        <v>1</v>
      </c>
      <c r="X55" s="5">
        <f t="shared" si="19"/>
        <v>1</v>
      </c>
      <c r="Y55" s="5">
        <f t="shared" si="20"/>
        <v>1</v>
      </c>
      <c r="Z55" s="5">
        <f t="shared" si="21"/>
        <v>1</v>
      </c>
      <c r="AA55" s="5">
        <f t="shared" si="22"/>
        <v>1</v>
      </c>
      <c r="AB55" s="5">
        <f t="shared" si="23"/>
        <v>1</v>
      </c>
    </row>
    <row r="56" spans="1:28" x14ac:dyDescent="0.3">
      <c r="A56" t="s">
        <v>135</v>
      </c>
      <c r="B56" t="s">
        <v>256</v>
      </c>
      <c r="C56" t="s">
        <v>9</v>
      </c>
      <c r="D56" s="115">
        <v>10</v>
      </c>
      <c r="E56">
        <v>10</v>
      </c>
      <c r="F56" s="115">
        <v>10</v>
      </c>
      <c r="G56">
        <v>10</v>
      </c>
      <c r="H56" s="115">
        <v>10</v>
      </c>
      <c r="I56">
        <v>10</v>
      </c>
      <c r="J56" s="115">
        <v>10</v>
      </c>
      <c r="K56">
        <v>10</v>
      </c>
      <c r="L56" s="115">
        <v>10</v>
      </c>
      <c r="M56">
        <v>10</v>
      </c>
      <c r="N56" s="115">
        <v>10</v>
      </c>
      <c r="O56">
        <v>10</v>
      </c>
      <c r="P56" s="115">
        <v>10</v>
      </c>
      <c r="Q56" s="116">
        <f t="shared" si="12"/>
        <v>1</v>
      </c>
      <c r="R56" s="5">
        <f t="shared" si="13"/>
        <v>1</v>
      </c>
      <c r="S56" s="5">
        <f t="shared" si="14"/>
        <v>1</v>
      </c>
      <c r="T56" s="5">
        <f t="shared" si="15"/>
        <v>1</v>
      </c>
      <c r="U56" s="5">
        <f t="shared" si="16"/>
        <v>1</v>
      </c>
      <c r="V56" s="5">
        <f t="shared" si="17"/>
        <v>1</v>
      </c>
      <c r="W56" s="5">
        <f t="shared" si="18"/>
        <v>1</v>
      </c>
      <c r="X56" s="5">
        <f t="shared" si="19"/>
        <v>1</v>
      </c>
      <c r="Y56" s="5">
        <f t="shared" si="20"/>
        <v>1</v>
      </c>
      <c r="Z56" s="5">
        <f t="shared" si="21"/>
        <v>1</v>
      </c>
      <c r="AA56" s="5">
        <f t="shared" si="22"/>
        <v>1</v>
      </c>
      <c r="AB56" s="5">
        <f t="shared" si="23"/>
        <v>1</v>
      </c>
    </row>
    <row r="57" spans="1:28" x14ac:dyDescent="0.3">
      <c r="A57" t="s">
        <v>104</v>
      </c>
      <c r="B57" t="s">
        <v>256</v>
      </c>
      <c r="C57" t="s">
        <v>9</v>
      </c>
      <c r="D57" s="115">
        <v>2</v>
      </c>
      <c r="E57">
        <v>2</v>
      </c>
      <c r="F57" s="115">
        <v>2</v>
      </c>
      <c r="G57">
        <v>2</v>
      </c>
      <c r="H57" s="115">
        <v>2</v>
      </c>
      <c r="I57">
        <v>2</v>
      </c>
      <c r="J57" s="115">
        <v>2</v>
      </c>
      <c r="K57">
        <v>2</v>
      </c>
      <c r="L57" s="115">
        <v>2</v>
      </c>
      <c r="M57">
        <v>2</v>
      </c>
      <c r="N57" s="115">
        <v>2</v>
      </c>
      <c r="O57">
        <v>2</v>
      </c>
      <c r="P57" s="115">
        <v>2</v>
      </c>
      <c r="Q57" s="116">
        <f t="shared" si="12"/>
        <v>1</v>
      </c>
      <c r="R57" s="5">
        <f t="shared" si="13"/>
        <v>1</v>
      </c>
      <c r="S57" s="5">
        <f t="shared" si="14"/>
        <v>1</v>
      </c>
      <c r="T57" s="5">
        <f t="shared" si="15"/>
        <v>1</v>
      </c>
      <c r="U57" s="5">
        <f t="shared" si="16"/>
        <v>1</v>
      </c>
      <c r="V57" s="5">
        <f t="shared" si="17"/>
        <v>1</v>
      </c>
      <c r="W57" s="5">
        <f t="shared" si="18"/>
        <v>1</v>
      </c>
      <c r="X57" s="5">
        <f t="shared" si="19"/>
        <v>1</v>
      </c>
      <c r="Y57" s="5">
        <f t="shared" si="20"/>
        <v>1</v>
      </c>
      <c r="Z57" s="5">
        <f t="shared" si="21"/>
        <v>1</v>
      </c>
      <c r="AA57" s="5">
        <f t="shared" si="22"/>
        <v>1</v>
      </c>
      <c r="AB57" s="5">
        <f t="shared" si="23"/>
        <v>1</v>
      </c>
    </row>
    <row r="58" spans="1:28" x14ac:dyDescent="0.3">
      <c r="A58" t="s">
        <v>183</v>
      </c>
      <c r="B58" t="s">
        <v>256</v>
      </c>
      <c r="C58" t="s">
        <v>9</v>
      </c>
      <c r="D58" s="115">
        <v>2</v>
      </c>
      <c r="E58">
        <v>2</v>
      </c>
      <c r="F58" s="115">
        <v>2</v>
      </c>
      <c r="G58">
        <v>2</v>
      </c>
      <c r="H58" s="115">
        <v>2</v>
      </c>
      <c r="I58">
        <v>2</v>
      </c>
      <c r="J58" s="115">
        <v>2</v>
      </c>
      <c r="K58">
        <v>2</v>
      </c>
      <c r="L58" s="115">
        <v>2</v>
      </c>
      <c r="M58">
        <v>2</v>
      </c>
      <c r="N58" s="115">
        <v>2</v>
      </c>
      <c r="O58">
        <v>2</v>
      </c>
      <c r="P58" s="115">
        <v>2</v>
      </c>
      <c r="Q58" s="116">
        <f t="shared" si="12"/>
        <v>1</v>
      </c>
      <c r="R58" s="5">
        <f t="shared" si="13"/>
        <v>1</v>
      </c>
      <c r="S58" s="5">
        <f t="shared" si="14"/>
        <v>1</v>
      </c>
      <c r="T58" s="5">
        <f t="shared" si="15"/>
        <v>1</v>
      </c>
      <c r="U58" s="5">
        <f t="shared" si="16"/>
        <v>1</v>
      </c>
      <c r="V58" s="5">
        <f t="shared" si="17"/>
        <v>1</v>
      </c>
      <c r="W58" s="5">
        <f t="shared" si="18"/>
        <v>1</v>
      </c>
      <c r="X58" s="5">
        <f t="shared" si="19"/>
        <v>1</v>
      </c>
      <c r="Y58" s="5">
        <f t="shared" si="20"/>
        <v>1</v>
      </c>
      <c r="Z58" s="5">
        <f t="shared" si="21"/>
        <v>1</v>
      </c>
      <c r="AA58" s="5">
        <f t="shared" si="22"/>
        <v>1</v>
      </c>
      <c r="AB58" s="5">
        <f t="shared" si="23"/>
        <v>1</v>
      </c>
    </row>
    <row r="59" spans="1:28" x14ac:dyDescent="0.3">
      <c r="A59" t="s">
        <v>122</v>
      </c>
      <c r="B59" t="s">
        <v>256</v>
      </c>
      <c r="C59" t="s">
        <v>9</v>
      </c>
      <c r="D59" s="115">
        <v>13</v>
      </c>
      <c r="E59">
        <v>13</v>
      </c>
      <c r="F59" s="115">
        <v>13</v>
      </c>
      <c r="G59">
        <v>13</v>
      </c>
      <c r="H59" s="115">
        <v>13</v>
      </c>
      <c r="I59">
        <v>13</v>
      </c>
      <c r="J59" s="115">
        <v>13</v>
      </c>
      <c r="K59">
        <v>13</v>
      </c>
      <c r="L59" s="115">
        <v>13</v>
      </c>
      <c r="M59">
        <v>13</v>
      </c>
      <c r="N59" s="115">
        <v>13</v>
      </c>
      <c r="O59">
        <v>13</v>
      </c>
      <c r="P59" s="115">
        <v>13</v>
      </c>
      <c r="Q59" s="116">
        <f t="shared" si="12"/>
        <v>1</v>
      </c>
      <c r="R59" s="5">
        <f t="shared" si="13"/>
        <v>1</v>
      </c>
      <c r="S59" s="5">
        <f t="shared" si="14"/>
        <v>1</v>
      </c>
      <c r="T59" s="5">
        <f t="shared" si="15"/>
        <v>1</v>
      </c>
      <c r="U59" s="5">
        <f t="shared" si="16"/>
        <v>1</v>
      </c>
      <c r="V59" s="5">
        <f t="shared" si="17"/>
        <v>1</v>
      </c>
      <c r="W59" s="5">
        <f t="shared" si="18"/>
        <v>1</v>
      </c>
      <c r="X59" s="5">
        <f t="shared" si="19"/>
        <v>1</v>
      </c>
      <c r="Y59" s="5">
        <f t="shared" si="20"/>
        <v>1</v>
      </c>
      <c r="Z59" s="5">
        <f t="shared" si="21"/>
        <v>1</v>
      </c>
      <c r="AA59" s="5">
        <f t="shared" si="22"/>
        <v>1</v>
      </c>
      <c r="AB59" s="5">
        <f t="shared" si="23"/>
        <v>1</v>
      </c>
    </row>
    <row r="60" spans="1:28" x14ac:dyDescent="0.3">
      <c r="A60" t="s">
        <v>187</v>
      </c>
      <c r="B60" t="s">
        <v>256</v>
      </c>
      <c r="C60" t="s">
        <v>9</v>
      </c>
      <c r="D60" s="115">
        <v>1</v>
      </c>
      <c r="E60">
        <v>1</v>
      </c>
      <c r="F60" s="115">
        <v>1</v>
      </c>
      <c r="G60">
        <v>1</v>
      </c>
      <c r="H60" s="115">
        <v>1</v>
      </c>
      <c r="I60">
        <v>1</v>
      </c>
      <c r="J60" s="115">
        <v>1</v>
      </c>
      <c r="K60">
        <v>1</v>
      </c>
      <c r="L60" s="115">
        <v>1</v>
      </c>
      <c r="M60">
        <v>1</v>
      </c>
      <c r="N60" s="115">
        <v>1</v>
      </c>
      <c r="O60">
        <v>1</v>
      </c>
      <c r="P60" s="115">
        <v>1</v>
      </c>
      <c r="Q60" s="116">
        <f t="shared" si="12"/>
        <v>1</v>
      </c>
      <c r="R60" s="5">
        <f t="shared" si="13"/>
        <v>1</v>
      </c>
      <c r="S60" s="5">
        <f t="shared" si="14"/>
        <v>1</v>
      </c>
      <c r="T60" s="5">
        <f t="shared" si="15"/>
        <v>1</v>
      </c>
      <c r="U60" s="5">
        <f t="shared" si="16"/>
        <v>1</v>
      </c>
      <c r="V60" s="5">
        <f t="shared" si="17"/>
        <v>1</v>
      </c>
      <c r="W60" s="5">
        <f t="shared" si="18"/>
        <v>1</v>
      </c>
      <c r="X60" s="5">
        <f t="shared" si="19"/>
        <v>1</v>
      </c>
      <c r="Y60" s="5">
        <f t="shared" si="20"/>
        <v>1</v>
      </c>
      <c r="Z60" s="5">
        <f t="shared" si="21"/>
        <v>1</v>
      </c>
      <c r="AA60" s="5">
        <f t="shared" si="22"/>
        <v>1</v>
      </c>
      <c r="AB60" s="5">
        <f t="shared" si="23"/>
        <v>1</v>
      </c>
    </row>
    <row r="61" spans="1:28" x14ac:dyDescent="0.3">
      <c r="A61" t="s">
        <v>160</v>
      </c>
      <c r="B61" t="s">
        <v>256</v>
      </c>
      <c r="C61" t="s">
        <v>9</v>
      </c>
      <c r="D61" s="115"/>
      <c r="F61" s="115"/>
      <c r="H61" s="115"/>
      <c r="J61" s="115"/>
      <c r="L61" s="115"/>
      <c r="N61" s="115"/>
      <c r="P61" s="115"/>
      <c r="Q61" s="116" t="e">
        <f t="shared" si="12"/>
        <v>#DIV/0!</v>
      </c>
      <c r="R61" s="5" t="e">
        <f t="shared" si="13"/>
        <v>#DIV/0!</v>
      </c>
      <c r="S61" s="5" t="e">
        <f t="shared" si="14"/>
        <v>#DIV/0!</v>
      </c>
      <c r="T61" s="5" t="e">
        <f t="shared" si="15"/>
        <v>#DIV/0!</v>
      </c>
      <c r="U61" s="5" t="e">
        <f t="shared" si="16"/>
        <v>#DIV/0!</v>
      </c>
      <c r="V61" s="5" t="e">
        <f t="shared" si="17"/>
        <v>#DIV/0!</v>
      </c>
      <c r="W61" s="5" t="e">
        <f t="shared" si="18"/>
        <v>#DIV/0!</v>
      </c>
      <c r="X61" s="5" t="e">
        <f t="shared" si="19"/>
        <v>#DIV/0!</v>
      </c>
      <c r="Y61" s="5" t="e">
        <f t="shared" si="20"/>
        <v>#DIV/0!</v>
      </c>
      <c r="Z61" s="5" t="e">
        <f t="shared" si="21"/>
        <v>#DIV/0!</v>
      </c>
      <c r="AA61" s="5" t="e">
        <f t="shared" si="22"/>
        <v>#DIV/0!</v>
      </c>
      <c r="AB61" s="5" t="e">
        <f t="shared" si="23"/>
        <v>#DIV/0!</v>
      </c>
    </row>
    <row r="62" spans="1:28" x14ac:dyDescent="0.3">
      <c r="A62" t="s">
        <v>109</v>
      </c>
      <c r="B62" t="s">
        <v>256</v>
      </c>
      <c r="C62" t="s">
        <v>9</v>
      </c>
      <c r="D62" s="115">
        <v>2</v>
      </c>
      <c r="E62">
        <v>2</v>
      </c>
      <c r="F62" s="115">
        <v>2</v>
      </c>
      <c r="G62">
        <v>2</v>
      </c>
      <c r="H62" s="115">
        <v>2</v>
      </c>
      <c r="I62">
        <v>2</v>
      </c>
      <c r="J62" s="115">
        <v>2</v>
      </c>
      <c r="K62">
        <v>2</v>
      </c>
      <c r="L62" s="115">
        <v>2</v>
      </c>
      <c r="M62">
        <v>2</v>
      </c>
      <c r="N62" s="115">
        <v>2</v>
      </c>
      <c r="O62">
        <v>2</v>
      </c>
      <c r="P62" s="115">
        <v>2</v>
      </c>
      <c r="Q62" s="116">
        <f t="shared" si="12"/>
        <v>1</v>
      </c>
      <c r="R62" s="5">
        <f t="shared" si="13"/>
        <v>1</v>
      </c>
      <c r="S62" s="5">
        <f t="shared" si="14"/>
        <v>1</v>
      </c>
      <c r="T62" s="5">
        <f t="shared" si="15"/>
        <v>1</v>
      </c>
      <c r="U62" s="5">
        <f t="shared" si="16"/>
        <v>1</v>
      </c>
      <c r="V62" s="5">
        <f t="shared" si="17"/>
        <v>1</v>
      </c>
      <c r="W62" s="5">
        <f t="shared" si="18"/>
        <v>1</v>
      </c>
      <c r="X62" s="5">
        <f t="shared" si="19"/>
        <v>1</v>
      </c>
      <c r="Y62" s="5">
        <f t="shared" si="20"/>
        <v>1</v>
      </c>
      <c r="Z62" s="5">
        <f t="shared" si="21"/>
        <v>1</v>
      </c>
      <c r="AA62" s="5">
        <f t="shared" si="22"/>
        <v>1</v>
      </c>
      <c r="AB62" s="5">
        <f t="shared" si="23"/>
        <v>1</v>
      </c>
    </row>
    <row r="63" spans="1:28" x14ac:dyDescent="0.3">
      <c r="A63" t="s">
        <v>179</v>
      </c>
      <c r="B63" t="s">
        <v>256</v>
      </c>
      <c r="C63" t="s">
        <v>9</v>
      </c>
      <c r="D63" s="115">
        <v>6</v>
      </c>
      <c r="E63">
        <v>6</v>
      </c>
      <c r="F63" s="115">
        <v>6</v>
      </c>
      <c r="G63">
        <v>6</v>
      </c>
      <c r="H63" s="115">
        <v>6</v>
      </c>
      <c r="I63">
        <v>6</v>
      </c>
      <c r="J63" s="115">
        <v>6</v>
      </c>
      <c r="K63">
        <v>6</v>
      </c>
      <c r="L63" s="115">
        <v>6</v>
      </c>
      <c r="M63">
        <v>6</v>
      </c>
      <c r="N63" s="115">
        <v>6</v>
      </c>
      <c r="O63">
        <v>5</v>
      </c>
      <c r="P63" s="115">
        <v>2</v>
      </c>
      <c r="Q63" s="116">
        <f t="shared" si="12"/>
        <v>1</v>
      </c>
      <c r="R63" s="5">
        <f t="shared" si="13"/>
        <v>1</v>
      </c>
      <c r="S63" s="5">
        <f t="shared" si="14"/>
        <v>1</v>
      </c>
      <c r="T63" s="5">
        <f t="shared" si="15"/>
        <v>1</v>
      </c>
      <c r="U63" s="5">
        <f t="shared" si="16"/>
        <v>1</v>
      </c>
      <c r="V63" s="5">
        <f t="shared" si="17"/>
        <v>1</v>
      </c>
      <c r="W63" s="5">
        <f t="shared" si="18"/>
        <v>1</v>
      </c>
      <c r="X63" s="5">
        <f t="shared" si="19"/>
        <v>1</v>
      </c>
      <c r="Y63" s="5">
        <f t="shared" si="20"/>
        <v>1</v>
      </c>
      <c r="Z63" s="5">
        <f t="shared" si="21"/>
        <v>1</v>
      </c>
      <c r="AA63" s="5">
        <f t="shared" si="22"/>
        <v>0.83333333333333337</v>
      </c>
      <c r="AB63" s="5">
        <f t="shared" si="23"/>
        <v>0.33333333333333331</v>
      </c>
    </row>
    <row r="64" spans="1:28" x14ac:dyDescent="0.3">
      <c r="A64" t="s">
        <v>150</v>
      </c>
      <c r="B64" t="s">
        <v>256</v>
      </c>
      <c r="C64" t="s">
        <v>9</v>
      </c>
      <c r="D64" s="115"/>
      <c r="F64" s="115"/>
      <c r="H64" s="115"/>
      <c r="J64" s="115"/>
      <c r="L64" s="115"/>
      <c r="N64" s="115"/>
      <c r="P64" s="115"/>
      <c r="Q64" s="116" t="e">
        <f t="shared" si="12"/>
        <v>#DIV/0!</v>
      </c>
      <c r="R64" s="5" t="e">
        <f t="shared" si="13"/>
        <v>#DIV/0!</v>
      </c>
      <c r="S64" s="5" t="e">
        <f t="shared" si="14"/>
        <v>#DIV/0!</v>
      </c>
      <c r="T64" s="5" t="e">
        <f t="shared" si="15"/>
        <v>#DIV/0!</v>
      </c>
      <c r="U64" s="5" t="e">
        <f t="shared" si="16"/>
        <v>#DIV/0!</v>
      </c>
      <c r="V64" s="5" t="e">
        <f t="shared" si="17"/>
        <v>#DIV/0!</v>
      </c>
      <c r="W64" s="5" t="e">
        <f t="shared" si="18"/>
        <v>#DIV/0!</v>
      </c>
      <c r="X64" s="5" t="e">
        <f t="shared" si="19"/>
        <v>#DIV/0!</v>
      </c>
      <c r="Y64" s="5" t="e">
        <f t="shared" si="20"/>
        <v>#DIV/0!</v>
      </c>
      <c r="Z64" s="5" t="e">
        <f t="shared" si="21"/>
        <v>#DIV/0!</v>
      </c>
      <c r="AA64" s="5" t="e">
        <f t="shared" si="22"/>
        <v>#DIV/0!</v>
      </c>
      <c r="AB64" s="5" t="e">
        <f t="shared" si="23"/>
        <v>#DIV/0!</v>
      </c>
    </row>
    <row r="65" spans="1:28" x14ac:dyDescent="0.3">
      <c r="A65" t="s">
        <v>155</v>
      </c>
      <c r="B65" t="s">
        <v>256</v>
      </c>
      <c r="C65" t="s">
        <v>9</v>
      </c>
      <c r="D65" s="115">
        <v>3</v>
      </c>
      <c r="E65">
        <v>3</v>
      </c>
      <c r="F65" s="115">
        <v>3</v>
      </c>
      <c r="G65">
        <v>3</v>
      </c>
      <c r="H65" s="115">
        <v>3</v>
      </c>
      <c r="I65">
        <v>3</v>
      </c>
      <c r="J65" s="115">
        <v>3</v>
      </c>
      <c r="K65">
        <v>3</v>
      </c>
      <c r="L65" s="115">
        <v>3</v>
      </c>
      <c r="M65">
        <v>3</v>
      </c>
      <c r="N65" s="115">
        <v>3</v>
      </c>
      <c r="O65">
        <v>3</v>
      </c>
      <c r="P65" s="115"/>
      <c r="Q65" s="116">
        <f t="shared" si="12"/>
        <v>1</v>
      </c>
      <c r="R65" s="5">
        <f t="shared" si="13"/>
        <v>1</v>
      </c>
      <c r="S65" s="5">
        <f t="shared" si="14"/>
        <v>1</v>
      </c>
      <c r="T65" s="5">
        <f t="shared" si="15"/>
        <v>1</v>
      </c>
      <c r="U65" s="5">
        <f t="shared" si="16"/>
        <v>1</v>
      </c>
      <c r="V65" s="5">
        <f t="shared" si="17"/>
        <v>1</v>
      </c>
      <c r="W65" s="5">
        <f t="shared" si="18"/>
        <v>1</v>
      </c>
      <c r="X65" s="5">
        <f t="shared" si="19"/>
        <v>1</v>
      </c>
      <c r="Y65" s="5">
        <f t="shared" si="20"/>
        <v>1</v>
      </c>
      <c r="Z65" s="5">
        <f t="shared" si="21"/>
        <v>1</v>
      </c>
      <c r="AA65" s="5">
        <f t="shared" si="22"/>
        <v>1</v>
      </c>
      <c r="AB65" s="5">
        <f t="shared" si="23"/>
        <v>0</v>
      </c>
    </row>
    <row r="66" spans="1:28" x14ac:dyDescent="0.3">
      <c r="A66" t="s">
        <v>138</v>
      </c>
      <c r="B66" t="s">
        <v>256</v>
      </c>
      <c r="C66" t="s">
        <v>9</v>
      </c>
      <c r="D66" s="115">
        <v>13</v>
      </c>
      <c r="E66">
        <v>13</v>
      </c>
      <c r="F66" s="115">
        <v>13</v>
      </c>
      <c r="G66">
        <v>13</v>
      </c>
      <c r="H66" s="115">
        <v>13</v>
      </c>
      <c r="I66">
        <v>13</v>
      </c>
      <c r="J66" s="115">
        <v>13</v>
      </c>
      <c r="K66">
        <v>13</v>
      </c>
      <c r="L66" s="115">
        <v>13</v>
      </c>
      <c r="M66">
        <v>13</v>
      </c>
      <c r="N66" s="115">
        <v>13</v>
      </c>
      <c r="O66">
        <v>7</v>
      </c>
      <c r="P66" s="115"/>
      <c r="Q66" s="116">
        <f t="shared" ref="Q66:Q90" si="24">E66/$D66</f>
        <v>1</v>
      </c>
      <c r="R66" s="5">
        <f t="shared" ref="R66:R90" si="25">F66/$D66</f>
        <v>1</v>
      </c>
      <c r="S66" s="5">
        <f t="shared" ref="S66:S90" si="26">G66/$D66</f>
        <v>1</v>
      </c>
      <c r="T66" s="5">
        <f t="shared" ref="T66:T90" si="27">H66/$D66</f>
        <v>1</v>
      </c>
      <c r="U66" s="5">
        <f t="shared" ref="U66:U90" si="28">I66/$D66</f>
        <v>1</v>
      </c>
      <c r="V66" s="5">
        <f t="shared" ref="V66:V90" si="29">J66/$D66</f>
        <v>1</v>
      </c>
      <c r="W66" s="5">
        <f t="shared" ref="W66:W90" si="30">K66/$D66</f>
        <v>1</v>
      </c>
      <c r="X66" s="5">
        <f t="shared" ref="X66:X90" si="31">L66/$D66</f>
        <v>1</v>
      </c>
      <c r="Y66" s="5">
        <f t="shared" ref="Y66:Y90" si="32">M66/$D66</f>
        <v>1</v>
      </c>
      <c r="Z66" s="5">
        <f t="shared" ref="Z66:Z90" si="33">N66/$D66</f>
        <v>1</v>
      </c>
      <c r="AA66" s="5">
        <f t="shared" ref="AA66:AA90" si="34">O66/$D66</f>
        <v>0.53846153846153844</v>
      </c>
      <c r="AB66" s="5">
        <f t="shared" ref="AB66:AB90" si="35">P66/$D66</f>
        <v>0</v>
      </c>
    </row>
    <row r="67" spans="1:28" x14ac:dyDescent="0.3">
      <c r="A67" t="s">
        <v>114</v>
      </c>
      <c r="B67" t="s">
        <v>2364</v>
      </c>
      <c r="C67" t="s">
        <v>11</v>
      </c>
      <c r="D67" s="115"/>
      <c r="F67" s="115"/>
      <c r="H67" s="115"/>
      <c r="J67" s="115"/>
      <c r="L67" s="115"/>
      <c r="N67" s="115"/>
      <c r="P67" s="115"/>
      <c r="Q67" s="116" t="e">
        <f t="shared" si="24"/>
        <v>#DIV/0!</v>
      </c>
      <c r="R67" s="5" t="e">
        <f t="shared" si="25"/>
        <v>#DIV/0!</v>
      </c>
      <c r="S67" s="5" t="e">
        <f t="shared" si="26"/>
        <v>#DIV/0!</v>
      </c>
      <c r="T67" s="5" t="e">
        <f t="shared" si="27"/>
        <v>#DIV/0!</v>
      </c>
      <c r="U67" s="5" t="e">
        <f t="shared" si="28"/>
        <v>#DIV/0!</v>
      </c>
      <c r="V67" s="5" t="e">
        <f t="shared" si="29"/>
        <v>#DIV/0!</v>
      </c>
      <c r="W67" s="5" t="e">
        <f t="shared" si="30"/>
        <v>#DIV/0!</v>
      </c>
      <c r="X67" s="5" t="e">
        <f t="shared" si="31"/>
        <v>#DIV/0!</v>
      </c>
      <c r="Y67" s="5" t="e">
        <f t="shared" si="32"/>
        <v>#DIV/0!</v>
      </c>
      <c r="Z67" s="5" t="e">
        <f t="shared" si="33"/>
        <v>#DIV/0!</v>
      </c>
      <c r="AA67" s="5" t="e">
        <f t="shared" si="34"/>
        <v>#DIV/0!</v>
      </c>
      <c r="AB67" s="5" t="e">
        <f t="shared" si="35"/>
        <v>#DIV/0!</v>
      </c>
    </row>
    <row r="68" spans="1:28" x14ac:dyDescent="0.3">
      <c r="A68" t="s">
        <v>186</v>
      </c>
      <c r="B68" t="s">
        <v>2364</v>
      </c>
      <c r="C68" t="s">
        <v>11</v>
      </c>
      <c r="D68" s="115"/>
      <c r="F68" s="115"/>
      <c r="H68" s="115"/>
      <c r="J68" s="115"/>
      <c r="L68" s="115"/>
      <c r="N68" s="115"/>
      <c r="P68" s="115"/>
      <c r="Q68" s="116" t="e">
        <f t="shared" si="24"/>
        <v>#DIV/0!</v>
      </c>
      <c r="R68" s="5" t="e">
        <f t="shared" si="25"/>
        <v>#DIV/0!</v>
      </c>
      <c r="S68" s="5" t="e">
        <f t="shared" si="26"/>
        <v>#DIV/0!</v>
      </c>
      <c r="T68" s="5" t="e">
        <f t="shared" si="27"/>
        <v>#DIV/0!</v>
      </c>
      <c r="U68" s="5" t="e">
        <f t="shared" si="28"/>
        <v>#DIV/0!</v>
      </c>
      <c r="V68" s="5" t="e">
        <f t="shared" si="29"/>
        <v>#DIV/0!</v>
      </c>
      <c r="W68" s="5" t="e">
        <f t="shared" si="30"/>
        <v>#DIV/0!</v>
      </c>
      <c r="X68" s="5" t="e">
        <f t="shared" si="31"/>
        <v>#DIV/0!</v>
      </c>
      <c r="Y68" s="5" t="e">
        <f t="shared" si="32"/>
        <v>#DIV/0!</v>
      </c>
      <c r="Z68" s="5" t="e">
        <f t="shared" si="33"/>
        <v>#DIV/0!</v>
      </c>
      <c r="AA68" s="5" t="e">
        <f t="shared" si="34"/>
        <v>#DIV/0!</v>
      </c>
      <c r="AB68" s="5" t="e">
        <f t="shared" si="35"/>
        <v>#DIV/0!</v>
      </c>
    </row>
    <row r="69" spans="1:28" x14ac:dyDescent="0.3">
      <c r="A69" t="s">
        <v>146</v>
      </c>
      <c r="B69" t="s">
        <v>2364</v>
      </c>
      <c r="C69" t="s">
        <v>11</v>
      </c>
      <c r="D69" s="115"/>
      <c r="F69" s="115"/>
      <c r="H69" s="115"/>
      <c r="J69" s="115"/>
      <c r="L69" s="115"/>
      <c r="N69" s="115"/>
      <c r="P69" s="115"/>
      <c r="Q69" s="116" t="e">
        <f t="shared" si="24"/>
        <v>#DIV/0!</v>
      </c>
      <c r="R69" s="5" t="e">
        <f t="shared" si="25"/>
        <v>#DIV/0!</v>
      </c>
      <c r="S69" s="5" t="e">
        <f t="shared" si="26"/>
        <v>#DIV/0!</v>
      </c>
      <c r="T69" s="5" t="e">
        <f t="shared" si="27"/>
        <v>#DIV/0!</v>
      </c>
      <c r="U69" s="5" t="e">
        <f t="shared" si="28"/>
        <v>#DIV/0!</v>
      </c>
      <c r="V69" s="5" t="e">
        <f t="shared" si="29"/>
        <v>#DIV/0!</v>
      </c>
      <c r="W69" s="5" t="e">
        <f t="shared" si="30"/>
        <v>#DIV/0!</v>
      </c>
      <c r="X69" s="5" t="e">
        <f t="shared" si="31"/>
        <v>#DIV/0!</v>
      </c>
      <c r="Y69" s="5" t="e">
        <f t="shared" si="32"/>
        <v>#DIV/0!</v>
      </c>
      <c r="Z69" s="5" t="e">
        <f t="shared" si="33"/>
        <v>#DIV/0!</v>
      </c>
      <c r="AA69" s="5" t="e">
        <f t="shared" si="34"/>
        <v>#DIV/0!</v>
      </c>
      <c r="AB69" s="5" t="e">
        <f t="shared" si="35"/>
        <v>#DIV/0!</v>
      </c>
    </row>
    <row r="70" spans="1:28" x14ac:dyDescent="0.3">
      <c r="A70" t="s">
        <v>154</v>
      </c>
      <c r="B70" t="s">
        <v>256</v>
      </c>
      <c r="C70" t="s">
        <v>11</v>
      </c>
      <c r="D70" s="115"/>
      <c r="F70" s="115"/>
      <c r="H70" s="115"/>
      <c r="J70" s="115"/>
      <c r="L70" s="115"/>
      <c r="N70" s="115"/>
      <c r="P70" s="115"/>
      <c r="Q70" s="116" t="e">
        <f t="shared" si="24"/>
        <v>#DIV/0!</v>
      </c>
      <c r="R70" s="5" t="e">
        <f t="shared" si="25"/>
        <v>#DIV/0!</v>
      </c>
      <c r="S70" s="5" t="e">
        <f t="shared" si="26"/>
        <v>#DIV/0!</v>
      </c>
      <c r="T70" s="5" t="e">
        <f t="shared" si="27"/>
        <v>#DIV/0!</v>
      </c>
      <c r="U70" s="5" t="e">
        <f t="shared" si="28"/>
        <v>#DIV/0!</v>
      </c>
      <c r="V70" s="5" t="e">
        <f t="shared" si="29"/>
        <v>#DIV/0!</v>
      </c>
      <c r="W70" s="5" t="e">
        <f t="shared" si="30"/>
        <v>#DIV/0!</v>
      </c>
      <c r="X70" s="5" t="e">
        <f t="shared" si="31"/>
        <v>#DIV/0!</v>
      </c>
      <c r="Y70" s="5" t="e">
        <f t="shared" si="32"/>
        <v>#DIV/0!</v>
      </c>
      <c r="Z70" s="5" t="e">
        <f t="shared" si="33"/>
        <v>#DIV/0!</v>
      </c>
      <c r="AA70" s="5" t="e">
        <f t="shared" si="34"/>
        <v>#DIV/0!</v>
      </c>
      <c r="AB70" s="5" t="e">
        <f t="shared" si="35"/>
        <v>#DIV/0!</v>
      </c>
    </row>
    <row r="71" spans="1:28" x14ac:dyDescent="0.3">
      <c r="A71" t="s">
        <v>164</v>
      </c>
      <c r="B71" t="s">
        <v>2364</v>
      </c>
      <c r="C71" t="s">
        <v>11</v>
      </c>
      <c r="D71" s="115"/>
      <c r="F71" s="115"/>
      <c r="H71" s="115"/>
      <c r="J71" s="115"/>
      <c r="L71" s="115"/>
      <c r="N71" s="115"/>
      <c r="P71" s="115"/>
      <c r="Q71" s="116" t="e">
        <f t="shared" si="24"/>
        <v>#DIV/0!</v>
      </c>
      <c r="R71" s="5" t="e">
        <f t="shared" si="25"/>
        <v>#DIV/0!</v>
      </c>
      <c r="S71" s="5" t="e">
        <f t="shared" si="26"/>
        <v>#DIV/0!</v>
      </c>
      <c r="T71" s="5" t="e">
        <f t="shared" si="27"/>
        <v>#DIV/0!</v>
      </c>
      <c r="U71" s="5" t="e">
        <f t="shared" si="28"/>
        <v>#DIV/0!</v>
      </c>
      <c r="V71" s="5" t="e">
        <f t="shared" si="29"/>
        <v>#DIV/0!</v>
      </c>
      <c r="W71" s="5" t="e">
        <f t="shared" si="30"/>
        <v>#DIV/0!</v>
      </c>
      <c r="X71" s="5" t="e">
        <f t="shared" si="31"/>
        <v>#DIV/0!</v>
      </c>
      <c r="Y71" s="5" t="e">
        <f t="shared" si="32"/>
        <v>#DIV/0!</v>
      </c>
      <c r="Z71" s="5" t="e">
        <f t="shared" si="33"/>
        <v>#DIV/0!</v>
      </c>
      <c r="AA71" s="5" t="e">
        <f t="shared" si="34"/>
        <v>#DIV/0!</v>
      </c>
      <c r="AB71" s="5" t="e">
        <f t="shared" si="35"/>
        <v>#DIV/0!</v>
      </c>
    </row>
    <row r="72" spans="1:28" x14ac:dyDescent="0.3">
      <c r="A72" t="s">
        <v>141</v>
      </c>
      <c r="B72" t="s">
        <v>2364</v>
      </c>
      <c r="C72" t="s">
        <v>11</v>
      </c>
      <c r="D72" s="115"/>
      <c r="F72" s="115"/>
      <c r="H72" s="115"/>
      <c r="J72" s="115"/>
      <c r="L72" s="115"/>
      <c r="N72" s="115"/>
      <c r="P72" s="115"/>
      <c r="Q72" s="116" t="e">
        <f t="shared" si="24"/>
        <v>#DIV/0!</v>
      </c>
      <c r="R72" s="5" t="e">
        <f t="shared" si="25"/>
        <v>#DIV/0!</v>
      </c>
      <c r="S72" s="5" t="e">
        <f t="shared" si="26"/>
        <v>#DIV/0!</v>
      </c>
      <c r="T72" s="5" t="e">
        <f t="shared" si="27"/>
        <v>#DIV/0!</v>
      </c>
      <c r="U72" s="5" t="e">
        <f t="shared" si="28"/>
        <v>#DIV/0!</v>
      </c>
      <c r="V72" s="5" t="e">
        <f t="shared" si="29"/>
        <v>#DIV/0!</v>
      </c>
      <c r="W72" s="5" t="e">
        <f t="shared" si="30"/>
        <v>#DIV/0!</v>
      </c>
      <c r="X72" s="5" t="e">
        <f t="shared" si="31"/>
        <v>#DIV/0!</v>
      </c>
      <c r="Y72" s="5" t="e">
        <f t="shared" si="32"/>
        <v>#DIV/0!</v>
      </c>
      <c r="Z72" s="5" t="e">
        <f t="shared" si="33"/>
        <v>#DIV/0!</v>
      </c>
      <c r="AA72" s="5" t="e">
        <f t="shared" si="34"/>
        <v>#DIV/0!</v>
      </c>
      <c r="AB72" s="5" t="e">
        <f t="shared" si="35"/>
        <v>#DIV/0!</v>
      </c>
    </row>
    <row r="73" spans="1:28" x14ac:dyDescent="0.3">
      <c r="A73" t="s">
        <v>117</v>
      </c>
      <c r="B73" t="s">
        <v>256</v>
      </c>
      <c r="C73" t="s">
        <v>11</v>
      </c>
      <c r="D73" s="115"/>
      <c r="F73" s="115"/>
      <c r="H73" s="115"/>
      <c r="J73" s="115"/>
      <c r="L73" s="115"/>
      <c r="N73" s="115"/>
      <c r="P73" s="115"/>
      <c r="Q73" s="116" t="e">
        <f t="shared" si="24"/>
        <v>#DIV/0!</v>
      </c>
      <c r="R73" s="5" t="e">
        <f t="shared" si="25"/>
        <v>#DIV/0!</v>
      </c>
      <c r="S73" s="5" t="e">
        <f t="shared" si="26"/>
        <v>#DIV/0!</v>
      </c>
      <c r="T73" s="5" t="e">
        <f t="shared" si="27"/>
        <v>#DIV/0!</v>
      </c>
      <c r="U73" s="5" t="e">
        <f t="shared" si="28"/>
        <v>#DIV/0!</v>
      </c>
      <c r="V73" s="5" t="e">
        <f t="shared" si="29"/>
        <v>#DIV/0!</v>
      </c>
      <c r="W73" s="5" t="e">
        <f t="shared" si="30"/>
        <v>#DIV/0!</v>
      </c>
      <c r="X73" s="5" t="e">
        <f t="shared" si="31"/>
        <v>#DIV/0!</v>
      </c>
      <c r="Y73" s="5" t="e">
        <f t="shared" si="32"/>
        <v>#DIV/0!</v>
      </c>
      <c r="Z73" s="5" t="e">
        <f t="shared" si="33"/>
        <v>#DIV/0!</v>
      </c>
      <c r="AA73" s="5" t="e">
        <f t="shared" si="34"/>
        <v>#DIV/0!</v>
      </c>
      <c r="AB73" s="5" t="e">
        <f t="shared" si="35"/>
        <v>#DIV/0!</v>
      </c>
    </row>
    <row r="74" spans="1:28" x14ac:dyDescent="0.3">
      <c r="A74" t="s">
        <v>168</v>
      </c>
      <c r="B74" t="s">
        <v>256</v>
      </c>
      <c r="C74" t="s">
        <v>11</v>
      </c>
      <c r="D74" s="115"/>
      <c r="F74" s="115"/>
      <c r="H74" s="115"/>
      <c r="J74" s="115"/>
      <c r="L74" s="115"/>
      <c r="N74" s="115"/>
      <c r="P74" s="115"/>
      <c r="Q74" s="116" t="e">
        <f t="shared" si="24"/>
        <v>#DIV/0!</v>
      </c>
      <c r="R74" s="5" t="e">
        <f t="shared" si="25"/>
        <v>#DIV/0!</v>
      </c>
      <c r="S74" s="5" t="e">
        <f t="shared" si="26"/>
        <v>#DIV/0!</v>
      </c>
      <c r="T74" s="5" t="e">
        <f t="shared" si="27"/>
        <v>#DIV/0!</v>
      </c>
      <c r="U74" s="5" t="e">
        <f t="shared" si="28"/>
        <v>#DIV/0!</v>
      </c>
      <c r="V74" s="5" t="e">
        <f t="shared" si="29"/>
        <v>#DIV/0!</v>
      </c>
      <c r="W74" s="5" t="e">
        <f t="shared" si="30"/>
        <v>#DIV/0!</v>
      </c>
      <c r="X74" s="5" t="e">
        <f t="shared" si="31"/>
        <v>#DIV/0!</v>
      </c>
      <c r="Y74" s="5" t="e">
        <f t="shared" si="32"/>
        <v>#DIV/0!</v>
      </c>
      <c r="Z74" s="5" t="e">
        <f t="shared" si="33"/>
        <v>#DIV/0!</v>
      </c>
      <c r="AA74" s="5" t="e">
        <f t="shared" si="34"/>
        <v>#DIV/0!</v>
      </c>
      <c r="AB74" s="5" t="e">
        <f t="shared" si="35"/>
        <v>#DIV/0!</v>
      </c>
    </row>
    <row r="75" spans="1:28" x14ac:dyDescent="0.3">
      <c r="A75" t="s">
        <v>180</v>
      </c>
      <c r="B75" t="s">
        <v>256</v>
      </c>
      <c r="C75" t="s">
        <v>9</v>
      </c>
      <c r="D75" s="115">
        <v>1</v>
      </c>
      <c r="E75">
        <v>1</v>
      </c>
      <c r="F75" s="115">
        <v>1</v>
      </c>
      <c r="G75">
        <v>1</v>
      </c>
      <c r="H75" s="115">
        <v>1</v>
      </c>
      <c r="I75">
        <v>1</v>
      </c>
      <c r="J75" s="115">
        <v>1</v>
      </c>
      <c r="K75">
        <v>1</v>
      </c>
      <c r="L75" s="115">
        <v>1</v>
      </c>
      <c r="M75">
        <v>1</v>
      </c>
      <c r="N75" s="115">
        <v>1</v>
      </c>
      <c r="O75">
        <v>1</v>
      </c>
      <c r="P75" s="115">
        <v>1</v>
      </c>
      <c r="Q75" s="116">
        <f t="shared" si="24"/>
        <v>1</v>
      </c>
      <c r="R75" s="5">
        <f t="shared" si="25"/>
        <v>1</v>
      </c>
      <c r="S75" s="5">
        <f t="shared" si="26"/>
        <v>1</v>
      </c>
      <c r="T75" s="5">
        <f t="shared" si="27"/>
        <v>1</v>
      </c>
      <c r="U75" s="5">
        <f t="shared" si="28"/>
        <v>1</v>
      </c>
      <c r="V75" s="5">
        <f t="shared" si="29"/>
        <v>1</v>
      </c>
      <c r="W75" s="5">
        <f t="shared" si="30"/>
        <v>1</v>
      </c>
      <c r="X75" s="5">
        <f t="shared" si="31"/>
        <v>1</v>
      </c>
      <c r="Y75" s="5">
        <f t="shared" si="32"/>
        <v>1</v>
      </c>
      <c r="Z75" s="5">
        <f t="shared" si="33"/>
        <v>1</v>
      </c>
      <c r="AA75" s="5">
        <f t="shared" si="34"/>
        <v>1</v>
      </c>
      <c r="AB75" s="5">
        <f t="shared" si="35"/>
        <v>1</v>
      </c>
    </row>
    <row r="76" spans="1:28" x14ac:dyDescent="0.3">
      <c r="A76" t="s">
        <v>175</v>
      </c>
      <c r="B76" t="s">
        <v>256</v>
      </c>
      <c r="C76" t="s">
        <v>9</v>
      </c>
      <c r="D76" s="115">
        <v>4</v>
      </c>
      <c r="E76">
        <v>4</v>
      </c>
      <c r="F76" s="115">
        <v>4</v>
      </c>
      <c r="G76">
        <v>4</v>
      </c>
      <c r="H76" s="115">
        <v>4</v>
      </c>
      <c r="I76">
        <v>4</v>
      </c>
      <c r="J76" s="115"/>
      <c r="K76">
        <v>4</v>
      </c>
      <c r="L76" s="115">
        <v>4</v>
      </c>
      <c r="M76">
        <v>4</v>
      </c>
      <c r="N76" s="115">
        <v>4</v>
      </c>
      <c r="P76" s="115">
        <v>1</v>
      </c>
      <c r="Q76" s="116">
        <f t="shared" si="24"/>
        <v>1</v>
      </c>
      <c r="R76" s="5">
        <f t="shared" si="25"/>
        <v>1</v>
      </c>
      <c r="S76" s="5">
        <f t="shared" si="26"/>
        <v>1</v>
      </c>
      <c r="T76" s="5">
        <f t="shared" si="27"/>
        <v>1</v>
      </c>
      <c r="U76" s="5">
        <f t="shared" si="28"/>
        <v>1</v>
      </c>
      <c r="V76" s="5">
        <f t="shared" si="29"/>
        <v>0</v>
      </c>
      <c r="W76" s="5">
        <f t="shared" si="30"/>
        <v>1</v>
      </c>
      <c r="X76" s="5">
        <f t="shared" si="31"/>
        <v>1</v>
      </c>
      <c r="Y76" s="5">
        <f t="shared" si="32"/>
        <v>1</v>
      </c>
      <c r="Z76" s="5">
        <f t="shared" si="33"/>
        <v>1</v>
      </c>
      <c r="AA76" s="5">
        <f t="shared" si="34"/>
        <v>0</v>
      </c>
      <c r="AB76" s="5">
        <f t="shared" si="35"/>
        <v>0.25</v>
      </c>
    </row>
    <row r="77" spans="1:28" x14ac:dyDescent="0.3">
      <c r="A77" t="s">
        <v>140</v>
      </c>
      <c r="B77" t="s">
        <v>256</v>
      </c>
      <c r="C77" t="s">
        <v>9</v>
      </c>
      <c r="D77" s="115">
        <v>1</v>
      </c>
      <c r="E77">
        <v>1</v>
      </c>
      <c r="F77" s="115">
        <v>1</v>
      </c>
      <c r="G77">
        <v>1</v>
      </c>
      <c r="H77" s="115">
        <v>1</v>
      </c>
      <c r="I77">
        <v>1</v>
      </c>
      <c r="J77" s="115"/>
      <c r="K77">
        <v>1</v>
      </c>
      <c r="L77" s="115">
        <v>1</v>
      </c>
      <c r="M77">
        <v>1</v>
      </c>
      <c r="N77" s="115">
        <v>1</v>
      </c>
      <c r="P77" s="115">
        <v>1</v>
      </c>
      <c r="Q77" s="116">
        <f t="shared" si="24"/>
        <v>1</v>
      </c>
      <c r="R77" s="5">
        <f t="shared" si="25"/>
        <v>1</v>
      </c>
      <c r="S77" s="5">
        <f t="shared" si="26"/>
        <v>1</v>
      </c>
      <c r="T77" s="5">
        <f t="shared" si="27"/>
        <v>1</v>
      </c>
      <c r="U77" s="5">
        <f t="shared" si="28"/>
        <v>1</v>
      </c>
      <c r="V77" s="5">
        <f t="shared" si="29"/>
        <v>0</v>
      </c>
      <c r="W77" s="5">
        <f t="shared" si="30"/>
        <v>1</v>
      </c>
      <c r="X77" s="5">
        <f t="shared" si="31"/>
        <v>1</v>
      </c>
      <c r="Y77" s="5">
        <f t="shared" si="32"/>
        <v>1</v>
      </c>
      <c r="Z77" s="5">
        <f t="shared" si="33"/>
        <v>1</v>
      </c>
      <c r="AA77" s="5">
        <f t="shared" si="34"/>
        <v>0</v>
      </c>
      <c r="AB77" s="5">
        <f t="shared" si="35"/>
        <v>1</v>
      </c>
    </row>
    <row r="78" spans="1:28" x14ac:dyDescent="0.3">
      <c r="A78" t="s">
        <v>118</v>
      </c>
      <c r="B78" t="s">
        <v>256</v>
      </c>
      <c r="C78" t="s">
        <v>9</v>
      </c>
      <c r="D78" s="115">
        <v>2</v>
      </c>
      <c r="F78" s="115"/>
      <c r="G78">
        <v>2</v>
      </c>
      <c r="H78" s="115">
        <v>2</v>
      </c>
      <c r="I78">
        <v>2</v>
      </c>
      <c r="J78" s="115"/>
      <c r="K78">
        <v>2</v>
      </c>
      <c r="L78" s="115">
        <v>2</v>
      </c>
      <c r="M78">
        <v>2</v>
      </c>
      <c r="N78" s="115">
        <v>2</v>
      </c>
      <c r="P78" s="115">
        <v>2</v>
      </c>
      <c r="Q78" s="116">
        <f t="shared" si="24"/>
        <v>0</v>
      </c>
      <c r="R78" s="5">
        <f t="shared" si="25"/>
        <v>0</v>
      </c>
      <c r="S78" s="5">
        <f t="shared" si="26"/>
        <v>1</v>
      </c>
      <c r="T78" s="5">
        <f t="shared" si="27"/>
        <v>1</v>
      </c>
      <c r="U78" s="5">
        <f t="shared" si="28"/>
        <v>1</v>
      </c>
      <c r="V78" s="5">
        <f t="shared" si="29"/>
        <v>0</v>
      </c>
      <c r="W78" s="5">
        <f t="shared" si="30"/>
        <v>1</v>
      </c>
      <c r="X78" s="5">
        <f t="shared" si="31"/>
        <v>1</v>
      </c>
      <c r="Y78" s="5">
        <f t="shared" si="32"/>
        <v>1</v>
      </c>
      <c r="Z78" s="5">
        <f t="shared" si="33"/>
        <v>1</v>
      </c>
      <c r="AA78" s="5">
        <f t="shared" si="34"/>
        <v>0</v>
      </c>
      <c r="AB78" s="5">
        <f t="shared" si="35"/>
        <v>1</v>
      </c>
    </row>
    <row r="79" spans="1:28" x14ac:dyDescent="0.3">
      <c r="A79" t="s">
        <v>177</v>
      </c>
      <c r="B79" t="s">
        <v>256</v>
      </c>
      <c r="C79" t="s">
        <v>9</v>
      </c>
      <c r="D79" s="115">
        <v>1</v>
      </c>
      <c r="E79">
        <v>1</v>
      </c>
      <c r="F79" s="115"/>
      <c r="G79">
        <v>1</v>
      </c>
      <c r="H79" s="115">
        <v>1</v>
      </c>
      <c r="I79">
        <v>1</v>
      </c>
      <c r="J79" s="115"/>
      <c r="K79">
        <v>1</v>
      </c>
      <c r="L79" s="115">
        <v>1</v>
      </c>
      <c r="M79">
        <v>1</v>
      </c>
      <c r="N79" s="115">
        <v>1</v>
      </c>
      <c r="P79" s="115">
        <v>1</v>
      </c>
      <c r="Q79" s="116">
        <f t="shared" si="24"/>
        <v>1</v>
      </c>
      <c r="R79" s="5">
        <f t="shared" si="25"/>
        <v>0</v>
      </c>
      <c r="S79" s="5">
        <f t="shared" si="26"/>
        <v>1</v>
      </c>
      <c r="T79" s="5">
        <f t="shared" si="27"/>
        <v>1</v>
      </c>
      <c r="U79" s="5">
        <f t="shared" si="28"/>
        <v>1</v>
      </c>
      <c r="V79" s="5">
        <f t="shared" si="29"/>
        <v>0</v>
      </c>
      <c r="W79" s="5">
        <f t="shared" si="30"/>
        <v>1</v>
      </c>
      <c r="X79" s="5">
        <f t="shared" si="31"/>
        <v>1</v>
      </c>
      <c r="Y79" s="5">
        <f t="shared" si="32"/>
        <v>1</v>
      </c>
      <c r="Z79" s="5">
        <f t="shared" si="33"/>
        <v>1</v>
      </c>
      <c r="AA79" s="5">
        <f t="shared" si="34"/>
        <v>0</v>
      </c>
      <c r="AB79" s="5">
        <f t="shared" si="35"/>
        <v>1</v>
      </c>
    </row>
    <row r="80" spans="1:28" x14ac:dyDescent="0.3">
      <c r="A80" t="s">
        <v>123</v>
      </c>
      <c r="B80" t="s">
        <v>256</v>
      </c>
      <c r="C80" t="s">
        <v>9</v>
      </c>
      <c r="D80" s="115">
        <v>1</v>
      </c>
      <c r="E80">
        <v>1</v>
      </c>
      <c r="F80" s="115"/>
      <c r="G80">
        <v>1</v>
      </c>
      <c r="H80" s="115">
        <v>1</v>
      </c>
      <c r="I80">
        <v>1</v>
      </c>
      <c r="J80" s="115"/>
      <c r="K80">
        <v>1</v>
      </c>
      <c r="L80" s="115">
        <v>1</v>
      </c>
      <c r="M80">
        <v>1</v>
      </c>
      <c r="N80" s="115"/>
      <c r="P80" s="115">
        <v>1</v>
      </c>
      <c r="Q80" s="116">
        <f t="shared" si="24"/>
        <v>1</v>
      </c>
      <c r="R80" s="5">
        <f t="shared" si="25"/>
        <v>0</v>
      </c>
      <c r="S80" s="5">
        <f t="shared" si="26"/>
        <v>1</v>
      </c>
      <c r="T80" s="5">
        <f t="shared" si="27"/>
        <v>1</v>
      </c>
      <c r="U80" s="5">
        <f t="shared" si="28"/>
        <v>1</v>
      </c>
      <c r="V80" s="5">
        <f t="shared" si="29"/>
        <v>0</v>
      </c>
      <c r="W80" s="5">
        <f t="shared" si="30"/>
        <v>1</v>
      </c>
      <c r="X80" s="5">
        <f t="shared" si="31"/>
        <v>1</v>
      </c>
      <c r="Y80" s="5">
        <f t="shared" si="32"/>
        <v>1</v>
      </c>
      <c r="Z80" s="5">
        <f t="shared" si="33"/>
        <v>0</v>
      </c>
      <c r="AA80" s="5">
        <f t="shared" si="34"/>
        <v>0</v>
      </c>
      <c r="AB80" s="5">
        <f t="shared" si="35"/>
        <v>1</v>
      </c>
    </row>
    <row r="81" spans="1:28" x14ac:dyDescent="0.3">
      <c r="A81" t="s">
        <v>105</v>
      </c>
      <c r="B81" t="s">
        <v>256</v>
      </c>
      <c r="C81" t="s">
        <v>9</v>
      </c>
      <c r="D81" s="115">
        <v>11</v>
      </c>
      <c r="E81">
        <v>11</v>
      </c>
      <c r="F81" s="115">
        <v>11</v>
      </c>
      <c r="G81">
        <v>11</v>
      </c>
      <c r="H81" s="115">
        <v>11</v>
      </c>
      <c r="I81">
        <v>11</v>
      </c>
      <c r="J81" s="115">
        <v>11</v>
      </c>
      <c r="K81">
        <v>11</v>
      </c>
      <c r="L81" s="115">
        <v>11</v>
      </c>
      <c r="M81">
        <v>11</v>
      </c>
      <c r="N81" s="115">
        <v>11</v>
      </c>
      <c r="O81">
        <v>11</v>
      </c>
      <c r="P81" s="115">
        <v>11</v>
      </c>
      <c r="Q81" s="116">
        <f t="shared" si="24"/>
        <v>1</v>
      </c>
      <c r="R81" s="5">
        <f t="shared" si="25"/>
        <v>1</v>
      </c>
      <c r="S81" s="5">
        <f t="shared" si="26"/>
        <v>1</v>
      </c>
      <c r="T81" s="5">
        <f t="shared" si="27"/>
        <v>1</v>
      </c>
      <c r="U81" s="5">
        <f t="shared" si="28"/>
        <v>1</v>
      </c>
      <c r="V81" s="5">
        <f t="shared" si="29"/>
        <v>1</v>
      </c>
      <c r="W81" s="5">
        <f t="shared" si="30"/>
        <v>1</v>
      </c>
      <c r="X81" s="5">
        <f t="shared" si="31"/>
        <v>1</v>
      </c>
      <c r="Y81" s="5">
        <f t="shared" si="32"/>
        <v>1</v>
      </c>
      <c r="Z81" s="5">
        <f t="shared" si="33"/>
        <v>1</v>
      </c>
      <c r="AA81" s="5">
        <f t="shared" si="34"/>
        <v>1</v>
      </c>
      <c r="AB81" s="5">
        <f t="shared" si="35"/>
        <v>1</v>
      </c>
    </row>
    <row r="82" spans="1:28" x14ac:dyDescent="0.3">
      <c r="A82" t="s">
        <v>126</v>
      </c>
      <c r="B82" t="s">
        <v>256</v>
      </c>
      <c r="C82" t="s">
        <v>9</v>
      </c>
      <c r="D82" s="115">
        <v>8</v>
      </c>
      <c r="E82">
        <v>8</v>
      </c>
      <c r="F82" s="115">
        <v>8</v>
      </c>
      <c r="G82">
        <v>8</v>
      </c>
      <c r="H82" s="115">
        <v>8</v>
      </c>
      <c r="I82">
        <v>8</v>
      </c>
      <c r="J82" s="115">
        <v>8</v>
      </c>
      <c r="K82">
        <v>8</v>
      </c>
      <c r="L82" s="115">
        <v>8</v>
      </c>
      <c r="M82">
        <v>8</v>
      </c>
      <c r="N82" s="115">
        <v>8</v>
      </c>
      <c r="O82">
        <v>8</v>
      </c>
      <c r="P82" s="115">
        <v>8</v>
      </c>
      <c r="Q82" s="116">
        <f t="shared" si="24"/>
        <v>1</v>
      </c>
      <c r="R82" s="5">
        <f t="shared" si="25"/>
        <v>1</v>
      </c>
      <c r="S82" s="5">
        <f t="shared" si="26"/>
        <v>1</v>
      </c>
      <c r="T82" s="5">
        <f t="shared" si="27"/>
        <v>1</v>
      </c>
      <c r="U82" s="5">
        <f t="shared" si="28"/>
        <v>1</v>
      </c>
      <c r="V82" s="5">
        <f t="shared" si="29"/>
        <v>1</v>
      </c>
      <c r="W82" s="5">
        <f t="shared" si="30"/>
        <v>1</v>
      </c>
      <c r="X82" s="5">
        <f t="shared" si="31"/>
        <v>1</v>
      </c>
      <c r="Y82" s="5">
        <f t="shared" si="32"/>
        <v>1</v>
      </c>
      <c r="Z82" s="5">
        <f t="shared" si="33"/>
        <v>1</v>
      </c>
      <c r="AA82" s="5">
        <f t="shared" si="34"/>
        <v>1</v>
      </c>
      <c r="AB82" s="5">
        <f t="shared" si="35"/>
        <v>1</v>
      </c>
    </row>
    <row r="83" spans="1:28" x14ac:dyDescent="0.3">
      <c r="A83" t="s">
        <v>115</v>
      </c>
      <c r="B83" t="s">
        <v>2364</v>
      </c>
      <c r="C83" t="s">
        <v>11</v>
      </c>
      <c r="D83" s="115"/>
      <c r="F83" s="115"/>
      <c r="H83" s="115"/>
      <c r="J83" s="115"/>
      <c r="L83" s="115"/>
      <c r="N83" s="115"/>
      <c r="P83" s="115"/>
      <c r="Q83" s="116" t="e">
        <f t="shared" si="24"/>
        <v>#DIV/0!</v>
      </c>
      <c r="R83" s="5" t="e">
        <f t="shared" si="25"/>
        <v>#DIV/0!</v>
      </c>
      <c r="S83" s="5" t="e">
        <f t="shared" si="26"/>
        <v>#DIV/0!</v>
      </c>
      <c r="T83" s="5" t="e">
        <f t="shared" si="27"/>
        <v>#DIV/0!</v>
      </c>
      <c r="U83" s="5" t="e">
        <f t="shared" si="28"/>
        <v>#DIV/0!</v>
      </c>
      <c r="V83" s="5" t="e">
        <f t="shared" si="29"/>
        <v>#DIV/0!</v>
      </c>
      <c r="W83" s="5" t="e">
        <f t="shared" si="30"/>
        <v>#DIV/0!</v>
      </c>
      <c r="X83" s="5" t="e">
        <f t="shared" si="31"/>
        <v>#DIV/0!</v>
      </c>
      <c r="Y83" s="5" t="e">
        <f t="shared" si="32"/>
        <v>#DIV/0!</v>
      </c>
      <c r="Z83" s="5" t="e">
        <f t="shared" si="33"/>
        <v>#DIV/0!</v>
      </c>
      <c r="AA83" s="5" t="e">
        <f t="shared" si="34"/>
        <v>#DIV/0!</v>
      </c>
      <c r="AB83" s="5" t="e">
        <f t="shared" si="35"/>
        <v>#DIV/0!</v>
      </c>
    </row>
    <row r="84" spans="1:28" x14ac:dyDescent="0.3">
      <c r="A84" t="s">
        <v>137</v>
      </c>
      <c r="B84" t="s">
        <v>256</v>
      </c>
      <c r="C84" t="s">
        <v>9</v>
      </c>
      <c r="D84" s="115">
        <v>5</v>
      </c>
      <c r="E84">
        <v>5</v>
      </c>
      <c r="F84" s="115">
        <v>5</v>
      </c>
      <c r="G84">
        <v>5</v>
      </c>
      <c r="H84" s="115">
        <v>5</v>
      </c>
      <c r="I84">
        <v>5</v>
      </c>
      <c r="J84" s="115">
        <v>5</v>
      </c>
      <c r="K84">
        <v>5</v>
      </c>
      <c r="L84" s="115">
        <v>5</v>
      </c>
      <c r="M84">
        <v>5</v>
      </c>
      <c r="N84" s="115">
        <v>5</v>
      </c>
      <c r="O84">
        <v>5</v>
      </c>
      <c r="P84" s="115">
        <v>5</v>
      </c>
      <c r="Q84" s="116">
        <f t="shared" si="24"/>
        <v>1</v>
      </c>
      <c r="R84" s="5">
        <f t="shared" si="25"/>
        <v>1</v>
      </c>
      <c r="S84" s="5">
        <f t="shared" si="26"/>
        <v>1</v>
      </c>
      <c r="T84" s="5">
        <f t="shared" si="27"/>
        <v>1</v>
      </c>
      <c r="U84" s="5">
        <f t="shared" si="28"/>
        <v>1</v>
      </c>
      <c r="V84" s="5">
        <f t="shared" si="29"/>
        <v>1</v>
      </c>
      <c r="W84" s="5">
        <f t="shared" si="30"/>
        <v>1</v>
      </c>
      <c r="X84" s="5">
        <f t="shared" si="31"/>
        <v>1</v>
      </c>
      <c r="Y84" s="5">
        <f t="shared" si="32"/>
        <v>1</v>
      </c>
      <c r="Z84" s="5">
        <f t="shared" si="33"/>
        <v>1</v>
      </c>
      <c r="AA84" s="5">
        <f t="shared" si="34"/>
        <v>1</v>
      </c>
      <c r="AB84" s="5">
        <f t="shared" si="35"/>
        <v>1</v>
      </c>
    </row>
    <row r="85" spans="1:28" x14ac:dyDescent="0.3">
      <c r="A85" t="s">
        <v>165</v>
      </c>
      <c r="B85" t="s">
        <v>256</v>
      </c>
      <c r="C85" t="s">
        <v>9</v>
      </c>
      <c r="D85" s="115">
        <v>5</v>
      </c>
      <c r="E85">
        <v>5</v>
      </c>
      <c r="F85" s="115">
        <v>5</v>
      </c>
      <c r="G85">
        <v>5</v>
      </c>
      <c r="H85" s="115">
        <v>5</v>
      </c>
      <c r="I85">
        <v>5</v>
      </c>
      <c r="J85" s="115">
        <v>5</v>
      </c>
      <c r="K85">
        <v>5</v>
      </c>
      <c r="L85" s="115">
        <v>5</v>
      </c>
      <c r="M85">
        <v>5</v>
      </c>
      <c r="N85" s="115">
        <v>5</v>
      </c>
      <c r="O85">
        <v>5</v>
      </c>
      <c r="P85" s="115">
        <v>5</v>
      </c>
      <c r="Q85" s="116">
        <f t="shared" si="24"/>
        <v>1</v>
      </c>
      <c r="R85" s="5">
        <f t="shared" si="25"/>
        <v>1</v>
      </c>
      <c r="S85" s="5">
        <f t="shared" si="26"/>
        <v>1</v>
      </c>
      <c r="T85" s="5">
        <f t="shared" si="27"/>
        <v>1</v>
      </c>
      <c r="U85" s="5">
        <f t="shared" si="28"/>
        <v>1</v>
      </c>
      <c r="V85" s="5">
        <f t="shared" si="29"/>
        <v>1</v>
      </c>
      <c r="W85" s="5">
        <f t="shared" si="30"/>
        <v>1</v>
      </c>
      <c r="X85" s="5">
        <f t="shared" si="31"/>
        <v>1</v>
      </c>
      <c r="Y85" s="5">
        <f t="shared" si="32"/>
        <v>1</v>
      </c>
      <c r="Z85" s="5">
        <f t="shared" si="33"/>
        <v>1</v>
      </c>
      <c r="AA85" s="5">
        <f t="shared" si="34"/>
        <v>1</v>
      </c>
      <c r="AB85" s="5">
        <f t="shared" si="35"/>
        <v>1</v>
      </c>
    </row>
    <row r="86" spans="1:28" x14ac:dyDescent="0.3">
      <c r="A86" t="s">
        <v>149</v>
      </c>
      <c r="B86" t="s">
        <v>256</v>
      </c>
      <c r="C86" t="s">
        <v>11</v>
      </c>
      <c r="D86" s="115"/>
      <c r="F86" s="115"/>
      <c r="H86" s="115"/>
      <c r="J86" s="115"/>
      <c r="L86" s="115"/>
      <c r="N86" s="115"/>
      <c r="P86" s="115"/>
      <c r="Q86" s="116" t="e">
        <f t="shared" si="24"/>
        <v>#DIV/0!</v>
      </c>
      <c r="R86" s="5" t="e">
        <f t="shared" si="25"/>
        <v>#DIV/0!</v>
      </c>
      <c r="S86" s="5" t="e">
        <f t="shared" si="26"/>
        <v>#DIV/0!</v>
      </c>
      <c r="T86" s="5" t="e">
        <f t="shared" si="27"/>
        <v>#DIV/0!</v>
      </c>
      <c r="U86" s="5" t="e">
        <f t="shared" si="28"/>
        <v>#DIV/0!</v>
      </c>
      <c r="V86" s="5" t="e">
        <f t="shared" si="29"/>
        <v>#DIV/0!</v>
      </c>
      <c r="W86" s="5" t="e">
        <f t="shared" si="30"/>
        <v>#DIV/0!</v>
      </c>
      <c r="X86" s="5" t="e">
        <f t="shared" si="31"/>
        <v>#DIV/0!</v>
      </c>
      <c r="Y86" s="5" t="e">
        <f t="shared" si="32"/>
        <v>#DIV/0!</v>
      </c>
      <c r="Z86" s="5" t="e">
        <f t="shared" si="33"/>
        <v>#DIV/0!</v>
      </c>
      <c r="AA86" s="5" t="e">
        <f t="shared" si="34"/>
        <v>#DIV/0!</v>
      </c>
      <c r="AB86" s="5" t="e">
        <f t="shared" si="35"/>
        <v>#DIV/0!</v>
      </c>
    </row>
    <row r="87" spans="1:28" x14ac:dyDescent="0.3">
      <c r="A87" t="s">
        <v>157</v>
      </c>
      <c r="B87" t="s">
        <v>256</v>
      </c>
      <c r="C87" t="s">
        <v>11</v>
      </c>
      <c r="D87" s="115"/>
      <c r="F87" s="115"/>
      <c r="H87" s="115"/>
      <c r="J87" s="115"/>
      <c r="L87" s="115"/>
      <c r="N87" s="115"/>
      <c r="P87" s="115"/>
      <c r="Q87" s="116" t="e">
        <f t="shared" si="24"/>
        <v>#DIV/0!</v>
      </c>
      <c r="R87" s="5" t="e">
        <f t="shared" si="25"/>
        <v>#DIV/0!</v>
      </c>
      <c r="S87" s="5" t="e">
        <f t="shared" si="26"/>
        <v>#DIV/0!</v>
      </c>
      <c r="T87" s="5" t="e">
        <f t="shared" si="27"/>
        <v>#DIV/0!</v>
      </c>
      <c r="U87" s="5" t="e">
        <f t="shared" si="28"/>
        <v>#DIV/0!</v>
      </c>
      <c r="V87" s="5" t="e">
        <f t="shared" si="29"/>
        <v>#DIV/0!</v>
      </c>
      <c r="W87" s="5" t="e">
        <f t="shared" si="30"/>
        <v>#DIV/0!</v>
      </c>
      <c r="X87" s="5" t="e">
        <f t="shared" si="31"/>
        <v>#DIV/0!</v>
      </c>
      <c r="Y87" s="5" t="e">
        <f t="shared" si="32"/>
        <v>#DIV/0!</v>
      </c>
      <c r="Z87" s="5" t="e">
        <f t="shared" si="33"/>
        <v>#DIV/0!</v>
      </c>
      <c r="AA87" s="5" t="e">
        <f t="shared" si="34"/>
        <v>#DIV/0!</v>
      </c>
      <c r="AB87" s="5" t="e">
        <f t="shared" si="35"/>
        <v>#DIV/0!</v>
      </c>
    </row>
    <row r="88" spans="1:28" x14ac:dyDescent="0.3">
      <c r="A88" t="s">
        <v>112</v>
      </c>
      <c r="B88" t="s">
        <v>256</v>
      </c>
      <c r="C88" t="s">
        <v>9</v>
      </c>
      <c r="D88">
        <v>12</v>
      </c>
      <c r="E88">
        <v>12</v>
      </c>
      <c r="F88">
        <v>12</v>
      </c>
      <c r="G88">
        <v>12</v>
      </c>
      <c r="H88">
        <v>12</v>
      </c>
      <c r="I88">
        <v>12</v>
      </c>
      <c r="J88">
        <v>12</v>
      </c>
      <c r="K88">
        <v>12</v>
      </c>
      <c r="L88">
        <v>12</v>
      </c>
      <c r="M88">
        <v>12</v>
      </c>
      <c r="N88">
        <v>12</v>
      </c>
      <c r="O88">
        <v>12</v>
      </c>
      <c r="P88">
        <v>12</v>
      </c>
      <c r="Q88" s="116">
        <f t="shared" si="24"/>
        <v>1</v>
      </c>
      <c r="R88" s="5">
        <f t="shared" si="25"/>
        <v>1</v>
      </c>
      <c r="S88" s="5">
        <f t="shared" si="26"/>
        <v>1</v>
      </c>
      <c r="T88" s="5">
        <f t="shared" si="27"/>
        <v>1</v>
      </c>
      <c r="U88" s="5">
        <f t="shared" si="28"/>
        <v>1</v>
      </c>
      <c r="V88" s="5">
        <f t="shared" si="29"/>
        <v>1</v>
      </c>
      <c r="W88" s="5">
        <f t="shared" si="30"/>
        <v>1</v>
      </c>
      <c r="X88" s="5">
        <f t="shared" si="31"/>
        <v>1</v>
      </c>
      <c r="Y88" s="5">
        <f t="shared" si="32"/>
        <v>1</v>
      </c>
      <c r="Z88" s="5">
        <f t="shared" si="33"/>
        <v>1</v>
      </c>
      <c r="AA88" s="5">
        <f t="shared" si="34"/>
        <v>1</v>
      </c>
      <c r="AB88" s="5">
        <f t="shared" si="35"/>
        <v>1</v>
      </c>
    </row>
    <row r="89" spans="1:28" x14ac:dyDescent="0.3">
      <c r="A89" t="s">
        <v>174</v>
      </c>
      <c r="B89" t="s">
        <v>256</v>
      </c>
      <c r="C89" t="s">
        <v>9</v>
      </c>
      <c r="D89">
        <v>6</v>
      </c>
      <c r="E89">
        <v>6</v>
      </c>
      <c r="F89">
        <v>6</v>
      </c>
      <c r="G89">
        <v>6</v>
      </c>
      <c r="H89">
        <v>6</v>
      </c>
      <c r="I89">
        <v>6</v>
      </c>
      <c r="J89">
        <v>6</v>
      </c>
      <c r="K89">
        <v>6</v>
      </c>
      <c r="L89">
        <v>6</v>
      </c>
      <c r="M89">
        <v>6</v>
      </c>
      <c r="N89">
        <v>6</v>
      </c>
      <c r="O89">
        <v>6</v>
      </c>
      <c r="P89">
        <v>6</v>
      </c>
      <c r="Q89" s="116">
        <f t="shared" si="24"/>
        <v>1</v>
      </c>
      <c r="R89" s="5">
        <f t="shared" si="25"/>
        <v>1</v>
      </c>
      <c r="S89" s="5">
        <f t="shared" si="26"/>
        <v>1</v>
      </c>
      <c r="T89" s="5">
        <f t="shared" si="27"/>
        <v>1</v>
      </c>
      <c r="U89" s="5">
        <f t="shared" si="28"/>
        <v>1</v>
      </c>
      <c r="V89" s="5">
        <f t="shared" si="29"/>
        <v>1</v>
      </c>
      <c r="W89" s="5">
        <f t="shared" si="30"/>
        <v>1</v>
      </c>
      <c r="X89" s="5">
        <f t="shared" si="31"/>
        <v>1</v>
      </c>
      <c r="Y89" s="5">
        <f t="shared" si="32"/>
        <v>1</v>
      </c>
      <c r="Z89" s="5">
        <f t="shared" si="33"/>
        <v>1</v>
      </c>
      <c r="AA89" s="5">
        <f t="shared" si="34"/>
        <v>1</v>
      </c>
      <c r="AB89" s="5">
        <f t="shared" si="35"/>
        <v>1</v>
      </c>
    </row>
    <row r="90" spans="1:28" x14ac:dyDescent="0.3">
      <c r="A90" t="s">
        <v>178</v>
      </c>
      <c r="B90" t="s">
        <v>256</v>
      </c>
      <c r="C90" t="s">
        <v>9</v>
      </c>
      <c r="D90">
        <v>10</v>
      </c>
      <c r="E90">
        <v>10</v>
      </c>
      <c r="F90">
        <v>10</v>
      </c>
      <c r="G90">
        <v>10</v>
      </c>
      <c r="H90">
        <v>10</v>
      </c>
      <c r="I90">
        <v>10</v>
      </c>
      <c r="J90">
        <v>10</v>
      </c>
      <c r="K90">
        <v>10</v>
      </c>
      <c r="L90">
        <v>10</v>
      </c>
      <c r="M90">
        <v>10</v>
      </c>
      <c r="N90">
        <v>10</v>
      </c>
      <c r="O90">
        <v>10</v>
      </c>
      <c r="P90">
        <v>10</v>
      </c>
      <c r="Q90" s="116">
        <f t="shared" si="24"/>
        <v>1</v>
      </c>
      <c r="R90" s="5">
        <f t="shared" si="25"/>
        <v>1</v>
      </c>
      <c r="S90" s="5">
        <f t="shared" si="26"/>
        <v>1</v>
      </c>
      <c r="T90" s="5">
        <f t="shared" si="27"/>
        <v>1</v>
      </c>
      <c r="U90" s="5">
        <f t="shared" si="28"/>
        <v>1</v>
      </c>
      <c r="V90" s="5">
        <f t="shared" si="29"/>
        <v>1</v>
      </c>
      <c r="W90" s="5">
        <f t="shared" si="30"/>
        <v>1</v>
      </c>
      <c r="X90" s="5">
        <f t="shared" si="31"/>
        <v>1</v>
      </c>
      <c r="Y90" s="5">
        <f t="shared" si="32"/>
        <v>1</v>
      </c>
      <c r="Z90" s="5">
        <f t="shared" si="33"/>
        <v>1</v>
      </c>
      <c r="AA90" s="5">
        <f t="shared" si="34"/>
        <v>1</v>
      </c>
      <c r="AB90" s="5">
        <f t="shared" si="35"/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91AFB-06AF-4B2B-88D5-C6442733563A}">
  <dimension ref="C1:Z29"/>
  <sheetViews>
    <sheetView topLeftCell="F3" zoomScale="70" zoomScaleNormal="70" workbookViewId="0">
      <selection activeCell="O3" sqref="O3"/>
    </sheetView>
  </sheetViews>
  <sheetFormatPr defaultRowHeight="15" customHeight="1" x14ac:dyDescent="0.3"/>
  <cols>
    <col min="1" max="1" width="1.88671875" customWidth="1"/>
    <col min="2" max="2" width="1.6640625" customWidth="1"/>
    <col min="3" max="3" width="21.33203125" bestFit="1" customWidth="1"/>
    <col min="4" max="4" width="13.88671875" customWidth="1"/>
    <col min="5" max="5" width="83.33203125" customWidth="1"/>
    <col min="6" max="6" width="19.44140625" bestFit="1" customWidth="1"/>
    <col min="7" max="7" width="16.5546875" style="24" customWidth="1"/>
    <col min="8" max="13" width="9.6640625" style="24" customWidth="1"/>
    <col min="14" max="14" width="10.88671875" style="24" customWidth="1"/>
    <col min="15" max="17" width="9.6640625" style="24" customWidth="1"/>
    <col min="18" max="18" width="10.33203125" style="24" customWidth="1"/>
    <col min="19" max="21" width="9.6640625" style="24" customWidth="1"/>
    <col min="22" max="22" width="115.88671875" customWidth="1"/>
    <col min="23" max="23" width="85.33203125" customWidth="1"/>
    <col min="24" max="24" width="129.33203125" customWidth="1"/>
    <col min="25" max="25" width="45.109375" bestFit="1" customWidth="1"/>
    <col min="26" max="26" width="18.33203125" customWidth="1"/>
  </cols>
  <sheetData>
    <row r="1" spans="3:26" ht="14.4" hidden="1" x14ac:dyDescent="0.3">
      <c r="D1" s="4" t="s">
        <v>33</v>
      </c>
      <c r="E1" s="4" t="s">
        <v>34</v>
      </c>
      <c r="F1" s="4" t="s">
        <v>35</v>
      </c>
    </row>
    <row r="2" spans="3:26" ht="14.4" hidden="1" x14ac:dyDescent="0.3">
      <c r="E2" s="4" t="s">
        <v>36</v>
      </c>
      <c r="F2" s="4" t="s">
        <v>37</v>
      </c>
      <c r="G2" s="26" t="s">
        <v>38</v>
      </c>
    </row>
    <row r="3" spans="3:26" ht="14.4" x14ac:dyDescent="0.3">
      <c r="N3" s="26" t="s">
        <v>39</v>
      </c>
      <c r="R3" s="26" t="s">
        <v>39</v>
      </c>
    </row>
    <row r="4" spans="3:26" thickBot="1" x14ac:dyDescent="0.35">
      <c r="C4">
        <f>COUNTA(Table3[Customer])</f>
        <v>23</v>
      </c>
      <c r="F4">
        <f>COUNTIF(Table3[Recognised doc type],"PO confirmation")</f>
        <v>23</v>
      </c>
      <c r="G4" s="24">
        <f>SUM(Table3['# Missing fields])</f>
        <v>112</v>
      </c>
      <c r="H4" s="25">
        <f>AVERAGE(Table3[Supplier order nr])</f>
        <v>1</v>
      </c>
      <c r="I4" s="25">
        <f>AVERAGE(Table3[PO nr])</f>
        <v>0.97826086956521741</v>
      </c>
      <c r="J4" s="25">
        <f>AVERAGE(Table3[Order Date])</f>
        <v>1</v>
      </c>
      <c r="K4" s="25">
        <f>AVERAGE(Table3[Supplier Name])</f>
        <v>1</v>
      </c>
      <c r="L4" s="25">
        <f>AVERAGE(Table3[Customer name])</f>
        <v>1</v>
      </c>
      <c r="M4" s="25">
        <f>AVERAGE(Table3[Currency])</f>
        <v>0.95652173913043481</v>
      </c>
      <c r="N4" s="25">
        <f>AVERAGE(Table3[Line nr])</f>
        <v>0.95652173913043481</v>
      </c>
      <c r="O4" s="25">
        <f>AVERAGE(Table3[Part Nr])</f>
        <v>0.95652173913043481</v>
      </c>
      <c r="P4" s="25">
        <f>AVERAGE(Table3[Description])</f>
        <v>0.95652173913043481</v>
      </c>
      <c r="Q4" s="25">
        <f>AVERAGE(Table3[Quantity])</f>
        <v>0.95652173913043481</v>
      </c>
      <c r="R4" s="25">
        <f>AVERAGE(Table3[UoM])</f>
        <v>0.91304347826086951</v>
      </c>
      <c r="S4" s="25">
        <f>AVERAGE(Table3[Unit Price])</f>
        <v>0.86956521739130432</v>
      </c>
      <c r="T4" s="25">
        <f>AVERAGE(Table3[Delivery Date])</f>
        <v>0.82173913043478253</v>
      </c>
      <c r="U4" s="25">
        <f>AVERAGE(H4:T4)</f>
        <v>0.95117056856187276</v>
      </c>
    </row>
    <row r="5" spans="3:26" thickBot="1" x14ac:dyDescent="0.35">
      <c r="C5" s="6"/>
      <c r="D5" s="7"/>
      <c r="E5" s="7"/>
      <c r="F5" s="7"/>
      <c r="G5" s="27"/>
      <c r="H5" s="145" t="s">
        <v>40</v>
      </c>
      <c r="I5" s="146"/>
      <c r="J5" s="146"/>
      <c r="K5" s="146"/>
      <c r="L5" s="146"/>
      <c r="M5" s="146"/>
      <c r="N5" s="145" t="s">
        <v>41</v>
      </c>
      <c r="O5" s="146"/>
      <c r="P5" s="146"/>
      <c r="Q5" s="146"/>
      <c r="R5" s="146"/>
      <c r="S5" s="146"/>
      <c r="T5" s="147"/>
      <c r="U5" s="93"/>
      <c r="V5" s="19"/>
      <c r="W5" s="18"/>
      <c r="X5" s="18"/>
      <c r="Y5" s="18"/>
      <c r="Z5" s="18"/>
    </row>
    <row r="6" spans="3:26" ht="29.4" thickBot="1" x14ac:dyDescent="0.35">
      <c r="C6" s="33" t="s">
        <v>42</v>
      </c>
      <c r="D6" s="34" t="s">
        <v>43</v>
      </c>
      <c r="E6" s="34" t="s">
        <v>0</v>
      </c>
      <c r="F6" s="35" t="s">
        <v>44</v>
      </c>
      <c r="G6" s="36" t="s">
        <v>45</v>
      </c>
      <c r="H6" s="15" t="s">
        <v>46</v>
      </c>
      <c r="I6" s="16" t="s">
        <v>47</v>
      </c>
      <c r="J6" s="16" t="s">
        <v>48</v>
      </c>
      <c r="K6" s="16" t="s">
        <v>49</v>
      </c>
      <c r="L6" s="16" t="s">
        <v>50</v>
      </c>
      <c r="M6" s="17" t="s">
        <v>51</v>
      </c>
      <c r="N6" s="15" t="s">
        <v>52</v>
      </c>
      <c r="O6" s="16" t="s">
        <v>53</v>
      </c>
      <c r="P6" s="16" t="s">
        <v>54</v>
      </c>
      <c r="Q6" s="16" t="s">
        <v>55</v>
      </c>
      <c r="R6" s="16" t="s">
        <v>56</v>
      </c>
      <c r="S6" s="16" t="s">
        <v>57</v>
      </c>
      <c r="T6" s="17" t="s">
        <v>58</v>
      </c>
      <c r="U6" s="113" t="s">
        <v>2336</v>
      </c>
      <c r="V6" s="18" t="s">
        <v>59</v>
      </c>
      <c r="W6" s="18" t="s">
        <v>60</v>
      </c>
      <c r="X6" s="42" t="s">
        <v>61</v>
      </c>
      <c r="Y6" s="42" t="s">
        <v>61</v>
      </c>
      <c r="Z6" s="42" t="s">
        <v>102</v>
      </c>
    </row>
    <row r="7" spans="3:26" ht="14.4" x14ac:dyDescent="0.3">
      <c r="C7" s="28" t="str">
        <f>TRIM(_xlfn.TEXTBEFORE(Table3[[#This Row],[File Name]], "-", 1))</f>
        <v>G3 Medical</v>
      </c>
      <c r="D7" s="29" t="s">
        <v>62</v>
      </c>
      <c r="E7" s="29" t="s">
        <v>12</v>
      </c>
      <c r="F7" s="29" t="s">
        <v>63</v>
      </c>
      <c r="G7" s="37">
        <v>0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8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f>AVERAGE(Table3[[#This Row],[Supplier order nr]:[Delivery Date]])</f>
        <v>1</v>
      </c>
      <c r="V7" s="20"/>
      <c r="W7" s="39"/>
      <c r="X7" s="20"/>
      <c r="Y7" s="20"/>
      <c r="Z7" s="20"/>
    </row>
    <row r="8" spans="3:26" ht="14.4" x14ac:dyDescent="0.3">
      <c r="C8" s="30" t="str">
        <f>TRIM(_xlfn.TEXTBEFORE(Table3[[#This Row],[File Name]], "-", 1))</f>
        <v>Essity BE</v>
      </c>
      <c r="D8" s="2" t="s">
        <v>62</v>
      </c>
      <c r="E8" s="2" t="s">
        <v>13</v>
      </c>
      <c r="F8" s="2" t="s">
        <v>63</v>
      </c>
      <c r="G8" s="38">
        <v>6</v>
      </c>
      <c r="H8" s="9">
        <v>1</v>
      </c>
      <c r="I8" s="9">
        <v>1</v>
      </c>
      <c r="J8" s="9">
        <v>1</v>
      </c>
      <c r="K8" s="9">
        <v>1</v>
      </c>
      <c r="L8" s="9">
        <v>1</v>
      </c>
      <c r="M8" s="9">
        <v>1</v>
      </c>
      <c r="N8" s="8">
        <v>1</v>
      </c>
      <c r="O8" s="9">
        <v>1</v>
      </c>
      <c r="P8" s="9">
        <v>1</v>
      </c>
      <c r="Q8" s="9">
        <v>1</v>
      </c>
      <c r="R8" s="9">
        <v>1</v>
      </c>
      <c r="S8" s="9">
        <v>0.5</v>
      </c>
      <c r="T8" s="9">
        <v>0.5</v>
      </c>
      <c r="U8" s="9">
        <f>AVERAGE(Table3[[#This Row],[Supplier order nr]:[Delivery Date]])</f>
        <v>0.92307692307692313</v>
      </c>
      <c r="V8" s="21" t="s">
        <v>64</v>
      </c>
      <c r="W8" s="54" t="s">
        <v>96</v>
      </c>
      <c r="X8" s="55" t="s">
        <v>95</v>
      </c>
      <c r="Y8" s="55"/>
      <c r="Z8" s="55"/>
    </row>
    <row r="9" spans="3:26" ht="14.4" x14ac:dyDescent="0.3">
      <c r="C9" s="30" t="str">
        <f>TRIM(_xlfn.TEXTBEFORE(Table3[[#This Row],[File Name]], "-", 1))</f>
        <v>Lyreco NL</v>
      </c>
      <c r="D9" s="2" t="s">
        <v>62</v>
      </c>
      <c r="E9" s="2" t="s">
        <v>14</v>
      </c>
      <c r="F9" s="2" t="s">
        <v>63</v>
      </c>
      <c r="G9" s="38">
        <v>14</v>
      </c>
      <c r="H9" s="9">
        <v>1</v>
      </c>
      <c r="I9" s="9">
        <v>1</v>
      </c>
      <c r="J9" s="9">
        <v>1</v>
      </c>
      <c r="K9" s="9">
        <v>1</v>
      </c>
      <c r="L9" s="9">
        <v>1</v>
      </c>
      <c r="M9" s="9">
        <v>1</v>
      </c>
      <c r="N9" s="8">
        <v>1</v>
      </c>
      <c r="O9" s="9">
        <v>1</v>
      </c>
      <c r="P9" s="9">
        <v>1</v>
      </c>
      <c r="Q9" s="9">
        <v>1</v>
      </c>
      <c r="R9" s="9">
        <v>0.5</v>
      </c>
      <c r="S9" s="9">
        <v>1</v>
      </c>
      <c r="T9" s="9">
        <v>0.5</v>
      </c>
      <c r="U9" s="9">
        <f>AVERAGE(Table3[[#This Row],[Supplier order nr]:[Delivery Date]])</f>
        <v>0.92307692307692313</v>
      </c>
      <c r="V9" s="21" t="s">
        <v>65</v>
      </c>
      <c r="W9" s="39"/>
      <c r="X9" s="21"/>
      <c r="Y9" s="21"/>
      <c r="Z9" s="21"/>
    </row>
    <row r="10" spans="3:26" ht="14.4" x14ac:dyDescent="0.3">
      <c r="C10" s="30" t="str">
        <f>TRIM(_xlfn.TEXTBEFORE(Table3[[#This Row],[File Name]], "-", 1))</f>
        <v>Medtronic NL</v>
      </c>
      <c r="D10" s="2" t="s">
        <v>62</v>
      </c>
      <c r="E10" s="2" t="s">
        <v>15</v>
      </c>
      <c r="F10" s="2" t="s">
        <v>63</v>
      </c>
      <c r="G10" s="38">
        <v>1</v>
      </c>
      <c r="H10" s="9">
        <v>1</v>
      </c>
      <c r="I10" s="9">
        <v>0.5</v>
      </c>
      <c r="J10" s="9">
        <v>1</v>
      </c>
      <c r="K10" s="9">
        <v>1</v>
      </c>
      <c r="L10" s="9">
        <v>1</v>
      </c>
      <c r="M10" s="9">
        <v>1</v>
      </c>
      <c r="N10" s="8">
        <v>1</v>
      </c>
      <c r="O10" s="9">
        <v>1</v>
      </c>
      <c r="P10" s="9">
        <v>1</v>
      </c>
      <c r="Q10" s="9">
        <v>1</v>
      </c>
      <c r="R10" s="9">
        <v>1</v>
      </c>
      <c r="S10" s="9">
        <v>1</v>
      </c>
      <c r="T10" s="9">
        <v>1</v>
      </c>
      <c r="U10" s="9">
        <f>AVERAGE(Table3[[#This Row],[Supplier order nr]:[Delivery Date]])</f>
        <v>0.96153846153846156</v>
      </c>
      <c r="V10" s="21" t="s">
        <v>66</v>
      </c>
      <c r="W10" s="40" t="s">
        <v>67</v>
      </c>
      <c r="X10" s="56" t="s">
        <v>67</v>
      </c>
      <c r="Y10" s="56"/>
      <c r="Z10" s="56"/>
    </row>
    <row r="11" spans="3:26" ht="14.4" x14ac:dyDescent="0.3">
      <c r="C11" s="30" t="str">
        <f>TRIM(_xlfn.TEXTBEFORE(Table3[[#This Row],[File Name]], "-", 1))</f>
        <v>Essity BE</v>
      </c>
      <c r="D11" s="2" t="s">
        <v>62</v>
      </c>
      <c r="E11" s="2" t="s">
        <v>16</v>
      </c>
      <c r="F11" s="2" t="s">
        <v>63</v>
      </c>
      <c r="G11" s="38">
        <v>1</v>
      </c>
      <c r="H11" s="9">
        <v>1</v>
      </c>
      <c r="I11" s="9">
        <v>1</v>
      </c>
      <c r="J11" s="9">
        <v>1</v>
      </c>
      <c r="K11" s="9">
        <v>1</v>
      </c>
      <c r="L11" s="9">
        <v>1</v>
      </c>
      <c r="M11" s="9">
        <v>1</v>
      </c>
      <c r="N11" s="8">
        <v>1</v>
      </c>
      <c r="O11" s="9">
        <v>1</v>
      </c>
      <c r="P11" s="9">
        <v>1</v>
      </c>
      <c r="Q11" s="9">
        <v>1</v>
      </c>
      <c r="R11" s="9">
        <v>1</v>
      </c>
      <c r="S11" s="9">
        <v>1</v>
      </c>
      <c r="T11" s="9">
        <v>1</v>
      </c>
      <c r="U11" s="9">
        <f>AVERAGE(Table3[[#This Row],[Supplier order nr]:[Delivery Date]])</f>
        <v>1</v>
      </c>
      <c r="V11" s="21" t="s">
        <v>68</v>
      </c>
      <c r="W11" s="54" t="s">
        <v>96</v>
      </c>
      <c r="X11" s="55" t="s">
        <v>95</v>
      </c>
      <c r="Y11" s="55"/>
      <c r="Z11" s="55"/>
    </row>
    <row r="12" spans="3:26" s="52" customFormat="1" ht="30" customHeight="1" x14ac:dyDescent="0.3">
      <c r="C12" s="43" t="str">
        <f>TRIM(_xlfn.TEXTBEFORE(Table3[[#This Row],[File Name]], "-", 1))</f>
        <v>Brocacef</v>
      </c>
      <c r="D12" s="44" t="s">
        <v>62</v>
      </c>
      <c r="E12" s="44" t="s">
        <v>17</v>
      </c>
      <c r="F12" s="44" t="s">
        <v>63</v>
      </c>
      <c r="G12" s="45">
        <v>30</v>
      </c>
      <c r="H12" s="46">
        <v>1</v>
      </c>
      <c r="I12" s="46">
        <v>1</v>
      </c>
      <c r="J12" s="46">
        <v>1</v>
      </c>
      <c r="K12" s="46">
        <v>1</v>
      </c>
      <c r="L12" s="46">
        <v>1</v>
      </c>
      <c r="M12" s="46">
        <v>0.5</v>
      </c>
      <c r="N12" s="47">
        <v>0.5</v>
      </c>
      <c r="O12" s="48">
        <v>0.5</v>
      </c>
      <c r="P12" s="48">
        <v>0.5</v>
      </c>
      <c r="Q12" s="48">
        <v>0.5</v>
      </c>
      <c r="R12" s="48">
        <v>0.5</v>
      </c>
      <c r="S12" s="48">
        <v>0.5</v>
      </c>
      <c r="T12" s="49">
        <v>0.5</v>
      </c>
      <c r="U12" s="49">
        <f>AVERAGE(Table3[[#This Row],[Supplier order nr]:[Delivery Date]])</f>
        <v>0.69230769230769229</v>
      </c>
      <c r="V12" s="50" t="s">
        <v>69</v>
      </c>
      <c r="W12" s="51" t="s">
        <v>70</v>
      </c>
      <c r="X12" s="57" t="s">
        <v>97</v>
      </c>
      <c r="Y12" s="57"/>
      <c r="Z12" s="57"/>
    </row>
    <row r="13" spans="3:26" s="52" customFormat="1" ht="28.5" customHeight="1" x14ac:dyDescent="0.3">
      <c r="C13" s="43" t="str">
        <f>TRIM(_xlfn.TEXTBEFORE(Table3[[#This Row],[File Name]], "-", 1))</f>
        <v>Brocacef</v>
      </c>
      <c r="D13" s="44" t="s">
        <v>62</v>
      </c>
      <c r="E13" s="44" t="s">
        <v>18</v>
      </c>
      <c r="F13" s="44" t="s">
        <v>63</v>
      </c>
      <c r="G13" s="45">
        <v>12</v>
      </c>
      <c r="H13" s="46">
        <v>1</v>
      </c>
      <c r="I13" s="46">
        <v>1</v>
      </c>
      <c r="J13" s="46">
        <v>1</v>
      </c>
      <c r="K13" s="46">
        <v>1</v>
      </c>
      <c r="L13" s="46">
        <v>1</v>
      </c>
      <c r="M13" s="46">
        <v>0.5</v>
      </c>
      <c r="N13" s="47">
        <v>0.5</v>
      </c>
      <c r="O13" s="48">
        <v>0.5</v>
      </c>
      <c r="P13" s="48">
        <v>0.5</v>
      </c>
      <c r="Q13" s="48">
        <v>0.5</v>
      </c>
      <c r="R13" s="48">
        <v>0.5</v>
      </c>
      <c r="S13" s="48">
        <v>0.5</v>
      </c>
      <c r="T13" s="49">
        <v>0.5</v>
      </c>
      <c r="U13" s="49">
        <f>AVERAGE(Table3[[#This Row],[Supplier order nr]:[Delivery Date]])</f>
        <v>0.69230769230769229</v>
      </c>
      <c r="V13" s="50" t="s">
        <v>69</v>
      </c>
      <c r="W13" s="51" t="s">
        <v>70</v>
      </c>
      <c r="X13" s="57" t="s">
        <v>94</v>
      </c>
      <c r="Y13" s="57"/>
      <c r="Z13" s="57"/>
    </row>
    <row r="14" spans="3:26" ht="14.4" x14ac:dyDescent="0.3">
      <c r="C14" s="30" t="str">
        <f>TRIM(_xlfn.TEXTBEFORE(Table3[[#This Row],[File Name]], "-", 1))</f>
        <v>Essity BE</v>
      </c>
      <c r="D14" s="2" t="s">
        <v>62</v>
      </c>
      <c r="E14" s="2" t="s">
        <v>19</v>
      </c>
      <c r="F14" s="2" t="s">
        <v>63</v>
      </c>
      <c r="G14" s="38">
        <v>4</v>
      </c>
      <c r="H14" s="9">
        <v>1</v>
      </c>
      <c r="I14" s="9">
        <v>1</v>
      </c>
      <c r="J14" s="9">
        <v>1</v>
      </c>
      <c r="K14" s="9">
        <v>1</v>
      </c>
      <c r="L14" s="9">
        <v>1</v>
      </c>
      <c r="M14" s="9">
        <v>1</v>
      </c>
      <c r="N14" s="8">
        <v>1</v>
      </c>
      <c r="O14" s="9">
        <v>1</v>
      </c>
      <c r="P14" s="9">
        <v>1</v>
      </c>
      <c r="Q14" s="9">
        <v>1</v>
      </c>
      <c r="R14" s="9">
        <v>1</v>
      </c>
      <c r="S14" s="9">
        <v>0.5</v>
      </c>
      <c r="T14" s="9">
        <v>1</v>
      </c>
      <c r="U14" s="9">
        <f>AVERAGE(Table3[[#This Row],[Supplier order nr]:[Delivery Date]])</f>
        <v>0.96153846153846156</v>
      </c>
      <c r="V14" s="21" t="s">
        <v>71</v>
      </c>
      <c r="W14" s="54" t="s">
        <v>96</v>
      </c>
      <c r="X14" s="55" t="s">
        <v>95</v>
      </c>
      <c r="Y14" s="55"/>
      <c r="Z14" s="55"/>
    </row>
    <row r="15" spans="3:26" ht="14.4" x14ac:dyDescent="0.3">
      <c r="C15" s="30" t="str">
        <f>TRIM(_xlfn.TEXTBEFORE(Table3[[#This Row],[File Name]], "-", 1))</f>
        <v>Cardinal Health BE</v>
      </c>
      <c r="D15" s="2" t="s">
        <v>62</v>
      </c>
      <c r="E15" s="2" t="s">
        <v>20</v>
      </c>
      <c r="F15" s="2" t="s">
        <v>63</v>
      </c>
      <c r="G15" s="38">
        <v>0</v>
      </c>
      <c r="H15" s="9">
        <v>1</v>
      </c>
      <c r="I15" s="9">
        <v>1</v>
      </c>
      <c r="J15" s="9">
        <v>1</v>
      </c>
      <c r="K15" s="9">
        <v>1</v>
      </c>
      <c r="L15" s="9">
        <v>1</v>
      </c>
      <c r="M15" s="9">
        <v>1</v>
      </c>
      <c r="N15" s="8">
        <v>1</v>
      </c>
      <c r="O15" s="9">
        <v>1</v>
      </c>
      <c r="P15" s="9">
        <v>1</v>
      </c>
      <c r="Q15" s="9">
        <v>1</v>
      </c>
      <c r="R15" s="9">
        <v>1</v>
      </c>
      <c r="S15" s="9">
        <v>1</v>
      </c>
      <c r="T15" s="10">
        <v>0</v>
      </c>
      <c r="U15" s="10">
        <f>AVERAGE(Table3[[#This Row],[Supplier order nr]:[Delivery Date]])</f>
        <v>0.92307692307692313</v>
      </c>
      <c r="V15" s="21" t="s">
        <v>72</v>
      </c>
      <c r="W15" s="54" t="s">
        <v>100</v>
      </c>
      <c r="X15" s="56" t="s">
        <v>74</v>
      </c>
      <c r="Y15" s="56" t="s">
        <v>101</v>
      </c>
      <c r="Z15" s="56" t="s">
        <v>103</v>
      </c>
    </row>
    <row r="16" spans="3:26" ht="14.4" x14ac:dyDescent="0.3">
      <c r="C16" s="30" t="str">
        <f>TRIM(_xlfn.TEXTBEFORE(Table3[[#This Row],[File Name]], "-", 1))</f>
        <v>G3 Medical</v>
      </c>
      <c r="D16" s="2" t="s">
        <v>62</v>
      </c>
      <c r="E16" s="2" t="s">
        <v>21</v>
      </c>
      <c r="F16" s="2" t="s">
        <v>63</v>
      </c>
      <c r="G16" s="38">
        <v>0</v>
      </c>
      <c r="H16" s="9">
        <v>1</v>
      </c>
      <c r="I16" s="9">
        <v>1</v>
      </c>
      <c r="J16" s="9">
        <v>1</v>
      </c>
      <c r="K16" s="9">
        <v>1</v>
      </c>
      <c r="L16" s="9">
        <v>1</v>
      </c>
      <c r="M16" s="9">
        <v>1</v>
      </c>
      <c r="N16" s="8">
        <v>1</v>
      </c>
      <c r="O16" s="9">
        <v>1</v>
      </c>
      <c r="P16" s="9">
        <v>1</v>
      </c>
      <c r="Q16" s="9">
        <v>1</v>
      </c>
      <c r="R16" s="9">
        <v>1</v>
      </c>
      <c r="S16" s="9">
        <v>1</v>
      </c>
      <c r="T16" s="9">
        <f>9/10</f>
        <v>0.9</v>
      </c>
      <c r="U16" s="9">
        <f>AVERAGE(Table3[[#This Row],[Supplier order nr]:[Delivery Date]])</f>
        <v>0.99230769230769234</v>
      </c>
      <c r="V16" s="21" t="s">
        <v>75</v>
      </c>
      <c r="W16" s="41" t="s">
        <v>76</v>
      </c>
      <c r="X16" s="55" t="s">
        <v>77</v>
      </c>
      <c r="Y16" s="55" t="s">
        <v>189</v>
      </c>
      <c r="Z16" s="55"/>
    </row>
    <row r="17" spans="3:26" ht="14.4" x14ac:dyDescent="0.3">
      <c r="C17" s="30" t="str">
        <f>TRIM(_xlfn.TEXTBEFORE(Table3[[#This Row],[File Name]], "-", 1))</f>
        <v>Essity NL</v>
      </c>
      <c r="D17" s="2" t="s">
        <v>62</v>
      </c>
      <c r="E17" s="2" t="s">
        <v>22</v>
      </c>
      <c r="F17" s="2" t="s">
        <v>63</v>
      </c>
      <c r="G17" s="38">
        <v>0</v>
      </c>
      <c r="H17" s="9">
        <v>1</v>
      </c>
      <c r="I17" s="9">
        <v>1</v>
      </c>
      <c r="J17" s="9">
        <v>1</v>
      </c>
      <c r="K17" s="9">
        <v>1</v>
      </c>
      <c r="L17" s="9">
        <v>1</v>
      </c>
      <c r="M17" s="9">
        <v>1</v>
      </c>
      <c r="N17" s="8">
        <v>1</v>
      </c>
      <c r="O17" s="9">
        <v>1</v>
      </c>
      <c r="P17" s="9">
        <v>1</v>
      </c>
      <c r="Q17" s="9">
        <v>1</v>
      </c>
      <c r="R17" s="9">
        <v>1</v>
      </c>
      <c r="S17" s="9">
        <v>1</v>
      </c>
      <c r="T17" s="10">
        <v>1</v>
      </c>
      <c r="U17" s="10">
        <f>AVERAGE(Table3[[#This Row],[Supplier order nr]:[Delivery Date]])</f>
        <v>1</v>
      </c>
      <c r="V17" s="21" t="s">
        <v>78</v>
      </c>
      <c r="W17" s="39"/>
      <c r="X17" s="21"/>
      <c r="Y17" s="21"/>
      <c r="Z17" s="21"/>
    </row>
    <row r="18" spans="3:26" ht="14.4" x14ac:dyDescent="0.3">
      <c r="C18" s="30" t="str">
        <f>TRIM(_xlfn.TEXTBEFORE(Table3[[#This Row],[File Name]], "-", 1))</f>
        <v>B. Braun NL</v>
      </c>
      <c r="D18" s="2" t="s">
        <v>62</v>
      </c>
      <c r="E18" s="2" t="s">
        <v>23</v>
      </c>
      <c r="F18" s="2" t="s">
        <v>63</v>
      </c>
      <c r="G18" s="38">
        <v>0</v>
      </c>
      <c r="H18" s="9">
        <v>1</v>
      </c>
      <c r="I18" s="9">
        <v>1</v>
      </c>
      <c r="J18" s="9">
        <v>1</v>
      </c>
      <c r="K18" s="9">
        <v>1</v>
      </c>
      <c r="L18" s="9">
        <v>1</v>
      </c>
      <c r="M18" s="9">
        <v>1</v>
      </c>
      <c r="N18" s="8">
        <v>1</v>
      </c>
      <c r="O18" s="9">
        <v>1</v>
      </c>
      <c r="P18" s="9">
        <v>1</v>
      </c>
      <c r="Q18" s="9">
        <v>1</v>
      </c>
      <c r="R18" s="9">
        <v>1</v>
      </c>
      <c r="S18" s="9">
        <v>0</v>
      </c>
      <c r="T18" s="10">
        <v>1</v>
      </c>
      <c r="U18" s="10">
        <f>AVERAGE(Table3[[#This Row],[Supplier order nr]:[Delivery Date]])</f>
        <v>0.92307692307692313</v>
      </c>
      <c r="V18" s="21" t="s">
        <v>79</v>
      </c>
      <c r="W18" s="40" t="s">
        <v>73</v>
      </c>
      <c r="X18" s="55" t="s">
        <v>80</v>
      </c>
      <c r="Y18" s="55" t="s">
        <v>190</v>
      </c>
      <c r="Z18" s="55"/>
    </row>
    <row r="19" spans="3:26" ht="14.4" x14ac:dyDescent="0.3">
      <c r="C19" s="30" t="str">
        <f>TRIM(_xlfn.TEXTBEFORE(Table3[[#This Row],[File Name]], "-", 1))</f>
        <v>Mediq</v>
      </c>
      <c r="D19" s="2" t="s">
        <v>81</v>
      </c>
      <c r="E19" s="2" t="s">
        <v>24</v>
      </c>
      <c r="F19" s="2" t="s">
        <v>63</v>
      </c>
      <c r="G19" s="38">
        <v>0</v>
      </c>
      <c r="H19" s="9">
        <v>1</v>
      </c>
      <c r="I19" s="9">
        <v>1</v>
      </c>
      <c r="J19" s="9">
        <v>1</v>
      </c>
      <c r="K19" s="9">
        <v>1</v>
      </c>
      <c r="L19" s="9">
        <v>1</v>
      </c>
      <c r="M19" s="9">
        <v>1</v>
      </c>
      <c r="N19" s="8">
        <v>1</v>
      </c>
      <c r="O19" s="9">
        <v>1</v>
      </c>
      <c r="P19" s="9">
        <v>1</v>
      </c>
      <c r="Q19" s="9">
        <v>1</v>
      </c>
      <c r="R19" s="9">
        <v>1</v>
      </c>
      <c r="S19" s="9">
        <v>1</v>
      </c>
      <c r="T19" s="10">
        <v>1</v>
      </c>
      <c r="U19" s="10">
        <f>AVERAGE(Table3[[#This Row],[Supplier order nr]:[Delivery Date]])</f>
        <v>1</v>
      </c>
      <c r="V19" s="21" t="s">
        <v>82</v>
      </c>
      <c r="W19" s="39"/>
      <c r="X19" s="21"/>
      <c r="Y19" s="21"/>
      <c r="Z19" s="21"/>
    </row>
    <row r="20" spans="3:26" ht="14.4" x14ac:dyDescent="0.3">
      <c r="C20" s="30" t="str">
        <f>TRIM(_xlfn.TEXTBEFORE(Table3[[#This Row],[File Name]], "-", 1))</f>
        <v>Becton Dickinson NL</v>
      </c>
      <c r="D20" s="2" t="s">
        <v>81</v>
      </c>
      <c r="E20" s="2" t="s">
        <v>25</v>
      </c>
      <c r="F20" s="2" t="s">
        <v>63</v>
      </c>
      <c r="G20" s="38">
        <v>29</v>
      </c>
      <c r="H20" s="9">
        <v>1</v>
      </c>
      <c r="I20" s="9">
        <v>1</v>
      </c>
      <c r="J20" s="9">
        <v>1</v>
      </c>
      <c r="K20" s="9">
        <v>1</v>
      </c>
      <c r="L20" s="9">
        <v>1</v>
      </c>
      <c r="M20" s="9">
        <v>1</v>
      </c>
      <c r="N20" s="8">
        <v>1</v>
      </c>
      <c r="O20" s="9">
        <v>1</v>
      </c>
      <c r="P20" s="9">
        <v>1</v>
      </c>
      <c r="Q20" s="9">
        <v>1</v>
      </c>
      <c r="R20" s="9">
        <v>0.5</v>
      </c>
      <c r="S20" s="9">
        <v>1</v>
      </c>
      <c r="T20" s="10">
        <v>1</v>
      </c>
      <c r="U20" s="10">
        <f>AVERAGE(Table3[[#This Row],[Supplier order nr]:[Delivery Date]])</f>
        <v>0.96153846153846156</v>
      </c>
      <c r="V20" s="21" t="s">
        <v>83</v>
      </c>
      <c r="W20" s="40" t="s">
        <v>84</v>
      </c>
      <c r="X20" s="56" t="s">
        <v>85</v>
      </c>
      <c r="Y20" s="56"/>
      <c r="Z20" s="56"/>
    </row>
    <row r="21" spans="3:26" ht="14.4" x14ac:dyDescent="0.3">
      <c r="C21" s="30" t="str">
        <f>TRIM(_xlfn.TEXTBEFORE(Table3[[#This Row],[File Name]], "-", 1))</f>
        <v>King NL</v>
      </c>
      <c r="D21" s="2" t="s">
        <v>81</v>
      </c>
      <c r="E21" s="2" t="s">
        <v>26</v>
      </c>
      <c r="F21" s="2" t="s">
        <v>63</v>
      </c>
      <c r="G21" s="38">
        <v>0</v>
      </c>
      <c r="H21" s="9">
        <v>1</v>
      </c>
      <c r="I21" s="9">
        <v>1</v>
      </c>
      <c r="J21" s="9">
        <v>1</v>
      </c>
      <c r="K21" s="9">
        <v>1</v>
      </c>
      <c r="L21" s="9">
        <v>1</v>
      </c>
      <c r="M21" s="9">
        <v>1</v>
      </c>
      <c r="N21" s="8">
        <v>1</v>
      </c>
      <c r="O21" s="12">
        <v>1</v>
      </c>
      <c r="P21" s="9">
        <v>1</v>
      </c>
      <c r="Q21" s="9">
        <v>1</v>
      </c>
      <c r="R21" s="9">
        <v>1</v>
      </c>
      <c r="S21" s="9">
        <v>1</v>
      </c>
      <c r="T21" s="10">
        <v>1</v>
      </c>
      <c r="U21" s="10">
        <f>AVERAGE(Table3[[#This Row],[Supplier order nr]:[Delivery Date]])</f>
        <v>1</v>
      </c>
      <c r="V21" s="21" t="s">
        <v>86</v>
      </c>
      <c r="W21" s="39"/>
      <c r="X21" s="21"/>
      <c r="Y21" s="21"/>
      <c r="Z21" s="21"/>
    </row>
    <row r="22" spans="3:26" s="52" customFormat="1" ht="28.2" customHeight="1" x14ac:dyDescent="0.3">
      <c r="C22" s="43" t="str">
        <f>TRIM(_xlfn.TEXTBEFORE(Table3[[#This Row],[File Name]], "-", 1))</f>
        <v>Medica Europe</v>
      </c>
      <c r="D22" s="44" t="s">
        <v>81</v>
      </c>
      <c r="E22" s="44" t="s">
        <v>27</v>
      </c>
      <c r="F22" s="44" t="s">
        <v>63</v>
      </c>
      <c r="G22" s="45">
        <v>0</v>
      </c>
      <c r="H22" s="46">
        <v>1</v>
      </c>
      <c r="I22" s="46">
        <v>1</v>
      </c>
      <c r="J22" s="46">
        <v>1</v>
      </c>
      <c r="K22" s="46">
        <v>1</v>
      </c>
      <c r="L22" s="46">
        <v>1</v>
      </c>
      <c r="M22" s="46">
        <v>1</v>
      </c>
      <c r="N22" s="53">
        <v>1</v>
      </c>
      <c r="O22" s="46">
        <v>1</v>
      </c>
      <c r="P22" s="46">
        <v>1</v>
      </c>
      <c r="Q22" s="46">
        <v>1</v>
      </c>
      <c r="R22" s="46">
        <v>1</v>
      </c>
      <c r="S22" s="46">
        <v>1</v>
      </c>
      <c r="T22" s="46">
        <v>1</v>
      </c>
      <c r="U22" s="46">
        <f>AVERAGE(Table3[[#This Row],[Supplier order nr]:[Delivery Date]])</f>
        <v>1</v>
      </c>
      <c r="V22" s="50"/>
      <c r="W22" s="51" t="s">
        <v>99</v>
      </c>
      <c r="X22" s="58" t="s">
        <v>98</v>
      </c>
      <c r="Y22" s="58"/>
      <c r="Z22" s="58"/>
    </row>
    <row r="23" spans="3:26" ht="14.4" x14ac:dyDescent="0.3">
      <c r="C23" s="30" t="str">
        <f>TRIM(_xlfn.TEXTBEFORE(Table3[[#This Row],[File Name]], "-", 1))</f>
        <v>Medline NL</v>
      </c>
      <c r="D23" s="2" t="s">
        <v>81</v>
      </c>
      <c r="E23" s="2" t="s">
        <v>28</v>
      </c>
      <c r="F23" s="2" t="s">
        <v>63</v>
      </c>
      <c r="G23" s="38">
        <v>7</v>
      </c>
      <c r="H23" s="9">
        <v>1</v>
      </c>
      <c r="I23" s="9">
        <v>1</v>
      </c>
      <c r="J23" s="9">
        <v>1</v>
      </c>
      <c r="K23" s="9">
        <v>1</v>
      </c>
      <c r="L23" s="9">
        <v>1</v>
      </c>
      <c r="M23" s="9">
        <v>1</v>
      </c>
      <c r="N23" s="8">
        <v>1</v>
      </c>
      <c r="O23" s="9">
        <v>1</v>
      </c>
      <c r="P23" s="9">
        <v>1</v>
      </c>
      <c r="Q23" s="9">
        <v>1</v>
      </c>
      <c r="R23" s="9">
        <v>1</v>
      </c>
      <c r="S23" s="9">
        <v>1</v>
      </c>
      <c r="T23" s="9">
        <v>1</v>
      </c>
      <c r="U23" s="9">
        <f>AVERAGE(Table3[[#This Row],[Supplier order nr]:[Delivery Date]])</f>
        <v>1</v>
      </c>
      <c r="V23" s="21" t="s">
        <v>87</v>
      </c>
      <c r="W23" s="41" t="s">
        <v>88</v>
      </c>
      <c r="X23" s="55"/>
      <c r="Y23" s="55"/>
      <c r="Z23" s="55"/>
    </row>
    <row r="24" spans="3:26" ht="14.4" x14ac:dyDescent="0.3">
      <c r="C24" s="30" t="str">
        <f>TRIM(_xlfn.TEXTBEFORE(Table3[[#This Row],[File Name]], "-", 1))</f>
        <v>Intersurgical</v>
      </c>
      <c r="D24" s="2" t="s">
        <v>81</v>
      </c>
      <c r="E24" s="2" t="s">
        <v>29</v>
      </c>
      <c r="F24" s="2" t="s">
        <v>63</v>
      </c>
      <c r="G24" s="38">
        <v>0</v>
      </c>
      <c r="H24" s="9">
        <v>1</v>
      </c>
      <c r="I24" s="9">
        <v>1</v>
      </c>
      <c r="J24" s="9">
        <v>1</v>
      </c>
      <c r="K24" s="9">
        <v>1</v>
      </c>
      <c r="L24" s="9">
        <v>1</v>
      </c>
      <c r="M24" s="9">
        <v>1</v>
      </c>
      <c r="N24" s="8">
        <v>1</v>
      </c>
      <c r="O24" s="9">
        <v>1</v>
      </c>
      <c r="P24" s="9">
        <v>1</v>
      </c>
      <c r="Q24" s="9">
        <v>1</v>
      </c>
      <c r="R24" s="9">
        <v>1</v>
      </c>
      <c r="S24" s="9">
        <v>1</v>
      </c>
      <c r="T24" s="9">
        <v>1</v>
      </c>
      <c r="U24" s="9">
        <f>AVERAGE(Table3[[#This Row],[Supplier order nr]:[Delivery Date]])</f>
        <v>1</v>
      </c>
      <c r="V24" s="21"/>
      <c r="W24" s="39"/>
      <c r="X24" s="21"/>
      <c r="Y24" s="21"/>
      <c r="Z24" s="21"/>
    </row>
    <row r="25" spans="3:26" ht="14.4" x14ac:dyDescent="0.3">
      <c r="C25" s="30" t="str">
        <f>TRIM(_xlfn.TEXTBEFORE(Table3[[#This Row],[File Name]], "-", 1))</f>
        <v>QRS</v>
      </c>
      <c r="D25" s="2" t="s">
        <v>81</v>
      </c>
      <c r="E25" s="2" t="s">
        <v>30</v>
      </c>
      <c r="F25" s="2" t="s">
        <v>63</v>
      </c>
      <c r="G25" s="38">
        <v>1</v>
      </c>
      <c r="H25" s="9">
        <v>1</v>
      </c>
      <c r="I25" s="9">
        <v>1</v>
      </c>
      <c r="J25" s="9">
        <v>1</v>
      </c>
      <c r="K25" s="9">
        <v>1</v>
      </c>
      <c r="L25" s="9">
        <v>1</v>
      </c>
      <c r="M25" s="9">
        <v>1</v>
      </c>
      <c r="N25" s="8">
        <v>1</v>
      </c>
      <c r="O25" s="9">
        <v>1</v>
      </c>
      <c r="P25" s="9">
        <v>1</v>
      </c>
      <c r="Q25" s="9">
        <v>1</v>
      </c>
      <c r="R25" s="9">
        <v>1</v>
      </c>
      <c r="S25" s="9">
        <v>1</v>
      </c>
      <c r="T25" s="9">
        <v>1</v>
      </c>
      <c r="U25" s="9">
        <f>AVERAGE(Table3[[#This Row],[Supplier order nr]:[Delivery Date]])</f>
        <v>1</v>
      </c>
      <c r="V25" s="21" t="s">
        <v>89</v>
      </c>
      <c r="W25" s="41" t="s">
        <v>90</v>
      </c>
      <c r="X25" s="55" t="s">
        <v>91</v>
      </c>
      <c r="Y25" s="56" t="s">
        <v>101</v>
      </c>
      <c r="Z25" s="56"/>
    </row>
    <row r="26" spans="3:26" ht="14.4" x14ac:dyDescent="0.3">
      <c r="C26" s="30" t="str">
        <f>TRIM(_xlfn.TEXTBEFORE(Table3[[#This Row],[File Name]], "-", 1))</f>
        <v>Medtronic NL</v>
      </c>
      <c r="D26" s="2" t="s">
        <v>81</v>
      </c>
      <c r="E26" s="2" t="s">
        <v>31</v>
      </c>
      <c r="F26" s="2" t="s">
        <v>63</v>
      </c>
      <c r="G26" s="38">
        <v>0</v>
      </c>
      <c r="H26" s="9">
        <v>1</v>
      </c>
      <c r="I26" s="9">
        <v>1</v>
      </c>
      <c r="J26" s="9">
        <v>1</v>
      </c>
      <c r="K26" s="9">
        <v>1</v>
      </c>
      <c r="L26" s="9">
        <v>1</v>
      </c>
      <c r="M26" s="9">
        <v>1</v>
      </c>
      <c r="N26" s="8">
        <v>1</v>
      </c>
      <c r="O26" s="9">
        <v>1</v>
      </c>
      <c r="P26" s="9">
        <v>1</v>
      </c>
      <c r="Q26" s="9">
        <v>1</v>
      </c>
      <c r="R26" s="9">
        <v>1</v>
      </c>
      <c r="S26" s="9">
        <v>1</v>
      </c>
      <c r="T26" s="9">
        <v>1</v>
      </c>
      <c r="U26" s="9">
        <f>AVERAGE(Table3[[#This Row],[Supplier order nr]:[Delivery Date]])</f>
        <v>1</v>
      </c>
      <c r="V26" s="21" t="s">
        <v>92</v>
      </c>
      <c r="W26" s="39"/>
      <c r="X26" s="21"/>
      <c r="Y26" s="21"/>
      <c r="Z26" s="21"/>
    </row>
    <row r="27" spans="3:26" ht="14.4" x14ac:dyDescent="0.3">
      <c r="C27" s="30" t="str">
        <f>TRIM(_xlfn.TEXTBEFORE(Table3[[#This Row],[File Name]], "-", 1))</f>
        <v>QRS</v>
      </c>
      <c r="D27" s="2" t="s">
        <v>81</v>
      </c>
      <c r="E27" s="2" t="s">
        <v>32</v>
      </c>
      <c r="F27" s="2" t="s">
        <v>63</v>
      </c>
      <c r="G27" s="38">
        <v>1</v>
      </c>
      <c r="H27" s="9">
        <v>1</v>
      </c>
      <c r="I27" s="9">
        <v>1</v>
      </c>
      <c r="J27" s="9">
        <v>1</v>
      </c>
      <c r="K27" s="9">
        <v>1</v>
      </c>
      <c r="L27" s="9">
        <v>1</v>
      </c>
      <c r="M27" s="9">
        <v>1</v>
      </c>
      <c r="N27" s="8">
        <v>1</v>
      </c>
      <c r="O27" s="9">
        <v>1</v>
      </c>
      <c r="P27" s="9">
        <v>1</v>
      </c>
      <c r="Q27" s="9">
        <v>1</v>
      </c>
      <c r="R27" s="9">
        <v>1</v>
      </c>
      <c r="S27" s="9">
        <v>1</v>
      </c>
      <c r="T27" s="9">
        <v>1</v>
      </c>
      <c r="U27" s="9">
        <f>AVERAGE(Table3[[#This Row],[Supplier order nr]:[Delivery Date]])</f>
        <v>1</v>
      </c>
      <c r="V27" s="21" t="s">
        <v>93</v>
      </c>
      <c r="W27" s="39"/>
      <c r="X27" s="21"/>
      <c r="Y27" s="21"/>
      <c r="Z27" s="21"/>
    </row>
    <row r="28" spans="3:26" ht="14.4" x14ac:dyDescent="0.3">
      <c r="C28" s="30" t="str">
        <f>TRIM(_xlfn.TEXTBEFORE(Table3[[#This Row],[File Name]], "-", 1))</f>
        <v>Moovartes</v>
      </c>
      <c r="D28" s="2" t="s">
        <v>62</v>
      </c>
      <c r="E28" s="2" t="s">
        <v>224</v>
      </c>
      <c r="F28" t="s">
        <v>63</v>
      </c>
      <c r="G28" s="26">
        <v>2</v>
      </c>
      <c r="H28" s="9">
        <v>1</v>
      </c>
      <c r="I28" s="9">
        <v>1</v>
      </c>
      <c r="J28" s="9">
        <v>1</v>
      </c>
      <c r="K28" s="9">
        <v>1</v>
      </c>
      <c r="L28" s="9">
        <v>1</v>
      </c>
      <c r="M28" s="9">
        <v>1</v>
      </c>
      <c r="N28" s="8">
        <v>1</v>
      </c>
      <c r="O28" s="9">
        <v>1</v>
      </c>
      <c r="P28" s="9">
        <v>1</v>
      </c>
      <c r="Q28" s="9">
        <v>1</v>
      </c>
      <c r="R28" s="9">
        <v>1</v>
      </c>
      <c r="S28" s="9">
        <v>1</v>
      </c>
      <c r="T28" s="10">
        <v>0.5</v>
      </c>
      <c r="U28" s="10">
        <f>AVERAGE(Table3[[#This Row],[Supplier order nr]:[Delivery Date]])</f>
        <v>0.96153846153846156</v>
      </c>
      <c r="V28" s="21" t="s">
        <v>226</v>
      </c>
      <c r="W28" s="21" t="s">
        <v>229</v>
      </c>
      <c r="X28" s="21"/>
      <c r="Z28" s="94"/>
    </row>
    <row r="29" spans="3:26" ht="15" customHeight="1" thickBot="1" x14ac:dyDescent="0.35">
      <c r="C29" s="31" t="str">
        <f>TRIM(_xlfn.TEXTBEFORE(Table3[[#This Row],[File Name]], "-", 1))</f>
        <v>Demuynck</v>
      </c>
      <c r="D29" s="95" t="s">
        <v>62</v>
      </c>
      <c r="E29" s="95" t="s">
        <v>225</v>
      </c>
      <c r="F29" s="96" t="s">
        <v>63</v>
      </c>
      <c r="G29" s="97">
        <v>4</v>
      </c>
      <c r="H29" s="14">
        <v>1</v>
      </c>
      <c r="I29" s="14">
        <v>1</v>
      </c>
      <c r="J29" s="14">
        <v>1</v>
      </c>
      <c r="K29" s="14">
        <v>1</v>
      </c>
      <c r="L29" s="14">
        <v>1</v>
      </c>
      <c r="M29" s="14">
        <v>1</v>
      </c>
      <c r="N29" s="13">
        <v>1</v>
      </c>
      <c r="O29" s="14">
        <v>1</v>
      </c>
      <c r="P29" s="14">
        <v>1</v>
      </c>
      <c r="Q29" s="14">
        <v>1</v>
      </c>
      <c r="R29" s="14">
        <v>1</v>
      </c>
      <c r="S29" s="14">
        <v>1</v>
      </c>
      <c r="T29" s="98">
        <v>0.5</v>
      </c>
      <c r="U29" s="98">
        <f>AVERAGE(Table3[[#This Row],[Supplier order nr]:[Delivery Date]])</f>
        <v>0.96153846153846156</v>
      </c>
      <c r="V29" s="22" t="s">
        <v>227</v>
      </c>
      <c r="W29" s="22" t="s">
        <v>228</v>
      </c>
      <c r="X29" s="22"/>
      <c r="Y29" s="96"/>
      <c r="Z29" s="99"/>
    </row>
  </sheetData>
  <mergeCells count="2">
    <mergeCell ref="N5:T5"/>
    <mergeCell ref="H5:M5"/>
  </mergeCells>
  <conditionalFormatting sqref="H4:U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:U29">
    <cfRule type="colorScale" priority="14">
      <colorScale>
        <cfvo type="min"/>
        <cfvo type="percentile" val="50"/>
        <cfvo type="max"/>
        <color rgb="FFF8696B"/>
        <color rgb="FFFFEB84"/>
        <color theme="9" tint="0.59999389629810485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975F-0580-4467-B735-05E6268B85F9}">
  <dimension ref="C1:Z105"/>
  <sheetViews>
    <sheetView topLeftCell="A6" zoomScale="70" zoomScaleNormal="70" workbookViewId="0">
      <selection activeCell="F8" sqref="F8"/>
    </sheetView>
  </sheetViews>
  <sheetFormatPr defaultRowHeight="15" customHeight="1" x14ac:dyDescent="0.3"/>
  <cols>
    <col min="1" max="1" width="1.88671875" customWidth="1"/>
    <col min="2" max="3" width="1.6640625" customWidth="1"/>
    <col min="4" max="4" width="21.33203125" bestFit="1" customWidth="1"/>
    <col min="5" max="5" width="39.88671875" customWidth="1"/>
    <col min="6" max="6" width="22" bestFit="1" customWidth="1"/>
    <col min="7" max="7" width="8.88671875" style="24" customWidth="1"/>
    <col min="8" max="13" width="9.6640625" style="24" customWidth="1"/>
    <col min="14" max="14" width="10.88671875" style="85" customWidth="1"/>
    <col min="15" max="17" width="9.6640625" style="24" customWidth="1"/>
    <col min="18" max="18" width="10.33203125" style="24" customWidth="1"/>
    <col min="19" max="20" width="9.6640625" style="24" customWidth="1"/>
    <col min="21" max="21" width="11.6640625" customWidth="1"/>
    <col min="22" max="23" width="57.44140625" customWidth="1"/>
    <col min="24" max="24" width="49.6640625" customWidth="1"/>
    <col min="25" max="25" width="55.109375" customWidth="1"/>
    <col min="26" max="26" width="41.6640625" bestFit="1" customWidth="1"/>
  </cols>
  <sheetData>
    <row r="1" spans="3:26" ht="14.4" hidden="1" x14ac:dyDescent="0.3">
      <c r="E1" s="4" t="s">
        <v>34</v>
      </c>
      <c r="F1" s="4" t="s">
        <v>35</v>
      </c>
    </row>
    <row r="2" spans="3:26" ht="14.4" hidden="1" x14ac:dyDescent="0.3">
      <c r="E2" s="4" t="s">
        <v>36</v>
      </c>
      <c r="F2" s="4" t="s">
        <v>37</v>
      </c>
      <c r="G2" s="26" t="s">
        <v>38</v>
      </c>
    </row>
    <row r="3" spans="3:26" ht="14.4" x14ac:dyDescent="0.3">
      <c r="N3" s="85" t="s">
        <v>39</v>
      </c>
      <c r="R3" s="26" t="s">
        <v>39</v>
      </c>
    </row>
    <row r="4" spans="3:26" thickBot="1" x14ac:dyDescent="0.35">
      <c r="E4" s="59">
        <f>COUNTA(Table32[File Name])</f>
        <v>99</v>
      </c>
      <c r="F4">
        <f>COUNTIF(Table32[Recognised doc type],"extracted")</f>
        <v>77</v>
      </c>
      <c r="G4" s="24">
        <f>SUM(Table32['# Missing fields])</f>
        <v>69</v>
      </c>
      <c r="H4" s="25">
        <f>AVERAGE(Table32[PO nr])</f>
        <v>0.95652173913043481</v>
      </c>
      <c r="I4" s="25">
        <f>AVERAGE(Table32[Supplier Order Nr])</f>
        <v>0.91304347826086951</v>
      </c>
      <c r="J4" s="25">
        <f>AVERAGE(Table32[Order Date])</f>
        <v>0.95652173913043481</v>
      </c>
      <c r="K4" s="25">
        <f>AVERAGE(Table32[Supplier Name])</f>
        <v>0.95652173913043481</v>
      </c>
      <c r="L4" s="25">
        <f>AVERAGE(Table32[Customer name])</f>
        <v>0.95652173913043481</v>
      </c>
      <c r="M4" s="25">
        <f>AVERAGE(Table32[Currency])</f>
        <v>0.84782608695652173</v>
      </c>
      <c r="N4" s="86">
        <f>AVERAGE(Table32[Line nr])</f>
        <v>0.91304347826086951</v>
      </c>
      <c r="O4" s="25">
        <f>AVERAGE(Table32[Article Number])</f>
        <v>0.95652173913043481</v>
      </c>
      <c r="P4" s="25">
        <f>AVERAGE(Table32[Description])</f>
        <v>0.93478260869565222</v>
      </c>
      <c r="Q4" s="25">
        <f>AVERAGE(Table32[Quantity])</f>
        <v>0.95652173913043481</v>
      </c>
      <c r="R4" s="25">
        <f>AVERAGE(Table32[UoM])</f>
        <v>0.80434782608695654</v>
      </c>
      <c r="S4" s="25">
        <f>AVERAGE(Table32[Unit Price])</f>
        <v>0.78260869565217395</v>
      </c>
      <c r="T4" s="25">
        <f>AVERAGE(Table32[Delivery Date])</f>
        <v>0.65217391304347827</v>
      </c>
      <c r="U4" s="5">
        <f>AVERAGE(H4:T4)</f>
        <v>0.89130434782608703</v>
      </c>
    </row>
    <row r="5" spans="3:26" thickBot="1" x14ac:dyDescent="0.35">
      <c r="D5" s="6"/>
      <c r="E5" s="7"/>
      <c r="F5" s="7"/>
      <c r="G5" s="27"/>
      <c r="H5" s="145" t="s">
        <v>193</v>
      </c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7"/>
      <c r="U5" s="7"/>
      <c r="V5" s="19"/>
      <c r="W5" s="19"/>
      <c r="X5" s="18"/>
      <c r="Y5" s="18"/>
      <c r="Z5" s="18"/>
    </row>
    <row r="6" spans="3:26" ht="29.4" thickBot="1" x14ac:dyDescent="0.35">
      <c r="D6" s="73" t="s">
        <v>42</v>
      </c>
      <c r="E6" s="74" t="s">
        <v>0</v>
      </c>
      <c r="F6" s="75" t="s">
        <v>44</v>
      </c>
      <c r="G6" s="82" t="s">
        <v>45</v>
      </c>
      <c r="H6" s="76" t="s">
        <v>47</v>
      </c>
      <c r="I6" s="77" t="s">
        <v>191</v>
      </c>
      <c r="J6" s="76" t="s">
        <v>48</v>
      </c>
      <c r="K6" s="76" t="s">
        <v>49</v>
      </c>
      <c r="L6" s="76" t="s">
        <v>50</v>
      </c>
      <c r="M6" s="76" t="s">
        <v>51</v>
      </c>
      <c r="N6" s="87" t="s">
        <v>52</v>
      </c>
      <c r="O6" s="76" t="s">
        <v>192</v>
      </c>
      <c r="P6" s="76" t="s">
        <v>54</v>
      </c>
      <c r="Q6" s="76" t="s">
        <v>55</v>
      </c>
      <c r="R6" s="76" t="s">
        <v>56</v>
      </c>
      <c r="S6" s="76" t="s">
        <v>57</v>
      </c>
      <c r="T6" s="78" t="s">
        <v>58</v>
      </c>
      <c r="U6" s="79" t="s">
        <v>194</v>
      </c>
      <c r="V6" s="80" t="s">
        <v>59</v>
      </c>
      <c r="W6" s="80" t="s">
        <v>196</v>
      </c>
      <c r="X6" s="80" t="s">
        <v>60</v>
      </c>
      <c r="Y6" s="81" t="s">
        <v>61</v>
      </c>
      <c r="Z6" s="92" t="s">
        <v>208</v>
      </c>
    </row>
    <row r="7" spans="3:26" ht="14.4" x14ac:dyDescent="0.3">
      <c r="C7" t="str">
        <f>_xlfn.XLOOKUP(Table32[[#This Row],[Customer]],'Top 300'!C:C,'Top 300'!A:A,"0",2,1)</f>
        <v>0</v>
      </c>
      <c r="D7" s="28" t="str">
        <f>_xlfn.XLOOKUP(Table32[[#This Row],[File Name]],'Analyse 2 Detail 02-03'!A:A,'Analyse 2 Detail 02-03'!R:R,"Not Found",0,1)</f>
        <v>Mölnlycke Health Care NV</v>
      </c>
      <c r="E7" s="2" t="s">
        <v>132</v>
      </c>
      <c r="F7" s="63" t="s">
        <v>9</v>
      </c>
      <c r="G7" s="70">
        <v>0</v>
      </c>
      <c r="H7" s="9"/>
      <c r="I7" s="9"/>
      <c r="J7" s="9"/>
      <c r="K7" s="9"/>
      <c r="L7" s="9"/>
      <c r="M7" s="62"/>
      <c r="N7" s="88"/>
      <c r="O7" s="9"/>
      <c r="P7" s="9"/>
      <c r="Q7" s="9"/>
      <c r="R7" s="9"/>
      <c r="S7" s="9"/>
      <c r="T7" s="9"/>
      <c r="U7" s="11" t="e">
        <f>AVERAGE(Table32[[#This Row],[PO nr]:[Delivery Date]])</f>
        <v>#DIV/0!</v>
      </c>
      <c r="V7" s="20"/>
      <c r="W7" s="39"/>
      <c r="X7" s="39"/>
      <c r="Y7" s="20"/>
      <c r="Z7" s="21"/>
    </row>
    <row r="8" spans="3:26" ht="14.4" x14ac:dyDescent="0.3">
      <c r="C8" t="str">
        <f>_xlfn.XLOOKUP(Table32[[#This Row],[Customer]],'Top 300'!C:C,'Top 300'!A:A,"0",2,1)</f>
        <v>0</v>
      </c>
      <c r="D8" s="30" t="str">
        <f>_xlfn.XLOOKUP(Table32[[#This Row],[File Name]],'Analyse 2 Detail 02-03'!A:A,'Analyse 2 Detail 02-03'!R:R,"Not Found",0,1)</f>
        <v>Mölnlycke Health Care B.V.</v>
      </c>
      <c r="E8" s="2" t="s">
        <v>169</v>
      </c>
      <c r="F8" s="64" t="s">
        <v>9</v>
      </c>
      <c r="G8" s="71">
        <v>0</v>
      </c>
      <c r="H8" s="9"/>
      <c r="I8" s="9"/>
      <c r="J8" s="9"/>
      <c r="K8" s="9"/>
      <c r="L8" s="9"/>
      <c r="M8" s="9"/>
      <c r="N8" s="88"/>
      <c r="O8" s="9"/>
      <c r="P8" s="9"/>
      <c r="Q8" s="9"/>
      <c r="R8" s="9"/>
      <c r="S8" s="9"/>
      <c r="T8" s="9"/>
      <c r="U8" s="11" t="e">
        <f>AVERAGE(Table32[[#This Row],[PO nr]:[Delivery Date]])</f>
        <v>#DIV/0!</v>
      </c>
      <c r="V8" s="21"/>
      <c r="X8" s="54"/>
      <c r="Y8" s="55"/>
      <c r="Z8" s="55"/>
    </row>
    <row r="9" spans="3:26" ht="14.4" x14ac:dyDescent="0.3">
      <c r="C9" t="str">
        <f>_xlfn.XLOOKUP(Table32[[#This Row],[Customer]],'Top 300'!C:C,'Top 300'!A:A,"0",2,1)</f>
        <v>0</v>
      </c>
      <c r="D9" s="30" t="str">
        <f>_xlfn.XLOOKUP(Table32[[#This Row],[File Name]],'Analyse 2 Detail 02-03'!A:A,'Analyse 2 Detail 02-03'!R:R,"Not Found",0,1)</f>
        <v>Mölnlycke Health Care B.V.</v>
      </c>
      <c r="E9" s="2" t="s">
        <v>139</v>
      </c>
      <c r="F9" s="64" t="s">
        <v>9</v>
      </c>
      <c r="G9" s="71">
        <v>0</v>
      </c>
      <c r="H9" s="9"/>
      <c r="I9" s="9"/>
      <c r="J9" s="9"/>
      <c r="K9" s="9"/>
      <c r="L9" s="9"/>
      <c r="M9" s="9"/>
      <c r="N9" s="88"/>
      <c r="O9" s="9"/>
      <c r="P9" s="9"/>
      <c r="Q9" s="9"/>
      <c r="R9" s="9"/>
      <c r="S9" s="9"/>
      <c r="T9" s="9"/>
      <c r="U9" s="11" t="e">
        <f>AVERAGE(Table32[[#This Row],[PO nr]:[Delivery Date]])</f>
        <v>#DIV/0!</v>
      </c>
      <c r="V9" s="21"/>
      <c r="W9" s="39"/>
      <c r="X9" s="39"/>
      <c r="Y9" s="21"/>
      <c r="Z9" s="21"/>
    </row>
    <row r="10" spans="3:26" ht="14.4" x14ac:dyDescent="0.3">
      <c r="C10" t="str">
        <f>_xlfn.XLOOKUP(Table32[[#This Row],[Customer]],'Top 300'!C:C,'Top 300'!A:A,"0",2,1)</f>
        <v>0</v>
      </c>
      <c r="D10" s="30" t="str">
        <f>_xlfn.XLOOKUP(Table32[[#This Row],[File Name]],'Analyse 2 Detail 02-03'!A:A,'Analyse 2 Detail 02-03'!R:R,"Not Found",0,1)</f>
        <v>Mölnlycke Health Care B.V.</v>
      </c>
      <c r="E10" s="2" t="s">
        <v>161</v>
      </c>
      <c r="F10" s="64" t="s">
        <v>9</v>
      </c>
      <c r="G10" s="71">
        <v>0</v>
      </c>
      <c r="H10" s="9"/>
      <c r="I10" s="9"/>
      <c r="J10" s="9"/>
      <c r="K10" s="9"/>
      <c r="L10" s="9"/>
      <c r="M10" s="9"/>
      <c r="N10" s="88"/>
      <c r="O10" s="9"/>
      <c r="P10" s="9"/>
      <c r="Q10" s="9"/>
      <c r="R10" s="9"/>
      <c r="S10" s="9"/>
      <c r="T10" s="9"/>
      <c r="U10" s="11" t="e">
        <f>AVERAGE(Table32[[#This Row],[PO nr]:[Delivery Date]])</f>
        <v>#DIV/0!</v>
      </c>
      <c r="V10" s="21"/>
      <c r="W10" s="39"/>
      <c r="X10" s="40"/>
      <c r="Y10" s="56"/>
      <c r="Z10" s="56"/>
    </row>
    <row r="11" spans="3:26" ht="14.4" x14ac:dyDescent="0.3">
      <c r="C11" t="str">
        <f>_xlfn.XLOOKUP(Table32[[#This Row],[Customer]],'Top 300'!C:C,'Top 300'!A:A,"0",2,1)</f>
        <v>0</v>
      </c>
      <c r="D11" s="30" t="str">
        <f>_xlfn.XLOOKUP(Table32[[#This Row],[File Name]],'Analyse 2 Detail 02-03'!A:A,'Analyse 2 Detail 02-03'!R:R,"Not Found",0,1)</f>
        <v>Mölnlycke Health Care B.V.</v>
      </c>
      <c r="E11" s="2" t="s">
        <v>143</v>
      </c>
      <c r="F11" s="64" t="s">
        <v>9</v>
      </c>
      <c r="G11" s="71">
        <v>0</v>
      </c>
      <c r="H11" s="9"/>
      <c r="I11" s="9"/>
      <c r="J11" s="9"/>
      <c r="K11" s="9"/>
      <c r="L11" s="9"/>
      <c r="M11" s="9"/>
      <c r="N11" s="88"/>
      <c r="O11" s="9"/>
      <c r="P11" s="9"/>
      <c r="Q11" s="9"/>
      <c r="R11" s="9"/>
      <c r="S11" s="9"/>
      <c r="T11" s="9"/>
      <c r="U11" s="11" t="e">
        <f>AVERAGE(Table32[[#This Row],[PO nr]:[Delivery Date]])</f>
        <v>#DIV/0!</v>
      </c>
      <c r="V11" s="21"/>
      <c r="X11" s="54"/>
      <c r="Y11" s="55"/>
      <c r="Z11" s="55"/>
    </row>
    <row r="12" spans="3:26" s="52" customFormat="1" ht="30" customHeight="1" x14ac:dyDescent="0.3">
      <c r="C12" t="str">
        <f>_xlfn.XLOOKUP(Table32[[#This Row],[Customer]],'Top 300'!C:C,'Top 300'!A:A,"0",2,1)</f>
        <v>0</v>
      </c>
      <c r="D12" s="43">
        <f>_xlfn.XLOOKUP(Table32[[#This Row],[File Name]],'Analyse 2 Detail 02-03'!A:A,'Analyse 2 Detail 02-03'!R:R,"Not Found",0,1)</f>
        <v>0</v>
      </c>
      <c r="E12" s="2" t="s">
        <v>173</v>
      </c>
      <c r="F12" s="64" t="s">
        <v>11</v>
      </c>
      <c r="G12" s="71">
        <v>0</v>
      </c>
      <c r="H12" s="46" t="s">
        <v>211</v>
      </c>
      <c r="I12" s="46" t="s">
        <v>211</v>
      </c>
      <c r="J12" s="46" t="s">
        <v>211</v>
      </c>
      <c r="K12" s="46" t="s">
        <v>211</v>
      </c>
      <c r="L12" s="46" t="s">
        <v>211</v>
      </c>
      <c r="M12" s="46" t="s">
        <v>211</v>
      </c>
      <c r="N12" s="46" t="s">
        <v>211</v>
      </c>
      <c r="O12" s="46" t="s">
        <v>211</v>
      </c>
      <c r="P12" s="46" t="s">
        <v>211</v>
      </c>
      <c r="Q12" s="46" t="s">
        <v>211</v>
      </c>
      <c r="R12" s="46" t="s">
        <v>211</v>
      </c>
      <c r="S12" s="46" t="s">
        <v>211</v>
      </c>
      <c r="T12" s="46" t="s">
        <v>211</v>
      </c>
      <c r="U12" s="11" t="e">
        <f>AVERAGE(Table32[[#This Row],[PO nr]:[Delivery Date]])</f>
        <v>#DIV/0!</v>
      </c>
      <c r="V12" s="50" t="s">
        <v>1816</v>
      </c>
      <c r="W12" s="21" t="s">
        <v>1814</v>
      </c>
      <c r="X12" s="51"/>
      <c r="Y12" s="57"/>
      <c r="Z12" s="57"/>
    </row>
    <row r="13" spans="3:26" s="52" customFormat="1" ht="28.5" customHeight="1" x14ac:dyDescent="0.3">
      <c r="C13" t="str">
        <f>_xlfn.XLOOKUP(Table32[[#This Row],[Customer]],'Top 300'!C:C,'Top 300'!A:A,"0",2,1)</f>
        <v>X</v>
      </c>
      <c r="D13" s="43" t="str">
        <f>_xlfn.XLOOKUP(Table32[[#This Row],[File Name]],'Analyse 2 Detail 02-03'!A:A,'Analyse 2 Detail 02-03'!R:R,"Not Found",0,1)</f>
        <v>Essity Belgium NV</v>
      </c>
      <c r="E13" s="2" t="s">
        <v>129</v>
      </c>
      <c r="F13" s="64" t="s">
        <v>9</v>
      </c>
      <c r="G13" s="71">
        <v>0</v>
      </c>
      <c r="H13" s="46"/>
      <c r="I13" s="46"/>
      <c r="J13" s="46"/>
      <c r="K13" s="46"/>
      <c r="L13" s="46"/>
      <c r="M13" s="46"/>
      <c r="N13" s="89"/>
      <c r="O13" s="60"/>
      <c r="P13" s="60"/>
      <c r="Q13" s="60"/>
      <c r="R13" s="60"/>
      <c r="S13" s="60"/>
      <c r="T13" s="61"/>
      <c r="U13" s="11" t="e">
        <f>AVERAGE(Table32[[#This Row],[PO nr]:[Delivery Date]])</f>
        <v>#DIV/0!</v>
      </c>
      <c r="V13" s="50"/>
      <c r="W13" s="83"/>
      <c r="X13" s="51"/>
      <c r="Y13" s="57"/>
      <c r="Z13" s="57"/>
    </row>
    <row r="14" spans="3:26" ht="14.4" x14ac:dyDescent="0.3">
      <c r="C14" t="str">
        <f>_xlfn.XLOOKUP(Table32[[#This Row],[Customer]],'Top 300'!C:C,'Top 300'!A:A,"0",2,1)</f>
        <v>X</v>
      </c>
      <c r="D14" s="30" t="str">
        <f>_xlfn.XLOOKUP(Table32[[#This Row],[File Name]],'Analyse 2 Detail 02-03'!A:A,'Analyse 2 Detail 02-03'!R:R,"Not Found",0,1)</f>
        <v>Essity Belgium NV</v>
      </c>
      <c r="E14" s="2" t="s">
        <v>129</v>
      </c>
      <c r="F14" s="64" t="s">
        <v>9</v>
      </c>
      <c r="G14" s="71">
        <v>0</v>
      </c>
      <c r="H14" s="9"/>
      <c r="I14" s="9"/>
      <c r="J14" s="9"/>
      <c r="K14" s="9"/>
      <c r="L14" s="9"/>
      <c r="M14" s="9"/>
      <c r="N14" s="88"/>
      <c r="O14" s="9"/>
      <c r="P14" s="9"/>
      <c r="Q14" s="9"/>
      <c r="R14" s="9"/>
      <c r="S14" s="9"/>
      <c r="T14" s="9"/>
      <c r="U14" s="11" t="e">
        <f>AVERAGE(Table32[[#This Row],[PO nr]:[Delivery Date]])</f>
        <v>#DIV/0!</v>
      </c>
      <c r="V14" s="21"/>
      <c r="X14" s="54"/>
      <c r="Y14" s="55"/>
      <c r="Z14" s="55"/>
    </row>
    <row r="15" spans="3:26" ht="14.4" x14ac:dyDescent="0.3">
      <c r="C15" t="str">
        <f>_xlfn.XLOOKUP(Table32[[#This Row],[Customer]],'Top 300'!C:C,'Top 300'!A:A,"0",2,1)</f>
        <v>0</v>
      </c>
      <c r="D15" s="30" t="str">
        <f>_xlfn.XLOOKUP(Table32[[#This Row],[File Name]],'Analyse 2 Detail 02-03'!A:A,'Analyse 2 Detail 02-03'!R:R,"Not Found",0,1)</f>
        <v>Essity Netherlands B.V.</v>
      </c>
      <c r="E15" s="2" t="s">
        <v>170</v>
      </c>
      <c r="F15" s="64" t="s">
        <v>9</v>
      </c>
      <c r="G15" s="71">
        <v>1</v>
      </c>
      <c r="H15" s="9">
        <v>1</v>
      </c>
      <c r="I15" s="9">
        <v>1</v>
      </c>
      <c r="J15" s="9">
        <v>1</v>
      </c>
      <c r="K15" s="9">
        <v>1</v>
      </c>
      <c r="L15" s="9">
        <v>1</v>
      </c>
      <c r="M15" s="9">
        <v>1</v>
      </c>
      <c r="N15" s="88">
        <v>1</v>
      </c>
      <c r="O15" s="9">
        <v>1</v>
      </c>
      <c r="P15" s="9">
        <v>1</v>
      </c>
      <c r="Q15" s="9">
        <v>1</v>
      </c>
      <c r="R15" s="9">
        <v>1</v>
      </c>
      <c r="S15" s="9">
        <v>1</v>
      </c>
      <c r="T15" s="10">
        <v>0.5</v>
      </c>
      <c r="U15" s="11">
        <f>AVERAGE(Table32[[#This Row],[PO nr]:[Delivery Date]])</f>
        <v>0.96153846153846156</v>
      </c>
      <c r="V15" s="84" t="s">
        <v>199</v>
      </c>
      <c r="W15" t="s">
        <v>200</v>
      </c>
      <c r="X15" s="54"/>
      <c r="Y15" s="56"/>
      <c r="Z15" s="56"/>
    </row>
    <row r="16" spans="3:26" ht="14.4" x14ac:dyDescent="0.3">
      <c r="C16" t="str">
        <f>_xlfn.XLOOKUP(Table32[[#This Row],[Customer]],'Top 300'!C:C,'Top 300'!A:A,"0",2,1)</f>
        <v>0</v>
      </c>
      <c r="D16" s="30" t="str">
        <f>_xlfn.XLOOKUP(Table32[[#This Row],[File Name]],'Analyse 2 Detail 02-03'!A:A,'Analyse 2 Detail 02-03'!R:R,"Not Found",0,1)</f>
        <v>Essity Netherlands B.V.</v>
      </c>
      <c r="E16" s="2" t="s">
        <v>106</v>
      </c>
      <c r="F16" s="64" t="s">
        <v>9</v>
      </c>
      <c r="G16" s="71">
        <v>2</v>
      </c>
      <c r="H16" s="9">
        <v>1</v>
      </c>
      <c r="I16" s="9">
        <v>1</v>
      </c>
      <c r="J16" s="9">
        <v>1</v>
      </c>
      <c r="K16" s="9">
        <v>1</v>
      </c>
      <c r="L16" s="9">
        <v>1</v>
      </c>
      <c r="M16" s="9">
        <v>1</v>
      </c>
      <c r="N16" s="88">
        <v>1</v>
      </c>
      <c r="O16" s="9">
        <v>1</v>
      </c>
      <c r="P16" s="9">
        <v>1</v>
      </c>
      <c r="Q16" s="9">
        <v>1</v>
      </c>
      <c r="R16" s="9">
        <v>1</v>
      </c>
      <c r="S16" s="9">
        <v>1</v>
      </c>
      <c r="T16" s="9">
        <v>0.5</v>
      </c>
      <c r="U16" s="11">
        <f>AVERAGE(Table32[[#This Row],[PO nr]:[Delivery Date]])</f>
        <v>0.96153846153846156</v>
      </c>
      <c r="V16" s="84" t="s">
        <v>199</v>
      </c>
      <c r="W16" t="s">
        <v>200</v>
      </c>
      <c r="X16" s="41"/>
      <c r="Y16" s="55"/>
      <c r="Z16" s="55"/>
    </row>
    <row r="17" spans="3:26" ht="14.4" x14ac:dyDescent="0.3">
      <c r="C17" t="str">
        <f>_xlfn.XLOOKUP(Table32[[#This Row],[Customer]],'Top 300'!C:C,'Top 300'!A:A,"0",2,1)</f>
        <v>X</v>
      </c>
      <c r="D17" s="30" t="str">
        <f>_xlfn.XLOOKUP(Table32[[#This Row],[File Name]],'Analyse 2 Detail 02-03'!A:A,'Analyse 2 Detail 02-03'!R:R,"Not Found",0,1)</f>
        <v>Essity Belgium NV</v>
      </c>
      <c r="E17" s="2" t="s">
        <v>136</v>
      </c>
      <c r="F17" s="64" t="s">
        <v>9</v>
      </c>
      <c r="G17" s="71">
        <v>4</v>
      </c>
      <c r="H17" s="9">
        <v>1</v>
      </c>
      <c r="I17" s="9">
        <v>1</v>
      </c>
      <c r="J17" s="9">
        <v>1</v>
      </c>
      <c r="K17" s="9">
        <v>1</v>
      </c>
      <c r="L17" s="9">
        <v>1</v>
      </c>
      <c r="M17" s="9">
        <v>1</v>
      </c>
      <c r="N17" s="88">
        <v>1</v>
      </c>
      <c r="O17" s="9">
        <v>1</v>
      </c>
      <c r="P17" s="9">
        <v>1</v>
      </c>
      <c r="Q17" s="9">
        <v>1</v>
      </c>
      <c r="R17" s="9">
        <v>1</v>
      </c>
      <c r="S17" s="9">
        <v>0.5</v>
      </c>
      <c r="T17" s="10">
        <v>0.5</v>
      </c>
      <c r="U17" s="11">
        <f>AVERAGE(Table32[[#This Row],[PO nr]:[Delivery Date]])</f>
        <v>0.92307692307692313</v>
      </c>
      <c r="V17" s="21" t="s">
        <v>195</v>
      </c>
      <c r="W17" s="39" t="s">
        <v>197</v>
      </c>
      <c r="X17" s="39" t="s">
        <v>2329</v>
      </c>
      <c r="Y17" s="21"/>
      <c r="Z17" s="21"/>
    </row>
    <row r="18" spans="3:26" ht="14.4" x14ac:dyDescent="0.3">
      <c r="C18" t="str">
        <f>_xlfn.XLOOKUP(Table32[[#This Row],[Customer]],'Top 300'!C:C,'Top 300'!A:A,"0",2,1)</f>
        <v>X</v>
      </c>
      <c r="D18" s="30" t="str">
        <f>_xlfn.XLOOKUP(Table32[[#This Row],[File Name]],'Analyse 2 Detail 02-03'!A:A,'Analyse 2 Detail 02-03'!R:R,"Not Found",0,1)</f>
        <v>Essity Belgium NV</v>
      </c>
      <c r="E18" s="2" t="s">
        <v>136</v>
      </c>
      <c r="F18" s="64" t="s">
        <v>9</v>
      </c>
      <c r="G18" s="71">
        <v>1</v>
      </c>
      <c r="H18" s="9">
        <v>1</v>
      </c>
      <c r="I18" s="9">
        <v>1</v>
      </c>
      <c r="J18" s="9">
        <v>1</v>
      </c>
      <c r="K18" s="9">
        <v>1</v>
      </c>
      <c r="L18" s="9">
        <v>1</v>
      </c>
      <c r="M18" s="9">
        <v>1</v>
      </c>
      <c r="N18" s="88">
        <v>1</v>
      </c>
      <c r="O18" s="9">
        <v>1</v>
      </c>
      <c r="P18" s="9">
        <v>1</v>
      </c>
      <c r="Q18" s="9">
        <v>1</v>
      </c>
      <c r="R18" s="9">
        <v>1</v>
      </c>
      <c r="S18" s="9">
        <v>1</v>
      </c>
      <c r="T18" s="10">
        <v>0.5</v>
      </c>
      <c r="U18" s="11">
        <f>AVERAGE(Table32[[#This Row],[PO nr]:[Delivery Date]])</f>
        <v>0.96153846153846156</v>
      </c>
      <c r="V18" s="21" t="s">
        <v>198</v>
      </c>
      <c r="W18" s="39" t="s">
        <v>197</v>
      </c>
      <c r="X18" s="39" t="s">
        <v>2329</v>
      </c>
      <c r="Y18" s="55"/>
      <c r="Z18" s="55"/>
    </row>
    <row r="19" spans="3:26" ht="14.4" x14ac:dyDescent="0.3">
      <c r="C19" t="str">
        <f>_xlfn.XLOOKUP(Table32[[#This Row],[Customer]],'Top 300'!C:C,'Top 300'!A:A,"0",2,1)</f>
        <v>0</v>
      </c>
      <c r="D19" s="30" t="str">
        <f>_xlfn.XLOOKUP(Table32[[#This Row],[File Name]],'Analyse 2 Detail 02-03'!A:A,'Analyse 2 Detail 02-03'!R:R,"Not Found",0,1)</f>
        <v>Essity Netherlands B.V. Health &amp; Medical</v>
      </c>
      <c r="E19" s="2" t="s">
        <v>166</v>
      </c>
      <c r="F19" s="64" t="s">
        <v>9</v>
      </c>
      <c r="G19" s="71">
        <v>0</v>
      </c>
      <c r="H19" s="9"/>
      <c r="I19" s="9"/>
      <c r="J19" s="9"/>
      <c r="K19" s="9"/>
      <c r="L19" s="9"/>
      <c r="M19" s="9"/>
      <c r="N19" s="88"/>
      <c r="O19" s="9"/>
      <c r="P19" s="9"/>
      <c r="Q19" s="9"/>
      <c r="R19" s="9"/>
      <c r="S19" s="9"/>
      <c r="T19" s="10"/>
      <c r="U19" s="11" t="e">
        <f>AVERAGE(Table32[[#This Row],[PO nr]:[Delivery Date]])</f>
        <v>#DIV/0!</v>
      </c>
      <c r="V19" s="21"/>
      <c r="W19" s="39"/>
      <c r="X19" s="39"/>
      <c r="Y19" s="21"/>
      <c r="Z19" s="21"/>
    </row>
    <row r="20" spans="3:26" ht="14.4" x14ac:dyDescent="0.3">
      <c r="C20" t="str">
        <f>_xlfn.XLOOKUP(Table32[[#This Row],[Customer]],'Top 300'!C:C,'Top 300'!A:A,"0",2,1)</f>
        <v>0</v>
      </c>
      <c r="D20" s="30" t="str">
        <f>_xlfn.XLOOKUP(Table32[[#This Row],[File Name]],'Analyse 2 Detail 02-03'!A:A,'Analyse 2 Detail 02-03'!R:R,"Not Found",0,1)</f>
        <v>Essity Netherlands B.V.</v>
      </c>
      <c r="E20" s="2" t="s">
        <v>128</v>
      </c>
      <c r="F20" s="64" t="s">
        <v>9</v>
      </c>
      <c r="G20" s="71">
        <v>0</v>
      </c>
      <c r="H20" s="9"/>
      <c r="I20" s="9"/>
      <c r="J20" s="9"/>
      <c r="K20" s="9"/>
      <c r="L20" s="9"/>
      <c r="M20" s="9"/>
      <c r="N20" s="88"/>
      <c r="O20" s="9"/>
      <c r="P20" s="9"/>
      <c r="Q20" s="9"/>
      <c r="R20" s="9"/>
      <c r="S20" s="9"/>
      <c r="T20" s="10"/>
      <c r="U20" s="11" t="e">
        <f>AVERAGE(Table32[[#This Row],[PO nr]:[Delivery Date]])</f>
        <v>#DIV/0!</v>
      </c>
      <c r="V20" s="21"/>
      <c r="W20" s="39"/>
      <c r="X20" s="40"/>
      <c r="Y20" s="56"/>
      <c r="Z20" s="56"/>
    </row>
    <row r="21" spans="3:26" ht="14.4" x14ac:dyDescent="0.3">
      <c r="C21" t="str">
        <f>_xlfn.XLOOKUP(Table32[[#This Row],[Customer]],'Top 300'!C:C,'Top 300'!A:A,"0",2,1)</f>
        <v>0</v>
      </c>
      <c r="D21" s="30" t="str">
        <f>_xlfn.XLOOKUP(Table32[[#This Row],[File Name]],'Analyse 2 Detail 02-03'!A:A,'Analyse 2 Detail 02-03'!R:R,"Not Found",0,1)</f>
        <v>Essity Netherlands B.V.</v>
      </c>
      <c r="E21" s="2" t="s">
        <v>167</v>
      </c>
      <c r="F21" s="64" t="s">
        <v>9</v>
      </c>
      <c r="G21" s="71">
        <v>0</v>
      </c>
      <c r="H21" s="9"/>
      <c r="I21" s="9"/>
      <c r="J21" s="9"/>
      <c r="K21" s="9"/>
      <c r="L21" s="9"/>
      <c r="M21" s="9"/>
      <c r="N21" s="88"/>
      <c r="O21" s="12"/>
      <c r="P21" s="9"/>
      <c r="Q21" s="9"/>
      <c r="R21" s="9"/>
      <c r="S21" s="9"/>
      <c r="T21" s="10"/>
      <c r="U21" s="11" t="e">
        <f>AVERAGE(Table32[[#This Row],[PO nr]:[Delivery Date]])</f>
        <v>#DIV/0!</v>
      </c>
      <c r="V21" s="21"/>
      <c r="W21" s="39"/>
      <c r="X21" s="39"/>
      <c r="Y21" s="21"/>
      <c r="Z21" s="21"/>
    </row>
    <row r="22" spans="3:26" s="52" customFormat="1" ht="28.2" customHeight="1" x14ac:dyDescent="0.3">
      <c r="C22" t="str">
        <f>_xlfn.XLOOKUP(Table32[[#This Row],[Customer]],'Top 300'!C:C,'Top 300'!A:A,"0",2,1)</f>
        <v>0</v>
      </c>
      <c r="D22" s="43" t="str">
        <f>_xlfn.XLOOKUP(Table32[[#This Row],[File Name]],'Analyse 2 Detail 02-03'!A:A,'Analyse 2 Detail 02-03'!R:R,"Not Found",0,1)</f>
        <v>Essity Netherlands B.V.</v>
      </c>
      <c r="E22" s="2" t="s">
        <v>144</v>
      </c>
      <c r="F22" s="64" t="s">
        <v>9</v>
      </c>
      <c r="G22" s="71">
        <v>1</v>
      </c>
      <c r="H22" s="46">
        <v>1</v>
      </c>
      <c r="I22" s="46">
        <v>1</v>
      </c>
      <c r="J22" s="46">
        <v>1</v>
      </c>
      <c r="K22" s="46">
        <v>1</v>
      </c>
      <c r="L22" s="46">
        <v>1</v>
      </c>
      <c r="M22" s="46">
        <v>1</v>
      </c>
      <c r="N22" s="90">
        <v>1</v>
      </c>
      <c r="O22" s="46">
        <v>1</v>
      </c>
      <c r="P22" s="46">
        <v>1</v>
      </c>
      <c r="Q22" s="46">
        <v>1</v>
      </c>
      <c r="R22" s="46">
        <v>1</v>
      </c>
      <c r="S22" s="46">
        <v>1</v>
      </c>
      <c r="T22" s="46">
        <v>0.5</v>
      </c>
      <c r="U22" s="11">
        <f>AVERAGE(Table32[[#This Row],[PO nr]:[Delivery Date]])</f>
        <v>0.96153846153846156</v>
      </c>
      <c r="V22" s="84" t="s">
        <v>199</v>
      </c>
      <c r="W22" t="s">
        <v>200</v>
      </c>
      <c r="X22" s="51"/>
      <c r="Y22" s="58"/>
      <c r="Z22" s="58"/>
    </row>
    <row r="23" spans="3:26" ht="14.4" x14ac:dyDescent="0.3">
      <c r="C23" t="str">
        <f>_xlfn.XLOOKUP(Table32[[#This Row],[Customer]],'Top 300'!C:C,'Top 300'!A:A,"0",2,1)</f>
        <v>0</v>
      </c>
      <c r="D23" s="30" t="str">
        <f>_xlfn.XLOOKUP(Table32[[#This Row],[File Name]],'Analyse 2 Detail 02-03'!A:A,'Analyse 2 Detail 02-03'!R:R,"Not Found",0,1)</f>
        <v>Essity Netherlands B.V.</v>
      </c>
      <c r="E23" s="2" t="s">
        <v>163</v>
      </c>
      <c r="F23" s="64" t="s">
        <v>9</v>
      </c>
      <c r="G23" s="71">
        <v>1</v>
      </c>
      <c r="H23" s="46">
        <v>1</v>
      </c>
      <c r="I23" s="46">
        <v>1</v>
      </c>
      <c r="J23" s="46">
        <v>1</v>
      </c>
      <c r="K23" s="46">
        <v>1</v>
      </c>
      <c r="L23" s="46">
        <v>1</v>
      </c>
      <c r="M23" s="46">
        <v>1</v>
      </c>
      <c r="N23" s="90">
        <v>1</v>
      </c>
      <c r="O23" s="46">
        <v>1</v>
      </c>
      <c r="P23" s="46">
        <v>1</v>
      </c>
      <c r="Q23" s="46">
        <v>1</v>
      </c>
      <c r="R23" s="46">
        <v>1</v>
      </c>
      <c r="S23" s="46">
        <v>1</v>
      </c>
      <c r="T23" s="46">
        <v>0.5</v>
      </c>
      <c r="U23" s="11">
        <f>AVERAGE(Table32[[#This Row],[PO nr]:[Delivery Date]])</f>
        <v>0.96153846153846156</v>
      </c>
      <c r="V23" s="84" t="s">
        <v>199</v>
      </c>
      <c r="W23" t="s">
        <v>200</v>
      </c>
      <c r="X23" s="41"/>
      <c r="Y23" s="55"/>
      <c r="Z23" s="55"/>
    </row>
    <row r="24" spans="3:26" ht="14.4" x14ac:dyDescent="0.3">
      <c r="C24" t="str">
        <f>_xlfn.XLOOKUP(Table32[[#This Row],[Customer]],'Top 300'!C:C,'Top 300'!A:A,"0",2,1)</f>
        <v>0</v>
      </c>
      <c r="D24" s="30" t="str">
        <f>_xlfn.XLOOKUP(Table32[[#This Row],[File Name]],'Analyse 2 Detail 02-03'!A:A,'Analyse 2 Detail 02-03'!R:R,"Not Found",0,1)</f>
        <v>Essity Netherlands B.V.</v>
      </c>
      <c r="E24" s="2" t="s">
        <v>159</v>
      </c>
      <c r="F24" s="64" t="s">
        <v>9</v>
      </c>
      <c r="G24" s="71">
        <v>1</v>
      </c>
      <c r="H24" s="9">
        <v>1</v>
      </c>
      <c r="I24" s="9">
        <v>1</v>
      </c>
      <c r="J24" s="9">
        <v>1</v>
      </c>
      <c r="K24" s="9">
        <v>1</v>
      </c>
      <c r="L24" s="9">
        <v>1</v>
      </c>
      <c r="M24" s="9">
        <v>1</v>
      </c>
      <c r="N24" s="88">
        <v>1</v>
      </c>
      <c r="O24" s="9">
        <v>1</v>
      </c>
      <c r="P24" s="9">
        <v>1</v>
      </c>
      <c r="Q24" s="9">
        <v>1</v>
      </c>
      <c r="R24" s="9">
        <v>1</v>
      </c>
      <c r="S24" s="9">
        <v>1</v>
      </c>
      <c r="T24" s="9">
        <v>0.5</v>
      </c>
      <c r="U24" s="11">
        <f>AVERAGE(Table32[[#This Row],[PO nr]:[Delivery Date]])</f>
        <v>0.96153846153846156</v>
      </c>
      <c r="V24" s="84" t="s">
        <v>199</v>
      </c>
      <c r="W24" t="s">
        <v>200</v>
      </c>
      <c r="X24" s="39"/>
      <c r="Y24" s="21"/>
      <c r="Z24" s="21"/>
    </row>
    <row r="25" spans="3:26" ht="14.4" x14ac:dyDescent="0.3">
      <c r="C25" t="str">
        <f>_xlfn.XLOOKUP(Table32[[#This Row],[Customer]],'Top 300'!C:C,'Top 300'!A:A,"0",2,1)</f>
        <v>X</v>
      </c>
      <c r="D25" s="30" t="str">
        <f>_xlfn.XLOOKUP(Table32[[#This Row],[File Name]],'Analyse 2 Detail 02-03'!A:A,'Analyse 2 Detail 02-03'!R:R,"Not Found",0,1)</f>
        <v>Becton Dickinson BV</v>
      </c>
      <c r="E25" s="2" t="s">
        <v>185</v>
      </c>
      <c r="F25" s="64" t="s">
        <v>9</v>
      </c>
      <c r="G25" s="71">
        <v>0</v>
      </c>
      <c r="H25" s="9"/>
      <c r="I25" s="9"/>
      <c r="J25" s="9"/>
      <c r="K25" s="9"/>
      <c r="L25" s="9"/>
      <c r="M25" s="9"/>
      <c r="N25" s="88"/>
      <c r="O25" s="9"/>
      <c r="P25" s="9"/>
      <c r="Q25" s="9"/>
      <c r="R25" s="9"/>
      <c r="S25" s="9"/>
      <c r="T25" s="9"/>
      <c r="U25" s="11" t="e">
        <f>AVERAGE(Table32[[#This Row],[PO nr]:[Delivery Date]])</f>
        <v>#DIV/0!</v>
      </c>
      <c r="V25" s="21"/>
      <c r="W25" s="39"/>
      <c r="X25" s="41"/>
      <c r="Y25" s="55"/>
      <c r="Z25" s="56"/>
    </row>
    <row r="26" spans="3:26" ht="14.4" x14ac:dyDescent="0.3">
      <c r="C26" t="str">
        <f>_xlfn.XLOOKUP(Table32[[#This Row],[Customer]],'Top 300'!C:C,'Top 300'!A:A,"0",2,1)</f>
        <v>X</v>
      </c>
      <c r="D26" s="30" t="str">
        <f>_xlfn.XLOOKUP(Table32[[#This Row],[File Name]],'Analyse 2 Detail 02-03'!A:A,'Analyse 2 Detail 02-03'!R:R,"Not Found",0,1)</f>
        <v>Becton Dickinson BV</v>
      </c>
      <c r="E26" s="2" t="s">
        <v>172</v>
      </c>
      <c r="F26" s="64" t="s">
        <v>9</v>
      </c>
      <c r="G26" s="71">
        <v>0</v>
      </c>
      <c r="H26" s="9"/>
      <c r="I26" s="9"/>
      <c r="J26" s="9"/>
      <c r="K26" s="9"/>
      <c r="L26" s="9"/>
      <c r="M26" s="9"/>
      <c r="N26" s="88"/>
      <c r="O26" s="9"/>
      <c r="P26" s="9"/>
      <c r="Q26" s="9"/>
      <c r="R26" s="9"/>
      <c r="S26" s="9"/>
      <c r="T26" s="9"/>
      <c r="U26" s="11" t="e">
        <f>AVERAGE(Table32[[#This Row],[PO nr]:[Delivery Date]])</f>
        <v>#DIV/0!</v>
      </c>
      <c r="V26" s="21"/>
      <c r="W26" s="39"/>
      <c r="X26" s="39"/>
      <c r="Y26" s="21"/>
      <c r="Z26" s="21"/>
    </row>
    <row r="27" spans="3:26" ht="14.4" x14ac:dyDescent="0.3">
      <c r="C27" t="str">
        <f>_xlfn.XLOOKUP(Table32[[#This Row],[Customer]],'Top 300'!C:C,'Top 300'!A:A,"0",2,1)</f>
        <v>X</v>
      </c>
      <c r="D27" s="30" t="str">
        <f>_xlfn.XLOOKUP(Table32[[#This Row],[File Name]],'Analyse 2 Detail 02-03'!A:A,'Analyse 2 Detail 02-03'!R:R,"Not Found",0,1)</f>
        <v>Becton Dickinson BV</v>
      </c>
      <c r="E27" s="2" t="s">
        <v>152</v>
      </c>
      <c r="F27" s="64" t="s">
        <v>9</v>
      </c>
      <c r="G27" s="71">
        <v>2</v>
      </c>
      <c r="H27" s="9">
        <v>1</v>
      </c>
      <c r="I27" s="9">
        <v>1</v>
      </c>
      <c r="J27" s="9">
        <v>1</v>
      </c>
      <c r="K27" s="9">
        <v>1</v>
      </c>
      <c r="L27" s="9">
        <v>1</v>
      </c>
      <c r="M27" s="9">
        <v>1</v>
      </c>
      <c r="N27" s="88">
        <v>1</v>
      </c>
      <c r="O27" s="9">
        <v>1</v>
      </c>
      <c r="P27" s="9">
        <v>1</v>
      </c>
      <c r="Q27" s="9">
        <v>1</v>
      </c>
      <c r="R27" s="9">
        <v>0.5</v>
      </c>
      <c r="S27" s="9">
        <v>1</v>
      </c>
      <c r="T27" s="9">
        <v>1</v>
      </c>
      <c r="U27" s="11">
        <f>AVERAGE(Table32[[#This Row],[PO nr]:[Delivery Date]])</f>
        <v>0.96153846153846156</v>
      </c>
      <c r="V27" s="21" t="s">
        <v>201</v>
      </c>
      <c r="W27" s="39" t="s">
        <v>202</v>
      </c>
      <c r="X27" s="39" t="s">
        <v>2332</v>
      </c>
      <c r="Y27" s="21"/>
      <c r="Z27" s="21"/>
    </row>
    <row r="28" spans="3:26" ht="57.6" x14ac:dyDescent="0.3">
      <c r="C28" t="str">
        <f>_xlfn.XLOOKUP(Table32[[#This Row],[Customer]],'Top 300'!C:C,'Top 300'!A:A,"0",2,1)</f>
        <v>0</v>
      </c>
      <c r="D28" s="30" t="str">
        <f>_xlfn.XLOOKUP(Table32[[#This Row],[File Name]],'Analyse 2 Detail 02-03'!A:A,'Analyse 2 Detail 02-03'!R:R,"Not Found",0,1)</f>
        <v>Medline Int'l Belgium BV</v>
      </c>
      <c r="E28" s="2" t="s">
        <v>142</v>
      </c>
      <c r="F28" s="64" t="s">
        <v>9</v>
      </c>
      <c r="G28" s="71">
        <v>2</v>
      </c>
      <c r="H28" s="25">
        <v>1</v>
      </c>
      <c r="I28" s="25">
        <v>1</v>
      </c>
      <c r="J28" s="25">
        <v>1</v>
      </c>
      <c r="K28" s="25">
        <v>1</v>
      </c>
      <c r="L28" s="25">
        <v>1</v>
      </c>
      <c r="M28" s="9">
        <v>1</v>
      </c>
      <c r="N28" s="88">
        <v>1</v>
      </c>
      <c r="O28" s="25">
        <v>1</v>
      </c>
      <c r="P28" s="25">
        <v>0.5</v>
      </c>
      <c r="Q28" s="25">
        <v>1</v>
      </c>
      <c r="R28" s="25">
        <v>0.5</v>
      </c>
      <c r="S28" s="25">
        <v>1</v>
      </c>
      <c r="T28" s="10">
        <v>1</v>
      </c>
      <c r="U28" s="11">
        <f>AVERAGE(Table32[[#This Row],[PO nr]:[Delivery Date]])</f>
        <v>0.92307692307692313</v>
      </c>
      <c r="V28" s="21" t="s">
        <v>203</v>
      </c>
      <c r="W28" s="21" t="s">
        <v>204</v>
      </c>
      <c r="X28" s="50" t="s">
        <v>2334</v>
      </c>
      <c r="Y28" s="21"/>
      <c r="Z28" s="21"/>
    </row>
    <row r="29" spans="3:26" ht="15" customHeight="1" x14ac:dyDescent="0.3">
      <c r="C29" t="str">
        <f>_xlfn.XLOOKUP(Table32[[#This Row],[Customer]],'Top 300'!C:C,'Top 300'!A:A,"0",2,1)</f>
        <v>0</v>
      </c>
      <c r="D29" s="30" t="str">
        <f>_xlfn.XLOOKUP(Table32[[#This Row],[File Name]],'Analyse 2 Detail 02-03'!A:A,'Analyse 2 Detail 02-03'!R:R,"Not Found",0,1)</f>
        <v>VYGON NEDERLAND B.V.</v>
      </c>
      <c r="E29" s="2" t="s">
        <v>121</v>
      </c>
      <c r="F29" s="64" t="s">
        <v>11</v>
      </c>
      <c r="G29" s="71">
        <v>0</v>
      </c>
      <c r="M29" s="9"/>
      <c r="T29" s="23"/>
      <c r="U29" s="11" t="e">
        <f>AVERAGE(Table32[[#This Row],[PO nr]:[Delivery Date]])</f>
        <v>#DIV/0!</v>
      </c>
      <c r="V29" s="21"/>
      <c r="W29" s="21"/>
      <c r="X29" s="21"/>
      <c r="Y29" s="21"/>
      <c r="Z29" s="21"/>
    </row>
    <row r="30" spans="3:26" ht="15" customHeight="1" x14ac:dyDescent="0.3">
      <c r="C30" t="str">
        <f>_xlfn.XLOOKUP(Table32[[#This Row],[Customer]],'Top 300'!C:C,'Top 300'!A:A,"0",2,1)</f>
        <v>0</v>
      </c>
      <c r="D30" s="30" t="str">
        <f>_xlfn.XLOOKUP(Table32[[#This Row],[File Name]],'Analyse 2 Detail 02-03'!A:A,'Analyse 2 Detail 02-03'!R:R,"Not Found",0,1)</f>
        <v>VYGON NEDERLAND B.V.</v>
      </c>
      <c r="E30" s="2" t="s">
        <v>121</v>
      </c>
      <c r="F30" s="64" t="s">
        <v>11</v>
      </c>
      <c r="G30" s="71">
        <v>0</v>
      </c>
      <c r="M30" s="9"/>
      <c r="T30" s="23"/>
      <c r="U30" s="11" t="e">
        <f>AVERAGE(Table32[[#This Row],[PO nr]:[Delivery Date]])</f>
        <v>#DIV/0!</v>
      </c>
      <c r="V30" s="21"/>
      <c r="W30" s="21"/>
      <c r="X30" s="21"/>
      <c r="Y30" s="21"/>
      <c r="Z30" s="21"/>
    </row>
    <row r="31" spans="3:26" ht="57.6" x14ac:dyDescent="0.3">
      <c r="C31" t="str">
        <f>_xlfn.XLOOKUP(Table32[[#This Row],[Customer]],'Top 300'!C:C,'Top 300'!A:A,"0",2,1)</f>
        <v>0</v>
      </c>
      <c r="D31" s="30" t="str">
        <f>_xlfn.XLOOKUP(Table32[[#This Row],[File Name]],'Analyse 2 Detail 02-03'!A:A,'Analyse 2 Detail 02-03'!R:R,"Not Found",0,1)</f>
        <v>VYGON NEDERLAND B.V.</v>
      </c>
      <c r="E31" s="2" t="s">
        <v>121</v>
      </c>
      <c r="F31" s="64" t="s">
        <v>9</v>
      </c>
      <c r="G31" s="71">
        <v>3</v>
      </c>
      <c r="H31" s="25">
        <v>1</v>
      </c>
      <c r="I31" s="25">
        <v>1</v>
      </c>
      <c r="J31" s="25">
        <v>1</v>
      </c>
      <c r="K31" s="25">
        <v>1</v>
      </c>
      <c r="L31" s="25">
        <v>1</v>
      </c>
      <c r="M31" s="9">
        <v>0.5</v>
      </c>
      <c r="N31" s="88">
        <v>1</v>
      </c>
      <c r="O31" s="25">
        <v>1</v>
      </c>
      <c r="P31" s="25">
        <v>1</v>
      </c>
      <c r="Q31" s="25">
        <v>1</v>
      </c>
      <c r="R31" s="25">
        <v>0.5</v>
      </c>
      <c r="S31" s="25">
        <v>0.5</v>
      </c>
      <c r="T31" s="10">
        <v>1</v>
      </c>
      <c r="U31" s="11">
        <f>AVERAGE(Table32[[#This Row],[PO nr]:[Delivery Date]])</f>
        <v>0.88461538461538458</v>
      </c>
      <c r="V31" s="84" t="s">
        <v>205</v>
      </c>
      <c r="W31" s="21" t="s">
        <v>206</v>
      </c>
      <c r="X31" s="50" t="s">
        <v>2335</v>
      </c>
      <c r="Y31" s="21"/>
      <c r="Z31" s="21"/>
    </row>
    <row r="32" spans="3:26" ht="15" customHeight="1" x14ac:dyDescent="0.3">
      <c r="C32" t="str">
        <f>_xlfn.XLOOKUP(Table32[[#This Row],[Customer]],'Top 300'!C:C,'Top 300'!A:A,"0",2,1)</f>
        <v>0</v>
      </c>
      <c r="D32" s="30" t="str">
        <f>_xlfn.XLOOKUP(Table32[[#This Row],[File Name]],'Analyse 2 Detail 02-03'!A:A,'Analyse 2 Detail 02-03'!R:R,"Not Found",0,1)</f>
        <v>King Belgium SA/NV</v>
      </c>
      <c r="E32" s="2" t="s">
        <v>181</v>
      </c>
      <c r="F32" s="64" t="s">
        <v>9</v>
      </c>
      <c r="G32" s="71">
        <v>0</v>
      </c>
      <c r="M32" s="9"/>
      <c r="T32" s="23"/>
      <c r="U32" s="11" t="e">
        <f>AVERAGE(Table32[[#This Row],[PO nr]:[Delivery Date]])</f>
        <v>#DIV/0!</v>
      </c>
      <c r="V32" s="21"/>
      <c r="W32" s="21"/>
      <c r="X32" s="21"/>
      <c r="Y32" s="21"/>
      <c r="Z32" s="21"/>
    </row>
    <row r="33" spans="3:26" ht="15" customHeight="1" x14ac:dyDescent="0.3">
      <c r="C33" t="str">
        <f>_xlfn.XLOOKUP(Table32[[#This Row],[Customer]],'Top 300'!C:C,'Top 300'!A:A,"0",2,1)</f>
        <v>0</v>
      </c>
      <c r="D33" s="30" t="str">
        <f>_xlfn.XLOOKUP(Table32[[#This Row],[File Name]],'Analyse 2 Detail 02-03'!A:A,'Analyse 2 Detail 02-03'!R:R,"Not Found",0,1)</f>
        <v>King Belgium SA/NV</v>
      </c>
      <c r="E33" s="2" t="s">
        <v>120</v>
      </c>
      <c r="F33" s="64" t="s">
        <v>9</v>
      </c>
      <c r="G33" s="71">
        <v>0</v>
      </c>
      <c r="M33" s="9"/>
      <c r="T33" s="23"/>
      <c r="U33" s="11" t="e">
        <f>AVERAGE(Table32[[#This Row],[PO nr]:[Delivery Date]])</f>
        <v>#DIV/0!</v>
      </c>
      <c r="V33" s="21"/>
      <c r="W33" s="21"/>
      <c r="X33" s="21"/>
      <c r="Y33" s="21"/>
      <c r="Z33" s="21"/>
    </row>
    <row r="34" spans="3:26" ht="15" customHeight="1" x14ac:dyDescent="0.3">
      <c r="C34" t="str">
        <f>_xlfn.XLOOKUP(Table32[[#This Row],[Customer]],'Top 300'!C:C,'Top 300'!A:A,"0",2,1)</f>
        <v>0</v>
      </c>
      <c r="D34" s="30" t="str">
        <f>_xlfn.XLOOKUP(Table32[[#This Row],[File Name]],'Analyse 2 Detail 02-03'!A:A,'Analyse 2 Detail 02-03'!R:R,"Not Found",0,1)</f>
        <v>King Belgium SA/NV</v>
      </c>
      <c r="E34" s="2" t="s">
        <v>145</v>
      </c>
      <c r="F34" s="64" t="s">
        <v>9</v>
      </c>
      <c r="G34" s="71">
        <v>0</v>
      </c>
      <c r="M34" s="9"/>
      <c r="T34" s="23"/>
      <c r="U34" s="11" t="e">
        <f>AVERAGE(Table32[[#This Row],[PO nr]:[Delivery Date]])</f>
        <v>#DIV/0!</v>
      </c>
      <c r="V34" s="21"/>
      <c r="W34" s="21"/>
      <c r="X34" s="21"/>
      <c r="Y34" s="21"/>
      <c r="Z34" s="21"/>
    </row>
    <row r="35" spans="3:26" ht="15" customHeight="1" x14ac:dyDescent="0.3">
      <c r="C35" t="str">
        <f>_xlfn.XLOOKUP(Table32[[#This Row],[Customer]],'Top 300'!C:C,'Top 300'!A:A,"0",2,1)</f>
        <v>0</v>
      </c>
      <c r="D35" s="30" t="str">
        <f>_xlfn.XLOOKUP(Table32[[#This Row],[File Name]],'Analyse 2 Detail 02-03'!A:A,'Analyse 2 Detail 02-03'!R:R,"Not Found",0,1)</f>
        <v>King Belgium SA/NV</v>
      </c>
      <c r="E35" s="2" t="s">
        <v>182</v>
      </c>
      <c r="F35" s="64" t="s">
        <v>9</v>
      </c>
      <c r="G35" s="71">
        <v>0</v>
      </c>
      <c r="M35" s="9"/>
      <c r="T35" s="23"/>
      <c r="U35" s="11" t="e">
        <f>AVERAGE(Table32[[#This Row],[PO nr]:[Delivery Date]])</f>
        <v>#DIV/0!</v>
      </c>
      <c r="V35" s="21"/>
      <c r="W35" s="21"/>
      <c r="X35" s="21"/>
      <c r="Y35" s="21"/>
      <c r="Z35" s="21"/>
    </row>
    <row r="36" spans="3:26" ht="15" customHeight="1" x14ac:dyDescent="0.3">
      <c r="C36" t="str">
        <f>_xlfn.XLOOKUP(Table32[[#This Row],[Customer]],'Top 300'!C:C,'Top 300'!A:A,"0",2,1)</f>
        <v>0</v>
      </c>
      <c r="D36" s="30" t="str">
        <f>_xlfn.XLOOKUP(Table32[[#This Row],[File Name]],'Analyse 2 Detail 02-03'!A:A,'Analyse 2 Detail 02-03'!R:R,"Not Found",0,1)</f>
        <v>King Belgium SA/NV</v>
      </c>
      <c r="E36" s="2" t="s">
        <v>151</v>
      </c>
      <c r="F36" s="64" t="s">
        <v>9</v>
      </c>
      <c r="G36" s="71">
        <v>1</v>
      </c>
      <c r="H36" s="25">
        <v>1</v>
      </c>
      <c r="I36" s="25">
        <v>1</v>
      </c>
      <c r="J36" s="25">
        <v>1</v>
      </c>
      <c r="K36" s="25">
        <v>1</v>
      </c>
      <c r="L36" s="25">
        <v>1</v>
      </c>
      <c r="M36" s="9">
        <v>1</v>
      </c>
      <c r="N36" s="88">
        <v>0</v>
      </c>
      <c r="O36" s="25">
        <v>1</v>
      </c>
      <c r="P36" s="25">
        <v>1</v>
      </c>
      <c r="Q36" s="25">
        <v>1</v>
      </c>
      <c r="R36" s="25">
        <v>1</v>
      </c>
      <c r="S36" s="25">
        <v>1</v>
      </c>
      <c r="T36" s="10">
        <v>1</v>
      </c>
      <c r="U36" s="11">
        <f>AVERAGE(Table32[[#This Row],[PO nr]:[Delivery Date]])</f>
        <v>0.92307692307692313</v>
      </c>
      <c r="V36" s="21" t="s">
        <v>207</v>
      </c>
      <c r="W36" s="21"/>
      <c r="X36" s="21" t="s">
        <v>2324</v>
      </c>
      <c r="Y36" s="21"/>
      <c r="Z36" s="21"/>
    </row>
    <row r="37" spans="3:26" ht="15" customHeight="1" x14ac:dyDescent="0.3">
      <c r="C37" t="str">
        <f>_xlfn.XLOOKUP(Table32[[#This Row],[Customer]],'Top 300'!C:C,'Top 300'!A:A,"0",2,1)</f>
        <v>0</v>
      </c>
      <c r="D37" s="30" t="str">
        <f>_xlfn.XLOOKUP(Table32[[#This Row],[File Name]],'Analyse 2 Detail 02-03'!A:A,'Analyse 2 Detail 02-03'!R:R,"Not Found",0,1)</f>
        <v>King Belgium SA/NV</v>
      </c>
      <c r="E37" s="2" t="s">
        <v>171</v>
      </c>
      <c r="F37" s="64" t="s">
        <v>9</v>
      </c>
      <c r="G37" s="71">
        <v>0</v>
      </c>
      <c r="M37" s="9"/>
      <c r="T37" s="23"/>
      <c r="U37" s="11" t="e">
        <f>AVERAGE(Table32[[#This Row],[PO nr]:[Delivery Date]])</f>
        <v>#DIV/0!</v>
      </c>
      <c r="V37" s="21"/>
      <c r="W37" s="21"/>
      <c r="X37" s="21"/>
      <c r="Y37" s="21"/>
      <c r="Z37" s="21"/>
    </row>
    <row r="38" spans="3:26" ht="15" customHeight="1" x14ac:dyDescent="0.3">
      <c r="C38" t="str">
        <f>_xlfn.XLOOKUP(Table32[[#This Row],[Customer]],'Top 300'!C:C,'Top 300'!A:A,"0",2,1)</f>
        <v>0</v>
      </c>
      <c r="D38" s="30" t="str">
        <f>_xlfn.XLOOKUP(Table32[[#This Row],[File Name]],'Analyse 2 Detail 02-03'!A:A,'Analyse 2 Detail 02-03'!R:R,"Not Found",0,1)</f>
        <v>Duomed Belgium NV/SA</v>
      </c>
      <c r="E38" s="2" t="s">
        <v>113</v>
      </c>
      <c r="F38" s="64" t="s">
        <v>9</v>
      </c>
      <c r="G38" s="71">
        <v>0</v>
      </c>
      <c r="M38" s="9"/>
      <c r="T38" s="23"/>
      <c r="U38" s="11" t="e">
        <f>AVERAGE(Table32[[#This Row],[PO nr]:[Delivery Date]])</f>
        <v>#DIV/0!</v>
      </c>
      <c r="V38" s="21"/>
      <c r="W38" s="21"/>
      <c r="X38" s="21"/>
      <c r="Y38" s="21"/>
      <c r="Z38" s="21"/>
    </row>
    <row r="39" spans="3:26" ht="15" customHeight="1" x14ac:dyDescent="0.3">
      <c r="C39" t="str">
        <f>_xlfn.XLOOKUP(Table32[[#This Row],[Customer]],'Top 300'!C:C,'Top 300'!A:A,"0",2,1)</f>
        <v>0</v>
      </c>
      <c r="D39" s="30" t="str">
        <f>_xlfn.XLOOKUP(Table32[[#This Row],[File Name]],'Analyse 2 Detail 02-03'!A:A,'Analyse 2 Detail 02-03'!R:R,"Not Found",0,1)</f>
        <v>King Belgium SA/NV</v>
      </c>
      <c r="E39" s="2" t="s">
        <v>134</v>
      </c>
      <c r="F39" s="64" t="s">
        <v>9</v>
      </c>
      <c r="G39" s="71">
        <v>0</v>
      </c>
      <c r="M39" s="9"/>
      <c r="T39" s="23"/>
      <c r="U39" s="11" t="e">
        <f>AVERAGE(Table32[[#This Row],[PO nr]:[Delivery Date]])</f>
        <v>#DIV/0!</v>
      </c>
      <c r="V39" s="21"/>
      <c r="W39" s="21"/>
      <c r="X39" s="21"/>
      <c r="Y39" s="21"/>
      <c r="Z39" s="21"/>
    </row>
    <row r="40" spans="3:26" ht="15" customHeight="1" x14ac:dyDescent="0.3">
      <c r="C40" t="str">
        <f>_xlfn.XLOOKUP(Table32[[#This Row],[Customer]],'Top 300'!C:C,'Top 300'!A:A,"0",2,1)</f>
        <v>0</v>
      </c>
      <c r="D40" s="30">
        <f>_xlfn.XLOOKUP(Table32[[#This Row],[File Name]],'Analyse 2 Detail 02-03'!A:A,'Analyse 2 Detail 02-03'!R:R,"Not Found",0,1)</f>
        <v>0</v>
      </c>
      <c r="E40" s="2" t="s">
        <v>125</v>
      </c>
      <c r="F40" s="64" t="s">
        <v>11</v>
      </c>
      <c r="G40" s="71">
        <v>0</v>
      </c>
      <c r="H40" s="46" t="s">
        <v>211</v>
      </c>
      <c r="I40" s="46" t="s">
        <v>211</v>
      </c>
      <c r="J40" s="46" t="s">
        <v>211</v>
      </c>
      <c r="K40" s="46" t="s">
        <v>211</v>
      </c>
      <c r="L40" s="46" t="s">
        <v>211</v>
      </c>
      <c r="M40" s="46" t="s">
        <v>211</v>
      </c>
      <c r="N40" s="46" t="s">
        <v>211</v>
      </c>
      <c r="O40" s="46" t="s">
        <v>211</v>
      </c>
      <c r="P40" s="46" t="s">
        <v>211</v>
      </c>
      <c r="Q40" s="46" t="s">
        <v>211</v>
      </c>
      <c r="R40" s="46" t="s">
        <v>211</v>
      </c>
      <c r="S40" s="46" t="s">
        <v>211</v>
      </c>
      <c r="T40" s="46" t="s">
        <v>211</v>
      </c>
      <c r="U40" s="11" t="e">
        <f>AVERAGE(Table32[[#This Row],[PO nr]:[Delivery Date]])</f>
        <v>#DIV/0!</v>
      </c>
      <c r="V40" s="21" t="s">
        <v>1817</v>
      </c>
      <c r="W40" s="21" t="s">
        <v>1814</v>
      </c>
      <c r="X40" s="21"/>
      <c r="Y40" s="21"/>
      <c r="Z40" s="21"/>
    </row>
    <row r="41" spans="3:26" ht="15" customHeight="1" x14ac:dyDescent="0.3">
      <c r="C41" t="str">
        <f>_xlfn.XLOOKUP(Table32[[#This Row],[Customer]],'Top 300'!C:C,'Top 300'!A:A,"0",2,1)</f>
        <v>0</v>
      </c>
      <c r="D41" s="30" t="str">
        <f>_xlfn.XLOOKUP(Table32[[#This Row],[File Name]],'Analyse 2 Detail 02-03'!A:A,'Analyse 2 Detail 02-03'!R:R,"Not Found",0,1)</f>
        <v>Medline International Netherlands B.V.</v>
      </c>
      <c r="E41" s="2" t="s">
        <v>111</v>
      </c>
      <c r="F41" s="64" t="s">
        <v>9</v>
      </c>
      <c r="G41" s="71">
        <v>1</v>
      </c>
      <c r="H41" s="25">
        <v>1</v>
      </c>
      <c r="I41" s="25">
        <v>1</v>
      </c>
      <c r="J41" s="25">
        <v>1</v>
      </c>
      <c r="K41" s="25">
        <v>1</v>
      </c>
      <c r="L41" s="25">
        <v>1</v>
      </c>
      <c r="M41" s="9">
        <v>1</v>
      </c>
      <c r="N41" s="88">
        <v>1</v>
      </c>
      <c r="O41" s="25">
        <v>1</v>
      </c>
      <c r="P41" s="25">
        <v>1</v>
      </c>
      <c r="Q41" s="25">
        <v>1</v>
      </c>
      <c r="R41" s="25">
        <v>1</v>
      </c>
      <c r="S41" s="25">
        <v>1</v>
      </c>
      <c r="T41" s="10">
        <v>1</v>
      </c>
      <c r="U41" s="11">
        <f>AVERAGE(Table32[[#This Row],[PO nr]:[Delivery Date]])</f>
        <v>1</v>
      </c>
      <c r="V41" s="21"/>
      <c r="W41" s="21"/>
      <c r="X41" s="21"/>
      <c r="Y41" s="21"/>
      <c r="Z41" s="21" t="s">
        <v>209</v>
      </c>
    </row>
    <row r="42" spans="3:26" ht="15" customHeight="1" x14ac:dyDescent="0.3">
      <c r="C42" t="str">
        <f>_xlfn.XLOOKUP(Table32[[#This Row],[Customer]],'Top 300'!C:C,'Top 300'!A:A,"0",2,1)</f>
        <v>0</v>
      </c>
      <c r="D42" s="30" t="str">
        <f>_xlfn.XLOOKUP(Table32[[#This Row],[File Name]],'Analyse 2 Detail 02-03'!A:A,'Analyse 2 Detail 02-03'!R:R,"Not Found",0,1)</f>
        <v>N.V. PAUL HARTMANN S.A.</v>
      </c>
      <c r="E42" s="2" t="s">
        <v>133</v>
      </c>
      <c r="F42" s="64" t="s">
        <v>9</v>
      </c>
      <c r="G42" s="71">
        <v>0</v>
      </c>
      <c r="M42" s="9"/>
      <c r="T42" s="23"/>
      <c r="U42" s="11" t="e">
        <f>AVERAGE(Table32[[#This Row],[PO nr]:[Delivery Date]])</f>
        <v>#DIV/0!</v>
      </c>
      <c r="V42" s="21"/>
      <c r="W42" s="21"/>
      <c r="X42" s="21"/>
      <c r="Y42" s="21"/>
      <c r="Z42" s="21"/>
    </row>
    <row r="43" spans="3:26" ht="15" customHeight="1" x14ac:dyDescent="0.3">
      <c r="C43" t="str">
        <f>_xlfn.XLOOKUP(Table32[[#This Row],[Customer]],'Top 300'!C:C,'Top 300'!A:A,"0",2,1)</f>
        <v>0</v>
      </c>
      <c r="D43" s="30" t="str">
        <f>_xlfn.XLOOKUP(Table32[[#This Row],[File Name]],'Analyse 2 Detail 02-03'!A:A,'Analyse 2 Detail 02-03'!R:R,"Not Found",0,1)</f>
        <v>N.V. PAUL HARTMANN S.A.</v>
      </c>
      <c r="E43" s="2" t="s">
        <v>133</v>
      </c>
      <c r="F43" s="64" t="s">
        <v>9</v>
      </c>
      <c r="G43" s="71">
        <v>0</v>
      </c>
      <c r="M43" s="9"/>
      <c r="T43" s="23"/>
      <c r="U43" s="11" t="e">
        <f>AVERAGE(Table32[[#This Row],[PO nr]:[Delivery Date]])</f>
        <v>#DIV/0!</v>
      </c>
      <c r="V43" s="21"/>
      <c r="W43" s="21"/>
      <c r="X43" s="21"/>
      <c r="Y43" s="21"/>
      <c r="Z43" s="21"/>
    </row>
    <row r="44" spans="3:26" ht="15" customHeight="1" x14ac:dyDescent="0.3">
      <c r="C44" t="str">
        <f>_xlfn.XLOOKUP(Table32[[#This Row],[Customer]],'Top 300'!C:C,'Top 300'!A:A,"0",2,1)</f>
        <v>0</v>
      </c>
      <c r="D44" s="30" t="str">
        <f>_xlfn.XLOOKUP(Table32[[#This Row],[File Name]],'Analyse 2 Detail 02-03'!A:A,'Analyse 2 Detail 02-03'!R:R,"Not Found",0,1)</f>
        <v>N.V. PAUL HARTMANN S.A.</v>
      </c>
      <c r="E44" s="2" t="s">
        <v>133</v>
      </c>
      <c r="F44" s="64" t="s">
        <v>9</v>
      </c>
      <c r="G44" s="71">
        <v>0</v>
      </c>
      <c r="M44" s="9"/>
      <c r="T44" s="23"/>
      <c r="U44" s="11" t="e">
        <f>AVERAGE(Table32[[#This Row],[PO nr]:[Delivery Date]])</f>
        <v>#DIV/0!</v>
      </c>
      <c r="V44" s="21"/>
      <c r="W44" s="21"/>
      <c r="X44" s="21"/>
      <c r="Y44" s="21"/>
      <c r="Z44" s="21"/>
    </row>
    <row r="45" spans="3:26" ht="15" customHeight="1" x14ac:dyDescent="0.3">
      <c r="C45" t="str">
        <f>_xlfn.XLOOKUP(Table32[[#This Row],[Customer]],'Top 300'!C:C,'Top 300'!A:A,"0",2,1)</f>
        <v>0</v>
      </c>
      <c r="D45" s="30" t="str">
        <f>_xlfn.XLOOKUP(Table32[[#This Row],[File Name]],'Analyse 2 Detail 02-03'!A:A,'Analyse 2 Detail 02-03'!R:R,"Not Found",0,1)</f>
        <v>N.V. PAUL HARTMANN S.A.</v>
      </c>
      <c r="E45" s="2" t="s">
        <v>133</v>
      </c>
      <c r="F45" s="64" t="s">
        <v>9</v>
      </c>
      <c r="G45" s="71">
        <v>0</v>
      </c>
      <c r="M45" s="9"/>
      <c r="T45" s="23"/>
      <c r="U45" s="11" t="e">
        <f>AVERAGE(Table32[[#This Row],[PO nr]:[Delivery Date]])</f>
        <v>#DIV/0!</v>
      </c>
      <c r="V45" s="21"/>
      <c r="W45" s="21"/>
      <c r="X45" s="21"/>
      <c r="Y45" s="21"/>
      <c r="Z45" s="21"/>
    </row>
    <row r="46" spans="3:26" ht="15" customHeight="1" x14ac:dyDescent="0.3">
      <c r="C46" t="str">
        <f>_xlfn.XLOOKUP(Table32[[#This Row],[Customer]],'Top 300'!C:C,'Top 300'!A:A,"0",2,1)</f>
        <v>0</v>
      </c>
      <c r="D46" s="30" t="str">
        <f>_xlfn.XLOOKUP(Table32[[#This Row],[File Name]],'Analyse 2 Detail 02-03'!A:A,'Analyse 2 Detail 02-03'!R:R,"Not Found",0,1)</f>
        <v>Paul Hartmann B.V.</v>
      </c>
      <c r="E46" s="2" t="s">
        <v>124</v>
      </c>
      <c r="F46" s="64" t="s">
        <v>9</v>
      </c>
      <c r="G46" s="71">
        <v>0</v>
      </c>
      <c r="M46" s="9"/>
      <c r="T46" s="23"/>
      <c r="U46" s="11" t="e">
        <f>AVERAGE(Table32[[#This Row],[PO nr]:[Delivery Date]])</f>
        <v>#DIV/0!</v>
      </c>
      <c r="V46" s="21"/>
      <c r="W46" s="21"/>
      <c r="X46" s="21"/>
      <c r="Y46" s="21"/>
      <c r="Z46" s="21"/>
    </row>
    <row r="47" spans="3:26" ht="15" customHeight="1" x14ac:dyDescent="0.3">
      <c r="C47" t="str">
        <f>_xlfn.XLOOKUP(Table32[[#This Row],[Customer]],'Top 300'!C:C,'Top 300'!A:A,"0",2,1)</f>
        <v>0</v>
      </c>
      <c r="D47" s="30" t="str">
        <f>_xlfn.XLOOKUP(Table32[[#This Row],[File Name]],'Analyse 2 Detail 02-03'!A:A,'Analyse 2 Detail 02-03'!R:R,"Not Found",0,1)</f>
        <v>Paul Hartmann B.V.</v>
      </c>
      <c r="E47" s="2" t="s">
        <v>148</v>
      </c>
      <c r="F47" s="64" t="s">
        <v>9</v>
      </c>
      <c r="G47" s="71">
        <v>0</v>
      </c>
      <c r="M47" s="9"/>
      <c r="T47" s="23"/>
      <c r="U47" s="11" t="e">
        <f>AVERAGE(Table32[[#This Row],[PO nr]:[Delivery Date]])</f>
        <v>#DIV/0!</v>
      </c>
      <c r="V47" s="21"/>
      <c r="W47" s="21"/>
      <c r="X47" s="21"/>
      <c r="Y47" s="21"/>
      <c r="Z47" s="21"/>
    </row>
    <row r="48" spans="3:26" ht="15" customHeight="1" x14ac:dyDescent="0.3">
      <c r="C48" t="str">
        <f>_xlfn.XLOOKUP(Table32[[#This Row],[Customer]],'Top 300'!C:C,'Top 300'!A:A,"0",2,1)</f>
        <v>0</v>
      </c>
      <c r="D48" s="30" t="str">
        <f>_xlfn.XLOOKUP(Table32[[#This Row],[File Name]],'Analyse 2 Detail 02-03'!A:A,'Analyse 2 Detail 02-03'!R:R,"Not Found",0,1)</f>
        <v>Paul Hartmann B.V.</v>
      </c>
      <c r="E48" s="2" t="s">
        <v>176</v>
      </c>
      <c r="F48" s="64" t="s">
        <v>9</v>
      </c>
      <c r="G48" s="71">
        <v>0</v>
      </c>
      <c r="M48" s="9"/>
      <c r="T48" s="23"/>
      <c r="U48" s="11" t="e">
        <f>AVERAGE(Table32[[#This Row],[PO nr]:[Delivery Date]])</f>
        <v>#DIV/0!</v>
      </c>
      <c r="V48" s="21"/>
      <c r="W48" s="21"/>
      <c r="X48" s="21"/>
      <c r="Y48" s="21"/>
      <c r="Z48" s="21"/>
    </row>
    <row r="49" spans="3:26" ht="15" customHeight="1" x14ac:dyDescent="0.3">
      <c r="C49" t="str">
        <f>_xlfn.XLOOKUP(Table32[[#This Row],[Customer]],'Top 300'!C:C,'Top 300'!A:A,"0",2,1)</f>
        <v>0</v>
      </c>
      <c r="D49" s="30">
        <f>_xlfn.XLOOKUP(Table32[[#This Row],[File Name]],'Analyse 2 Detail 02-03'!A:A,'Analyse 2 Detail 02-03'!R:R,"Not Found",0,1)</f>
        <v>0</v>
      </c>
      <c r="E49" s="2" t="s">
        <v>116</v>
      </c>
      <c r="F49" s="64" t="s">
        <v>11</v>
      </c>
      <c r="G49" s="71">
        <v>0</v>
      </c>
      <c r="H49" s="46" t="s">
        <v>211</v>
      </c>
      <c r="I49" s="46" t="s">
        <v>211</v>
      </c>
      <c r="J49" s="46" t="s">
        <v>211</v>
      </c>
      <c r="K49" s="46" t="s">
        <v>211</v>
      </c>
      <c r="L49" s="46" t="s">
        <v>211</v>
      </c>
      <c r="M49" s="46" t="s">
        <v>211</v>
      </c>
      <c r="N49" s="46" t="s">
        <v>211</v>
      </c>
      <c r="O49" s="46" t="s">
        <v>211</v>
      </c>
      <c r="P49" s="46" t="s">
        <v>211</v>
      </c>
      <c r="Q49" s="46" t="s">
        <v>211</v>
      </c>
      <c r="R49" s="46" t="s">
        <v>211</v>
      </c>
      <c r="S49" s="46" t="s">
        <v>211</v>
      </c>
      <c r="T49" s="46" t="s">
        <v>211</v>
      </c>
      <c r="U49" s="11" t="e">
        <f>AVERAGE(Table32[[#This Row],[PO nr]:[Delivery Date]])</f>
        <v>#DIV/0!</v>
      </c>
      <c r="V49" s="21" t="s">
        <v>1818</v>
      </c>
      <c r="W49" s="21" t="s">
        <v>1814</v>
      </c>
      <c r="X49" s="21"/>
      <c r="Y49" s="21"/>
      <c r="Z49" s="21"/>
    </row>
    <row r="50" spans="3:26" ht="15" customHeight="1" x14ac:dyDescent="0.3">
      <c r="C50" t="str">
        <f>_xlfn.XLOOKUP(Table32[[#This Row],[Customer]],'Top 300'!C:C,'Top 300'!A:A,"0",2,1)</f>
        <v>0</v>
      </c>
      <c r="D50" s="30">
        <f>_xlfn.XLOOKUP(Table32[[#This Row],[File Name]],'Analyse 2 Detail 02-03'!A:A,'Analyse 2 Detail 02-03'!R:R,"Not Found",0,1)</f>
        <v>0</v>
      </c>
      <c r="E50" s="2" t="s">
        <v>116</v>
      </c>
      <c r="F50" s="64" t="s">
        <v>11</v>
      </c>
      <c r="G50" s="71">
        <v>0</v>
      </c>
      <c r="H50" s="46" t="s">
        <v>211</v>
      </c>
      <c r="I50" s="46" t="s">
        <v>211</v>
      </c>
      <c r="J50" s="46" t="s">
        <v>211</v>
      </c>
      <c r="K50" s="46" t="s">
        <v>211</v>
      </c>
      <c r="L50" s="46" t="s">
        <v>211</v>
      </c>
      <c r="M50" s="46" t="s">
        <v>211</v>
      </c>
      <c r="N50" s="46" t="s">
        <v>211</v>
      </c>
      <c r="O50" s="46" t="s">
        <v>211</v>
      </c>
      <c r="P50" s="46" t="s">
        <v>211</v>
      </c>
      <c r="Q50" s="46" t="s">
        <v>211</v>
      </c>
      <c r="R50" s="46" t="s">
        <v>211</v>
      </c>
      <c r="S50" s="46" t="s">
        <v>211</v>
      </c>
      <c r="T50" s="46" t="s">
        <v>211</v>
      </c>
      <c r="U50" s="11" t="e">
        <f>AVERAGE(Table32[[#This Row],[PO nr]:[Delivery Date]])</f>
        <v>#DIV/0!</v>
      </c>
      <c r="V50" s="21" t="s">
        <v>1818</v>
      </c>
      <c r="W50" s="21" t="s">
        <v>1814</v>
      </c>
      <c r="X50" s="21"/>
      <c r="Y50" s="21"/>
      <c r="Z50" s="21"/>
    </row>
    <row r="51" spans="3:26" ht="15" customHeight="1" x14ac:dyDescent="0.3">
      <c r="C51" t="str">
        <f>_xlfn.XLOOKUP(Table32[[#This Row],[Customer]],'Top 300'!C:C,'Top 300'!A:A,"0",2,1)</f>
        <v>0</v>
      </c>
      <c r="D51" s="30">
        <f>_xlfn.XLOOKUP(Table32[[#This Row],[File Name]],'Analyse 2 Detail 02-03'!A:A,'Analyse 2 Detail 02-03'!R:R,"Not Found",0,1)</f>
        <v>0</v>
      </c>
      <c r="E51" s="2" t="s">
        <v>116</v>
      </c>
      <c r="F51" s="64" t="s">
        <v>11</v>
      </c>
      <c r="G51" s="71">
        <v>0</v>
      </c>
      <c r="H51" s="46" t="s">
        <v>211</v>
      </c>
      <c r="I51" s="46" t="s">
        <v>211</v>
      </c>
      <c r="J51" s="46" t="s">
        <v>211</v>
      </c>
      <c r="K51" s="46" t="s">
        <v>211</v>
      </c>
      <c r="L51" s="46" t="s">
        <v>211</v>
      </c>
      <c r="M51" s="46" t="s">
        <v>211</v>
      </c>
      <c r="N51" s="46" t="s">
        <v>211</v>
      </c>
      <c r="O51" s="46" t="s">
        <v>211</v>
      </c>
      <c r="P51" s="46" t="s">
        <v>211</v>
      </c>
      <c r="Q51" s="46" t="s">
        <v>211</v>
      </c>
      <c r="R51" s="46" t="s">
        <v>211</v>
      </c>
      <c r="S51" s="46" t="s">
        <v>211</v>
      </c>
      <c r="T51" s="46" t="s">
        <v>211</v>
      </c>
      <c r="U51" s="11" t="e">
        <f>AVERAGE(Table32[[#This Row],[PO nr]:[Delivery Date]])</f>
        <v>#DIV/0!</v>
      </c>
      <c r="V51" s="21" t="s">
        <v>1818</v>
      </c>
      <c r="W51" s="21" t="s">
        <v>1814</v>
      </c>
      <c r="X51" s="21"/>
      <c r="Y51" s="21"/>
      <c r="Z51" s="21"/>
    </row>
    <row r="52" spans="3:26" ht="15" customHeight="1" x14ac:dyDescent="0.3">
      <c r="C52" t="str">
        <f>_xlfn.XLOOKUP(Table32[[#This Row],[Customer]],'Top 300'!C:C,'Top 300'!A:A,"0",2,1)</f>
        <v>0</v>
      </c>
      <c r="D52" s="30">
        <f>_xlfn.XLOOKUP(Table32[[#This Row],[File Name]],'Analyse 2 Detail 02-03'!A:A,'Analyse 2 Detail 02-03'!R:R,"Not Found",0,1)</f>
        <v>0</v>
      </c>
      <c r="E52" s="2" t="s">
        <v>119</v>
      </c>
      <c r="F52" s="64" t="s">
        <v>11</v>
      </c>
      <c r="G52" s="71">
        <v>0</v>
      </c>
      <c r="H52" s="46" t="s">
        <v>211</v>
      </c>
      <c r="I52" s="46" t="s">
        <v>211</v>
      </c>
      <c r="J52" s="46" t="s">
        <v>211</v>
      </c>
      <c r="K52" s="46" t="s">
        <v>211</v>
      </c>
      <c r="L52" s="46" t="s">
        <v>211</v>
      </c>
      <c r="M52" s="46" t="s">
        <v>211</v>
      </c>
      <c r="N52" s="46" t="s">
        <v>211</v>
      </c>
      <c r="O52" s="46" t="s">
        <v>211</v>
      </c>
      <c r="P52" s="46" t="s">
        <v>211</v>
      </c>
      <c r="Q52" s="46" t="s">
        <v>211</v>
      </c>
      <c r="R52" s="46" t="s">
        <v>211</v>
      </c>
      <c r="S52" s="46" t="s">
        <v>211</v>
      </c>
      <c r="T52" s="46" t="s">
        <v>211</v>
      </c>
      <c r="U52" s="11" t="e">
        <f>AVERAGE(Table32[[#This Row],[PO nr]:[Delivery Date]])</f>
        <v>#DIV/0!</v>
      </c>
      <c r="V52" s="21" t="s">
        <v>1819</v>
      </c>
      <c r="W52" s="21" t="s">
        <v>1814</v>
      </c>
      <c r="X52" s="21"/>
      <c r="Y52" s="21"/>
      <c r="Z52" s="21"/>
    </row>
    <row r="53" spans="3:26" ht="15" customHeight="1" x14ac:dyDescent="0.3">
      <c r="C53" t="str">
        <f>_xlfn.XLOOKUP(Table32[[#This Row],[Customer]],'Top 300'!C:C,'Top 300'!A:A,"0",2,1)</f>
        <v>0</v>
      </c>
      <c r="D53" s="30">
        <f>_xlfn.XLOOKUP(Table32[[#This Row],[File Name]],'Analyse 2 Detail 02-03'!A:A,'Analyse 2 Detail 02-03'!R:R,"Not Found",0,1)</f>
        <v>0</v>
      </c>
      <c r="E53" s="2" t="s">
        <v>119</v>
      </c>
      <c r="F53" s="64" t="s">
        <v>11</v>
      </c>
      <c r="G53" s="71">
        <v>0</v>
      </c>
      <c r="H53" s="46" t="s">
        <v>211</v>
      </c>
      <c r="I53" s="46" t="s">
        <v>211</v>
      </c>
      <c r="J53" s="46" t="s">
        <v>211</v>
      </c>
      <c r="K53" s="46" t="s">
        <v>211</v>
      </c>
      <c r="L53" s="46" t="s">
        <v>211</v>
      </c>
      <c r="M53" s="46" t="s">
        <v>211</v>
      </c>
      <c r="N53" s="46" t="s">
        <v>211</v>
      </c>
      <c r="O53" s="46" t="s">
        <v>211</v>
      </c>
      <c r="P53" s="46" t="s">
        <v>211</v>
      </c>
      <c r="Q53" s="46" t="s">
        <v>211</v>
      </c>
      <c r="R53" s="46" t="s">
        <v>211</v>
      </c>
      <c r="S53" s="46" t="s">
        <v>211</v>
      </c>
      <c r="T53" s="46" t="s">
        <v>211</v>
      </c>
      <c r="U53" s="11" t="e">
        <f>AVERAGE(Table32[[#This Row],[PO nr]:[Delivery Date]])</f>
        <v>#DIV/0!</v>
      </c>
      <c r="V53" s="21" t="s">
        <v>1819</v>
      </c>
      <c r="W53" s="21" t="s">
        <v>1814</v>
      </c>
      <c r="X53" s="21"/>
      <c r="Y53" s="21"/>
      <c r="Z53" s="21"/>
    </row>
    <row r="54" spans="3:26" ht="15" customHeight="1" x14ac:dyDescent="0.3">
      <c r="C54" t="str">
        <f>_xlfn.XLOOKUP(Table32[[#This Row],[Customer]],'Top 300'!C:C,'Top 300'!A:A,"0",2,1)</f>
        <v>0</v>
      </c>
      <c r="D54" s="30">
        <f>_xlfn.XLOOKUP(Table32[[#This Row],[File Name]],'Analyse 2 Detail 02-03'!A:A,'Analyse 2 Detail 02-03'!R:R,"Not Found",0,1)</f>
        <v>0</v>
      </c>
      <c r="E54" s="2" t="s">
        <v>184</v>
      </c>
      <c r="F54" s="64" t="s">
        <v>9</v>
      </c>
      <c r="G54" s="71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9">
        <v>0</v>
      </c>
      <c r="N54" s="85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3">
        <v>0</v>
      </c>
      <c r="U54" s="11">
        <f>AVERAGE(Table32[[#This Row],[PO nr]:[Delivery Date]])</f>
        <v>0</v>
      </c>
      <c r="V54" s="21" t="s">
        <v>1815</v>
      </c>
      <c r="W54" s="21" t="s">
        <v>1814</v>
      </c>
      <c r="X54" s="21"/>
      <c r="Y54" s="21"/>
      <c r="Z54" s="21"/>
    </row>
    <row r="55" spans="3:26" ht="15" customHeight="1" x14ac:dyDescent="0.3">
      <c r="C55" t="str">
        <f>_xlfn.XLOOKUP(Table32[[#This Row],[Customer]],'Top 300'!C:C,'Top 300'!A:A,"0",2,1)</f>
        <v>0</v>
      </c>
      <c r="D55" s="30" t="str">
        <f>_xlfn.XLOOKUP(Table32[[#This Row],[File Name]],'Analyse 2 Detail 02-03'!A:A,'Analyse 2 Detail 02-03'!R:R,"Not Found",0,1)</f>
        <v>Lyreco Belgium SA/NV</v>
      </c>
      <c r="E55" s="2" t="s">
        <v>147</v>
      </c>
      <c r="F55" s="64" t="s">
        <v>9</v>
      </c>
      <c r="G55" s="71">
        <v>2</v>
      </c>
      <c r="H55" s="25">
        <v>1</v>
      </c>
      <c r="I55" s="25">
        <v>1</v>
      </c>
      <c r="J55" s="25">
        <v>1</v>
      </c>
      <c r="K55" s="25">
        <v>1</v>
      </c>
      <c r="L55" s="25">
        <v>1</v>
      </c>
      <c r="M55" s="9">
        <v>1</v>
      </c>
      <c r="N55" s="88">
        <v>1</v>
      </c>
      <c r="O55" s="25">
        <v>1</v>
      </c>
      <c r="P55" s="25">
        <v>1</v>
      </c>
      <c r="Q55" s="25">
        <v>1</v>
      </c>
      <c r="R55" s="25">
        <v>0.5</v>
      </c>
      <c r="S55" s="25">
        <v>1</v>
      </c>
      <c r="T55" s="10">
        <v>0.5</v>
      </c>
      <c r="U55" s="11">
        <f>AVERAGE(Table32[[#This Row],[PO nr]:[Delivery Date]])</f>
        <v>0.92307692307692313</v>
      </c>
      <c r="V55" s="21" t="s">
        <v>210</v>
      </c>
      <c r="W55" s="21"/>
      <c r="X55" s="21"/>
      <c r="Y55" s="21"/>
      <c r="Z55" s="21"/>
    </row>
    <row r="56" spans="3:26" ht="15" customHeight="1" x14ac:dyDescent="0.3">
      <c r="C56" t="str">
        <f>_xlfn.XLOOKUP(Table32[[#This Row],[Customer]],'Top 300'!C:C,'Top 300'!A:A,"0",2,1)</f>
        <v>0</v>
      </c>
      <c r="D56" s="30" t="str">
        <f>_xlfn.XLOOKUP(Table32[[#This Row],[File Name]],'Analyse 2 Detail 02-03'!A:A,'Analyse 2 Detail 02-03'!R:R,"Not Found",0,1)</f>
        <v>Lyreco Belgium SA/NV</v>
      </c>
      <c r="E56" s="2" t="s">
        <v>127</v>
      </c>
      <c r="F56" s="64" t="s">
        <v>9</v>
      </c>
      <c r="G56" s="71">
        <v>2</v>
      </c>
      <c r="H56" s="25">
        <v>1</v>
      </c>
      <c r="I56" s="25">
        <v>1</v>
      </c>
      <c r="J56" s="25">
        <v>1</v>
      </c>
      <c r="K56" s="25">
        <v>1</v>
      </c>
      <c r="L56" s="25">
        <v>1</v>
      </c>
      <c r="M56" s="9">
        <v>1</v>
      </c>
      <c r="N56" s="88">
        <v>1</v>
      </c>
      <c r="O56" s="25">
        <v>1</v>
      </c>
      <c r="P56" s="25">
        <v>1</v>
      </c>
      <c r="Q56" s="25">
        <v>1</v>
      </c>
      <c r="R56" s="25">
        <v>0.5</v>
      </c>
      <c r="S56" s="25">
        <v>1</v>
      </c>
      <c r="T56" s="10">
        <v>0.5</v>
      </c>
      <c r="U56" s="11">
        <f>AVERAGE(Table32[[#This Row],[PO nr]:[Delivery Date]])</f>
        <v>0.92307692307692313</v>
      </c>
      <c r="V56" s="21" t="s">
        <v>210</v>
      </c>
      <c r="W56" s="21"/>
      <c r="X56" s="21"/>
      <c r="Y56" s="21"/>
      <c r="Z56" s="21"/>
    </row>
    <row r="57" spans="3:26" ht="15" customHeight="1" x14ac:dyDescent="0.3">
      <c r="C57" t="str">
        <f>_xlfn.XLOOKUP(Table32[[#This Row],[Customer]],'Top 300'!C:C,'Top 300'!A:A,"0",2,1)</f>
        <v>0</v>
      </c>
      <c r="D57" s="30" t="str">
        <f>_xlfn.XLOOKUP(Table32[[#This Row],[File Name]],'Analyse 2 Detail 02-03'!A:A,'Analyse 2 Detail 02-03'!R:R,"Not Found",0,1)</f>
        <v>Lyreco Belgium SA/NV</v>
      </c>
      <c r="E57" s="2" t="s">
        <v>107</v>
      </c>
      <c r="F57" s="64" t="s">
        <v>9</v>
      </c>
      <c r="G57" s="71">
        <v>2</v>
      </c>
      <c r="H57" s="25">
        <v>1</v>
      </c>
      <c r="I57" s="25">
        <v>1</v>
      </c>
      <c r="J57" s="25">
        <v>1</v>
      </c>
      <c r="K57" s="25">
        <v>1</v>
      </c>
      <c r="L57" s="25">
        <v>1</v>
      </c>
      <c r="M57" s="9">
        <v>1</v>
      </c>
      <c r="N57" s="88">
        <v>1</v>
      </c>
      <c r="O57" s="25">
        <v>1</v>
      </c>
      <c r="P57" s="25">
        <v>1</v>
      </c>
      <c r="Q57" s="25">
        <v>1</v>
      </c>
      <c r="R57" s="25">
        <v>0.5</v>
      </c>
      <c r="S57" s="25">
        <v>1</v>
      </c>
      <c r="T57" s="10">
        <v>0.5</v>
      </c>
      <c r="U57" s="11">
        <f>AVERAGE(Table32[[#This Row],[PO nr]:[Delivery Date]])</f>
        <v>0.92307692307692313</v>
      </c>
      <c r="V57" s="21" t="s">
        <v>210</v>
      </c>
      <c r="W57" s="21"/>
      <c r="X57" s="21"/>
      <c r="Y57" s="21"/>
      <c r="Z57" s="21"/>
    </row>
    <row r="58" spans="3:26" ht="15" customHeight="1" x14ac:dyDescent="0.3">
      <c r="C58" t="str">
        <f>_xlfn.XLOOKUP(Table32[[#This Row],[Customer]],'Top 300'!C:C,'Top 300'!A:A,"0",2,1)</f>
        <v>0</v>
      </c>
      <c r="D58" s="30" t="str">
        <f>_xlfn.XLOOKUP(Table32[[#This Row],[File Name]],'Analyse 2 Detail 02-03'!A:A,'Analyse 2 Detail 02-03'!R:R,"Not Found",0,1)</f>
        <v>Mediq Nederland B.V.</v>
      </c>
      <c r="E58" s="2" t="s">
        <v>131</v>
      </c>
      <c r="F58" s="64" t="s">
        <v>9</v>
      </c>
      <c r="G58" s="71">
        <v>0</v>
      </c>
      <c r="M58" s="9"/>
      <c r="T58" s="23"/>
      <c r="U58" s="11" t="e">
        <f>AVERAGE(Table32[[#This Row],[PO nr]:[Delivery Date]])</f>
        <v>#DIV/0!</v>
      </c>
      <c r="V58" s="21"/>
      <c r="W58" s="21"/>
      <c r="X58" s="21"/>
      <c r="Y58" s="21"/>
      <c r="Z58" s="21"/>
    </row>
    <row r="59" spans="3:26" ht="15" customHeight="1" x14ac:dyDescent="0.3">
      <c r="C59" t="str">
        <f>_xlfn.XLOOKUP(Table32[[#This Row],[Customer]],'Top 300'!C:C,'Top 300'!A:A,"0",2,1)</f>
        <v>0</v>
      </c>
      <c r="D59" s="30" t="str">
        <f>_xlfn.XLOOKUP(Table32[[#This Row],[File Name]],'Analyse 2 Detail 02-03'!A:A,'Analyse 2 Detail 02-03'!R:R,"Not Found",0,1)</f>
        <v>Mediq Nederland B.V.</v>
      </c>
      <c r="E59" s="2" t="s">
        <v>158</v>
      </c>
      <c r="F59" s="64" t="s">
        <v>9</v>
      </c>
      <c r="G59" s="71">
        <v>0</v>
      </c>
      <c r="M59" s="9"/>
      <c r="T59" s="23"/>
      <c r="U59" s="11" t="e">
        <f>AVERAGE(Table32[[#This Row],[PO nr]:[Delivery Date]])</f>
        <v>#DIV/0!</v>
      </c>
      <c r="V59" s="21"/>
      <c r="W59" s="21"/>
      <c r="X59" s="21"/>
      <c r="Y59" s="21"/>
      <c r="Z59" s="21"/>
    </row>
    <row r="60" spans="3:26" ht="15" customHeight="1" x14ac:dyDescent="0.3">
      <c r="C60" t="str">
        <f>_xlfn.XLOOKUP(Table32[[#This Row],[Customer]],'Top 300'!C:C,'Top 300'!A:A,"0",2,1)</f>
        <v>0</v>
      </c>
      <c r="D60" s="30">
        <f>_xlfn.XLOOKUP(Table32[[#This Row],[File Name]],'Analyse 2 Detail 02-03'!A:A,'Analyse 2 Detail 02-03'!R:R,"Not Found",0,1)</f>
        <v>0</v>
      </c>
      <c r="E60" s="2" t="s">
        <v>162</v>
      </c>
      <c r="F60" s="64" t="s">
        <v>11</v>
      </c>
      <c r="G60" s="71">
        <v>0</v>
      </c>
      <c r="M60" s="9"/>
      <c r="T60" s="23"/>
      <c r="U60" s="11" t="e">
        <f>AVERAGE(Table32[[#This Row],[PO nr]:[Delivery Date]])</f>
        <v>#DIV/0!</v>
      </c>
      <c r="V60" s="21"/>
      <c r="W60" s="21"/>
      <c r="X60" s="21"/>
      <c r="Y60" s="21"/>
      <c r="Z60" s="21"/>
    </row>
    <row r="61" spans="3:26" ht="15" customHeight="1" x14ac:dyDescent="0.3">
      <c r="C61" t="str">
        <f>_xlfn.XLOOKUP(Table32[[#This Row],[Customer]],'Top 300'!C:C,'Top 300'!A:A,"0",2,1)</f>
        <v>0</v>
      </c>
      <c r="D61" s="30" t="str">
        <f>_xlfn.XLOOKUP(Table32[[#This Row],[File Name]],'Analyse 2 Detail 02-03'!A:A,'Analyse 2 Detail 02-03'!R:R,"Not Found",0,1)</f>
        <v>Medtronic Trading NL BV</v>
      </c>
      <c r="E61" s="2" t="s">
        <v>110</v>
      </c>
      <c r="F61" s="64" t="s">
        <v>9</v>
      </c>
      <c r="G61" s="71">
        <v>2</v>
      </c>
      <c r="H61" s="25" t="s">
        <v>211</v>
      </c>
      <c r="I61" s="25" t="s">
        <v>211</v>
      </c>
      <c r="J61" s="25" t="s">
        <v>211</v>
      </c>
      <c r="K61" s="25" t="s">
        <v>211</v>
      </c>
      <c r="L61" s="25" t="s">
        <v>211</v>
      </c>
      <c r="M61" s="25" t="s">
        <v>211</v>
      </c>
      <c r="N61" s="25" t="s">
        <v>211</v>
      </c>
      <c r="O61" s="25" t="s">
        <v>211</v>
      </c>
      <c r="P61" s="25" t="s">
        <v>211</v>
      </c>
      <c r="Q61" s="25" t="s">
        <v>211</v>
      </c>
      <c r="R61" s="25" t="s">
        <v>211</v>
      </c>
      <c r="S61" s="25" t="s">
        <v>211</v>
      </c>
      <c r="T61" s="25" t="s">
        <v>211</v>
      </c>
      <c r="U61" s="11" t="e">
        <f>AVERAGE(Table32[[#This Row],[PO nr]:[Delivery Date]])</f>
        <v>#DIV/0!</v>
      </c>
      <c r="V61" s="84" t="s">
        <v>212</v>
      </c>
      <c r="W61" s="21" t="s">
        <v>213</v>
      </c>
      <c r="X61" s="21"/>
      <c r="Y61" s="21"/>
      <c r="Z61" s="21"/>
    </row>
    <row r="62" spans="3:26" ht="15" customHeight="1" x14ac:dyDescent="0.3">
      <c r="C62" t="str">
        <f>_xlfn.XLOOKUP(Table32[[#This Row],[Customer]],'Top 300'!C:C,'Top 300'!A:A,"0",2,1)</f>
        <v>0</v>
      </c>
      <c r="D62" s="30" t="str">
        <f>_xlfn.XLOOKUP(Table32[[#This Row],[File Name]],'Analyse 2 Detail 02-03'!A:A,'Analyse 2 Detail 02-03'!R:R,"Not Found",0,1)</f>
        <v>Medtronic Trading NL BV</v>
      </c>
      <c r="E62" s="2" t="s">
        <v>110</v>
      </c>
      <c r="F62" s="64" t="s">
        <v>9</v>
      </c>
      <c r="G62" s="71">
        <v>2</v>
      </c>
      <c r="H62" s="25" t="s">
        <v>211</v>
      </c>
      <c r="I62" s="25" t="s">
        <v>211</v>
      </c>
      <c r="J62" s="25" t="s">
        <v>211</v>
      </c>
      <c r="K62" s="25" t="s">
        <v>211</v>
      </c>
      <c r="L62" s="25" t="s">
        <v>211</v>
      </c>
      <c r="M62" s="25" t="s">
        <v>211</v>
      </c>
      <c r="N62" s="25" t="s">
        <v>211</v>
      </c>
      <c r="O62" s="25" t="s">
        <v>211</v>
      </c>
      <c r="P62" s="25" t="s">
        <v>211</v>
      </c>
      <c r="Q62" s="25" t="s">
        <v>211</v>
      </c>
      <c r="R62" s="25" t="s">
        <v>211</v>
      </c>
      <c r="S62" s="25" t="s">
        <v>211</v>
      </c>
      <c r="T62" s="25" t="s">
        <v>211</v>
      </c>
      <c r="U62" s="11" t="e">
        <f>AVERAGE(Table32[[#This Row],[PO nr]:[Delivery Date]])</f>
        <v>#DIV/0!</v>
      </c>
      <c r="V62" s="84" t="s">
        <v>212</v>
      </c>
      <c r="W62" s="21" t="s">
        <v>213</v>
      </c>
      <c r="X62" s="21"/>
      <c r="Y62" s="21"/>
      <c r="Z62" s="21"/>
    </row>
    <row r="63" spans="3:26" ht="15" customHeight="1" x14ac:dyDescent="0.3">
      <c r="C63" t="str">
        <f>_xlfn.XLOOKUP(Table32[[#This Row],[Customer]],'Top 300'!C:C,'Top 300'!A:A,"0",2,1)</f>
        <v>0</v>
      </c>
      <c r="D63" s="30" t="str">
        <f>_xlfn.XLOOKUP(Table32[[#This Row],[File Name]],'Analyse 2 Detail 02-03'!A:A,'Analyse 2 Detail 02-03'!R:R,"Not Found",0,1)</f>
        <v>Medtronic Trading NL BV</v>
      </c>
      <c r="E63" s="2" t="s">
        <v>108</v>
      </c>
      <c r="F63" s="64" t="s">
        <v>9</v>
      </c>
      <c r="G63" s="71">
        <v>7</v>
      </c>
      <c r="H63" s="25" t="s">
        <v>211</v>
      </c>
      <c r="I63" s="25" t="s">
        <v>211</v>
      </c>
      <c r="J63" s="25" t="s">
        <v>211</v>
      </c>
      <c r="K63" s="25" t="s">
        <v>211</v>
      </c>
      <c r="L63" s="25" t="s">
        <v>211</v>
      </c>
      <c r="M63" s="25" t="s">
        <v>211</v>
      </c>
      <c r="N63" s="25" t="s">
        <v>211</v>
      </c>
      <c r="O63" s="25" t="s">
        <v>211</v>
      </c>
      <c r="P63" s="25" t="s">
        <v>211</v>
      </c>
      <c r="Q63" s="25" t="s">
        <v>211</v>
      </c>
      <c r="R63" s="25" t="s">
        <v>211</v>
      </c>
      <c r="S63" s="25" t="s">
        <v>211</v>
      </c>
      <c r="T63" s="25" t="s">
        <v>211</v>
      </c>
      <c r="U63" s="11" t="e">
        <f>AVERAGE(Table32[[#This Row],[PO nr]:[Delivery Date]])</f>
        <v>#DIV/0!</v>
      </c>
      <c r="V63" s="84" t="s">
        <v>212</v>
      </c>
      <c r="W63" s="21" t="s">
        <v>213</v>
      </c>
      <c r="X63" s="21"/>
      <c r="Y63" s="21"/>
      <c r="Z63" s="21"/>
    </row>
    <row r="64" spans="3:26" ht="15" customHeight="1" x14ac:dyDescent="0.3">
      <c r="C64" t="str">
        <f>_xlfn.XLOOKUP(Table32[[#This Row],[Customer]],'Top 300'!C:C,'Top 300'!A:A,"0",2,1)</f>
        <v>0</v>
      </c>
      <c r="D64" s="30" t="str">
        <f>_xlfn.XLOOKUP(Table32[[#This Row],[File Name]],'Analyse 2 Detail 02-03'!A:A,'Analyse 2 Detail 02-03'!R:R,"Not Found",0,1)</f>
        <v>Medtronic Trading NL BV</v>
      </c>
      <c r="E64" s="2" t="s">
        <v>130</v>
      </c>
      <c r="F64" s="64" t="s">
        <v>9</v>
      </c>
      <c r="G64" s="71">
        <v>1</v>
      </c>
      <c r="H64" s="25" t="s">
        <v>211</v>
      </c>
      <c r="I64" s="25" t="s">
        <v>211</v>
      </c>
      <c r="J64" s="25" t="s">
        <v>211</v>
      </c>
      <c r="K64" s="25" t="s">
        <v>211</v>
      </c>
      <c r="L64" s="25" t="s">
        <v>211</v>
      </c>
      <c r="M64" s="25" t="s">
        <v>211</v>
      </c>
      <c r="N64" s="25" t="s">
        <v>211</v>
      </c>
      <c r="O64" s="25" t="s">
        <v>211</v>
      </c>
      <c r="P64" s="25" t="s">
        <v>211</v>
      </c>
      <c r="Q64" s="25" t="s">
        <v>211</v>
      </c>
      <c r="R64" s="25" t="s">
        <v>211</v>
      </c>
      <c r="S64" s="25" t="s">
        <v>211</v>
      </c>
      <c r="T64" s="25" t="s">
        <v>211</v>
      </c>
      <c r="U64" s="11" t="e">
        <f>AVERAGE(Table32[[#This Row],[PO nr]:[Delivery Date]])</f>
        <v>#DIV/0!</v>
      </c>
      <c r="V64" s="84" t="s">
        <v>212</v>
      </c>
      <c r="W64" s="21" t="s">
        <v>213</v>
      </c>
      <c r="X64" s="21"/>
      <c r="Y64" s="21"/>
      <c r="Z64" s="21"/>
    </row>
    <row r="65" spans="3:26" ht="15" customHeight="1" x14ac:dyDescent="0.3">
      <c r="C65" t="str">
        <f>_xlfn.XLOOKUP(Table32[[#This Row],[Customer]],'Top 300'!C:C,'Top 300'!A:A,"0",2,1)</f>
        <v>0</v>
      </c>
      <c r="D65" s="30" t="str">
        <f>_xlfn.XLOOKUP(Table32[[#This Row],[File Name]],'Analyse 2 Detail 02-03'!A:A,'Analyse 2 Detail 02-03'!R:R,"Not Found",0,1)</f>
        <v>Fresenius Kabi nv/sa</v>
      </c>
      <c r="E65" s="2" t="s">
        <v>156</v>
      </c>
      <c r="F65" s="64" t="s">
        <v>9</v>
      </c>
      <c r="G65" s="71">
        <v>0</v>
      </c>
      <c r="M65" s="9"/>
      <c r="T65" s="23"/>
      <c r="U65" s="11" t="e">
        <f>AVERAGE(Table32[[#This Row],[PO nr]:[Delivery Date]])</f>
        <v>#DIV/0!</v>
      </c>
      <c r="V65" s="21"/>
      <c r="W65" s="21"/>
      <c r="X65" s="21"/>
      <c r="Y65" s="21"/>
      <c r="Z65" s="21"/>
    </row>
    <row r="66" spans="3:26" ht="15" customHeight="1" x14ac:dyDescent="0.3">
      <c r="C66" t="str">
        <f>_xlfn.XLOOKUP(Table32[[#This Row],[Customer]],'Top 300'!C:C,'Top 300'!A:A,"0",2,1)</f>
        <v>0</v>
      </c>
      <c r="D66" s="30" t="str">
        <f>_xlfn.XLOOKUP(Table32[[#This Row],[File Name]],'Analyse 2 Detail 02-03'!A:A,'Analyse 2 Detail 02-03'!R:R,"Not Found",0,1)</f>
        <v>Fresenius Kabi Nederland B.V.</v>
      </c>
      <c r="E66" s="2" t="s">
        <v>153</v>
      </c>
      <c r="F66" s="64" t="s">
        <v>9</v>
      </c>
      <c r="G66" s="71">
        <v>0</v>
      </c>
      <c r="M66" s="9"/>
      <c r="T66" s="23"/>
      <c r="U66" s="11" t="e">
        <f>AVERAGE(Table32[[#This Row],[PO nr]:[Delivery Date]])</f>
        <v>#DIV/0!</v>
      </c>
      <c r="V66" s="21"/>
      <c r="W66" s="21"/>
      <c r="X66" s="21"/>
      <c r="Y66" s="21"/>
      <c r="Z66" s="21"/>
    </row>
    <row r="67" spans="3:26" ht="15" customHeight="1" x14ac:dyDescent="0.3">
      <c r="C67" t="str">
        <f>_xlfn.XLOOKUP(Table32[[#This Row],[Customer]],'Top 300'!C:C,'Top 300'!A:A,"0",2,1)</f>
        <v>0</v>
      </c>
      <c r="D67" s="30" t="str">
        <f>_xlfn.XLOOKUP(Table32[[#This Row],[File Name]],'Analyse 2 Detail 02-03'!A:A,'Analyse 2 Detail 02-03'!R:R,"Not Found",0,1)</f>
        <v>Fresenius Kabi Nederland B.V.</v>
      </c>
      <c r="E67" s="2" t="s">
        <v>153</v>
      </c>
      <c r="F67" s="64" t="s">
        <v>9</v>
      </c>
      <c r="G67" s="71">
        <v>0</v>
      </c>
      <c r="M67" s="9"/>
      <c r="T67" s="23"/>
      <c r="U67" s="11" t="e">
        <f>AVERAGE(Table32[[#This Row],[PO nr]:[Delivery Date]])</f>
        <v>#DIV/0!</v>
      </c>
      <c r="V67" s="21"/>
      <c r="W67" s="21"/>
      <c r="X67" s="21"/>
      <c r="Y67" s="21"/>
      <c r="Z67" s="21"/>
    </row>
    <row r="68" spans="3:26" ht="15" customHeight="1" x14ac:dyDescent="0.3">
      <c r="C68" t="str">
        <f>_xlfn.XLOOKUP(Table32[[#This Row],[Customer]],'Top 300'!C:C,'Top 300'!A:A,"0",2,1)</f>
        <v>0</v>
      </c>
      <c r="D68" s="30" t="str">
        <f>_xlfn.XLOOKUP(Table32[[#This Row],[File Name]],'Analyse 2 Detail 02-03'!A:A,'Analyse 2 Detail 02-03'!R:R,"Not Found",0,1)</f>
        <v>Duomed Belgium NV/SA</v>
      </c>
      <c r="E68" s="2" t="s">
        <v>188</v>
      </c>
      <c r="F68" s="64" t="s">
        <v>9</v>
      </c>
      <c r="G68" s="71">
        <v>0</v>
      </c>
      <c r="M68" s="9"/>
      <c r="T68" s="23"/>
      <c r="U68" s="11" t="e">
        <f>AVERAGE(Table32[[#This Row],[PO nr]:[Delivery Date]])</f>
        <v>#DIV/0!</v>
      </c>
      <c r="V68" s="21"/>
      <c r="W68" s="21"/>
      <c r="X68" s="21"/>
      <c r="Y68" s="21"/>
      <c r="Z68" s="21"/>
    </row>
    <row r="69" spans="3:26" ht="15" customHeight="1" x14ac:dyDescent="0.3">
      <c r="C69" t="str">
        <f>_xlfn.XLOOKUP(Table32[[#This Row],[Customer]],'Top 300'!C:C,'Top 300'!A:A,"0",2,1)</f>
        <v>0</v>
      </c>
      <c r="D69" s="30" t="str">
        <f>_xlfn.XLOOKUP(Table32[[#This Row],[File Name]],'Analyse 2 Detail 02-03'!A:A,'Analyse 2 Detail 02-03'!R:R,"Not Found",0,1)</f>
        <v>Duomed Belgium NV/SA</v>
      </c>
      <c r="E69" s="2" t="s">
        <v>135</v>
      </c>
      <c r="F69" s="64" t="s">
        <v>9</v>
      </c>
      <c r="G69" s="71">
        <v>0</v>
      </c>
      <c r="M69" s="9"/>
      <c r="T69" s="23"/>
      <c r="U69" s="11" t="e">
        <f>AVERAGE(Table32[[#This Row],[PO nr]:[Delivery Date]])</f>
        <v>#DIV/0!</v>
      </c>
      <c r="V69" s="21"/>
      <c r="W69" s="21"/>
      <c r="X69" s="21"/>
      <c r="Y69" s="21"/>
      <c r="Z69" s="21"/>
    </row>
    <row r="70" spans="3:26" ht="15" customHeight="1" x14ac:dyDescent="0.3">
      <c r="C70" t="str">
        <f>_xlfn.XLOOKUP(Table32[[#This Row],[Customer]],'Top 300'!C:C,'Top 300'!A:A,"0",2,1)</f>
        <v>0</v>
      </c>
      <c r="D70" s="30" t="str">
        <f>_xlfn.XLOOKUP(Table32[[#This Row],[File Name]],'Analyse 2 Detail 02-03'!A:A,'Analyse 2 Detail 02-03'!R:R,"Not Found",0,1)</f>
        <v>Duomed Belgium NV/SA</v>
      </c>
      <c r="E70" s="2" t="s">
        <v>104</v>
      </c>
      <c r="F70" s="64" t="s">
        <v>9</v>
      </c>
      <c r="G70" s="71">
        <v>0</v>
      </c>
      <c r="M70" s="9"/>
      <c r="T70" s="23"/>
      <c r="U70" s="11" t="e">
        <f>AVERAGE(Table32[[#This Row],[PO nr]:[Delivery Date]])</f>
        <v>#DIV/0!</v>
      </c>
      <c r="V70" s="21"/>
      <c r="W70" s="21"/>
      <c r="X70" s="21"/>
      <c r="Y70" s="21"/>
      <c r="Z70" s="21"/>
    </row>
    <row r="71" spans="3:26" ht="15" customHeight="1" x14ac:dyDescent="0.3">
      <c r="C71" t="str">
        <f>_xlfn.XLOOKUP(Table32[[#This Row],[Customer]],'Top 300'!C:C,'Top 300'!A:A,"0",2,1)</f>
        <v>0</v>
      </c>
      <c r="D71" s="30" t="str">
        <f>_xlfn.XLOOKUP(Table32[[#This Row],[File Name]],'Analyse 2 Detail 02-03'!A:A,'Analyse 2 Detail 02-03'!R:R,"Not Found",0,1)</f>
        <v>Duomed Belgium NV/SA</v>
      </c>
      <c r="E71" s="2" t="s">
        <v>183</v>
      </c>
      <c r="F71" s="64" t="s">
        <v>9</v>
      </c>
      <c r="G71" s="71">
        <v>0</v>
      </c>
      <c r="M71" s="9"/>
      <c r="T71" s="23"/>
      <c r="U71" s="11" t="e">
        <f>AVERAGE(Table32[[#This Row],[PO nr]:[Delivery Date]])</f>
        <v>#DIV/0!</v>
      </c>
      <c r="V71" s="21"/>
      <c r="W71" s="21"/>
      <c r="X71" s="21"/>
      <c r="Y71" s="21"/>
      <c r="Z71" s="21"/>
    </row>
    <row r="72" spans="3:26" ht="15" customHeight="1" x14ac:dyDescent="0.3">
      <c r="C72" t="str">
        <f>_xlfn.XLOOKUP(Table32[[#This Row],[Customer]],'Top 300'!C:C,'Top 300'!A:A,"0",2,1)</f>
        <v>0</v>
      </c>
      <c r="D72" s="30" t="str">
        <f>_xlfn.XLOOKUP(Table32[[#This Row],[File Name]],'Analyse 2 Detail 02-03'!A:A,'Analyse 2 Detail 02-03'!R:R,"Not Found",0,1)</f>
        <v>Duomed Belgium NV/SA</v>
      </c>
      <c r="E72" s="2" t="s">
        <v>122</v>
      </c>
      <c r="F72" s="64" t="s">
        <v>9</v>
      </c>
      <c r="G72" s="71">
        <v>0</v>
      </c>
      <c r="M72" s="9"/>
      <c r="T72" s="23"/>
      <c r="U72" s="11" t="e">
        <f>AVERAGE(Table32[[#This Row],[PO nr]:[Delivery Date]])</f>
        <v>#DIV/0!</v>
      </c>
      <c r="V72" s="21"/>
      <c r="W72" s="21"/>
      <c r="X72" s="21"/>
      <c r="Y72" s="21"/>
      <c r="Z72" s="21"/>
    </row>
    <row r="73" spans="3:26" ht="15" customHeight="1" x14ac:dyDescent="0.3">
      <c r="C73" t="str">
        <f>_xlfn.XLOOKUP(Table32[[#This Row],[Customer]],'Top 300'!C:C,'Top 300'!A:A,"0",2,1)</f>
        <v>0</v>
      </c>
      <c r="D73" s="30" t="str">
        <f>_xlfn.XLOOKUP(Table32[[#This Row],[File Name]],'Analyse 2 Detail 02-03'!A:A,'Analyse 2 Detail 02-03'!R:R,"Not Found",0,1)</f>
        <v>Duomed Belgium NV/SA</v>
      </c>
      <c r="E73" s="2" t="s">
        <v>187</v>
      </c>
      <c r="F73" s="64" t="s">
        <v>9</v>
      </c>
      <c r="G73" s="71">
        <v>0</v>
      </c>
      <c r="M73" s="9"/>
      <c r="T73" s="23"/>
      <c r="U73" s="11" t="e">
        <f>AVERAGE(Table32[[#This Row],[PO nr]:[Delivery Date]])</f>
        <v>#DIV/0!</v>
      </c>
      <c r="V73" s="21"/>
      <c r="W73" s="21"/>
      <c r="X73" s="21"/>
      <c r="Y73" s="21"/>
      <c r="Z73" s="21"/>
    </row>
    <row r="74" spans="3:26" ht="15" customHeight="1" x14ac:dyDescent="0.3">
      <c r="C74" t="str">
        <f>_xlfn.XLOOKUP(Table32[[#This Row],[Customer]],'Top 300'!C:C,'Top 300'!A:A,"0",2,1)</f>
        <v>0</v>
      </c>
      <c r="D74" s="30">
        <f>_xlfn.XLOOKUP(Table32[[#This Row],[File Name]],'Analyse 2 Detail 02-03'!A:A,'Analyse 2 Detail 02-03'!R:R,"Not Found",0,1)</f>
        <v>0</v>
      </c>
      <c r="E74" s="2" t="s">
        <v>160</v>
      </c>
      <c r="F74" s="64" t="s">
        <v>9</v>
      </c>
      <c r="G74" s="71">
        <v>0</v>
      </c>
      <c r="M74" s="9"/>
      <c r="T74" s="23"/>
      <c r="U74" s="11" t="e">
        <f>AVERAGE(Table32[[#This Row],[PO nr]:[Delivery Date]])</f>
        <v>#DIV/0!</v>
      </c>
      <c r="V74" s="21"/>
      <c r="W74" s="21"/>
      <c r="X74" s="21"/>
      <c r="Y74" s="21"/>
      <c r="Z74" s="21"/>
    </row>
    <row r="75" spans="3:26" ht="15" customHeight="1" x14ac:dyDescent="0.3">
      <c r="C75" t="str">
        <f>_xlfn.XLOOKUP(Table32[[#This Row],[Customer]],'Top 300'!C:C,'Top 300'!A:A,"0",2,1)</f>
        <v>0</v>
      </c>
      <c r="D75" s="30" t="str">
        <f>_xlfn.XLOOKUP(Table32[[#This Row],[File Name]],'Analyse 2 Detail 02-03'!A:A,'Analyse 2 Detail 02-03'!R:R,"Not Found",0,1)</f>
        <v>Medica Europe B.V.</v>
      </c>
      <c r="E75" s="2" t="s">
        <v>109</v>
      </c>
      <c r="F75" s="64" t="s">
        <v>9</v>
      </c>
      <c r="G75" s="71">
        <v>0</v>
      </c>
      <c r="M75" s="9"/>
      <c r="T75" s="23"/>
      <c r="U75" s="11" t="e">
        <f>AVERAGE(Table32[[#This Row],[PO nr]:[Delivery Date]])</f>
        <v>#DIV/0!</v>
      </c>
      <c r="V75" s="21"/>
      <c r="W75" s="21"/>
      <c r="X75" s="21"/>
      <c r="Y75" s="21"/>
      <c r="Z75" s="21"/>
    </row>
    <row r="76" spans="3:26" ht="15" customHeight="1" x14ac:dyDescent="0.3">
      <c r="C76" t="str">
        <f>_xlfn.XLOOKUP(Table32[[#This Row],[Customer]],'Top 300'!C:C,'Top 300'!A:A,"0",2,1)</f>
        <v>0</v>
      </c>
      <c r="D76" s="30" t="str">
        <f>_xlfn.XLOOKUP(Table32[[#This Row],[File Name]],'Analyse 2 Detail 02-03'!A:A,'Analyse 2 Detail 02-03'!R:R,"Not Found",0,1)</f>
        <v>Medica Europe B.V.</v>
      </c>
      <c r="E76" s="2" t="s">
        <v>109</v>
      </c>
      <c r="F76" s="64" t="s">
        <v>9</v>
      </c>
      <c r="G76" s="71">
        <v>0</v>
      </c>
      <c r="M76" s="9"/>
      <c r="T76" s="23"/>
      <c r="U76" s="11" t="e">
        <f>AVERAGE(Table32[[#This Row],[PO nr]:[Delivery Date]])</f>
        <v>#DIV/0!</v>
      </c>
      <c r="V76" s="21"/>
      <c r="W76" s="21"/>
      <c r="X76" s="21"/>
      <c r="Y76" s="21"/>
      <c r="Z76" s="21"/>
    </row>
    <row r="77" spans="3:26" ht="15" customHeight="1" x14ac:dyDescent="0.3">
      <c r="C77" t="str">
        <f>_xlfn.XLOOKUP(Table32[[#This Row],[Customer]],'Top 300'!C:C,'Top 300'!A:A,"0",2,1)</f>
        <v>0</v>
      </c>
      <c r="D77" s="30" t="str">
        <f>_xlfn.XLOOKUP(Table32[[#This Row],[File Name]],'Analyse 2 Detail 02-03'!A:A,'Analyse 2 Detail 02-03'!R:R,"Not Found",0,1)</f>
        <v>Fresenius Medical Care Nederland BV</v>
      </c>
      <c r="E77" s="2" t="s">
        <v>179</v>
      </c>
      <c r="F77" s="64" t="s">
        <v>9</v>
      </c>
      <c r="G77" s="71">
        <v>5</v>
      </c>
      <c r="H77" s="25">
        <v>1</v>
      </c>
      <c r="I77" s="25">
        <v>1</v>
      </c>
      <c r="J77" s="25">
        <v>1</v>
      </c>
      <c r="K77" s="25">
        <v>1</v>
      </c>
      <c r="L77" s="25">
        <v>1</v>
      </c>
      <c r="M77" s="25">
        <v>1</v>
      </c>
      <c r="N77" s="25">
        <v>1</v>
      </c>
      <c r="O77" s="25">
        <v>1</v>
      </c>
      <c r="P77" s="25">
        <v>1</v>
      </c>
      <c r="Q77" s="25">
        <v>1</v>
      </c>
      <c r="R77" s="25">
        <v>1</v>
      </c>
      <c r="S77" s="25">
        <v>0.5</v>
      </c>
      <c r="T77" s="10">
        <v>0.5</v>
      </c>
      <c r="U77" s="11">
        <f>AVERAGE(Table32[[#This Row],[PO nr]:[Delivery Date]])</f>
        <v>0.92307692307692313</v>
      </c>
      <c r="V77" s="21" t="s">
        <v>214</v>
      </c>
      <c r="W77" s="21" t="s">
        <v>215</v>
      </c>
      <c r="X77" s="21"/>
      <c r="Y77" s="21"/>
      <c r="Z77" s="21"/>
    </row>
    <row r="78" spans="3:26" ht="15" customHeight="1" x14ac:dyDescent="0.3">
      <c r="C78" t="str">
        <f>_xlfn.XLOOKUP(Table32[[#This Row],[Customer]],'Top 300'!C:C,'Top 300'!A:A,"0",2,1)</f>
        <v>0</v>
      </c>
      <c r="D78" s="30">
        <f>_xlfn.XLOOKUP(Table32[[#This Row],[File Name]],'Analyse 2 Detail 02-03'!A:A,'Analyse 2 Detail 02-03'!R:R,"Not Found",0,1)</f>
        <v>0</v>
      </c>
      <c r="E78" s="2" t="s">
        <v>150</v>
      </c>
      <c r="F78" s="64" t="s">
        <v>9</v>
      </c>
      <c r="G78" s="71">
        <v>0</v>
      </c>
      <c r="M78" s="9"/>
      <c r="T78" s="23"/>
      <c r="U78" s="11" t="e">
        <f>AVERAGE(Table32[[#This Row],[PO nr]:[Delivery Date]])</f>
        <v>#DIV/0!</v>
      </c>
      <c r="V78" s="21"/>
      <c r="W78" s="21"/>
      <c r="X78" s="21"/>
      <c r="Y78" s="21"/>
      <c r="Z78" s="21"/>
    </row>
    <row r="79" spans="3:26" ht="15" customHeight="1" x14ac:dyDescent="0.3">
      <c r="C79" t="str">
        <f>_xlfn.XLOOKUP(Table32[[#This Row],[Customer]],'Top 300'!C:C,'Top 300'!A:A,"0",2,1)</f>
        <v>0</v>
      </c>
      <c r="D79" s="30" t="str">
        <f>_xlfn.XLOOKUP(Table32[[#This Row],[File Name]],'Analyse 2 Detail 02-03'!A:A,'Analyse 2 Detail 02-03'!R:R,"Not Found",0,1)</f>
        <v>Fresenius Medical Care Nederland BV</v>
      </c>
      <c r="E79" s="2" t="s">
        <v>155</v>
      </c>
      <c r="F79" s="64" t="s">
        <v>9</v>
      </c>
      <c r="G79" s="71">
        <v>3</v>
      </c>
      <c r="H79" s="25">
        <v>1</v>
      </c>
      <c r="I79" s="25">
        <v>1</v>
      </c>
      <c r="J79" s="25">
        <v>1</v>
      </c>
      <c r="K79" s="25">
        <v>1</v>
      </c>
      <c r="L79" s="25">
        <v>1</v>
      </c>
      <c r="M79" s="25">
        <v>1</v>
      </c>
      <c r="N79" s="25">
        <v>1</v>
      </c>
      <c r="O79" s="25">
        <v>1</v>
      </c>
      <c r="P79" s="25">
        <v>1</v>
      </c>
      <c r="Q79" s="25">
        <v>1</v>
      </c>
      <c r="R79" s="25">
        <v>1</v>
      </c>
      <c r="S79" s="25">
        <v>1</v>
      </c>
      <c r="T79" s="10">
        <v>0.5</v>
      </c>
      <c r="U79" s="11">
        <f>AVERAGE(Table32[[#This Row],[PO nr]:[Delivery Date]])</f>
        <v>0.96153846153846156</v>
      </c>
      <c r="V79" s="21" t="s">
        <v>216</v>
      </c>
      <c r="W79" s="21"/>
      <c r="X79" s="21"/>
      <c r="Y79" s="21"/>
      <c r="Z79" s="21"/>
    </row>
    <row r="80" spans="3:26" ht="15" customHeight="1" x14ac:dyDescent="0.3">
      <c r="C80" t="str">
        <f>_xlfn.XLOOKUP(Table32[[#This Row],[Customer]],'Top 300'!C:C,'Top 300'!A:A,"0",2,1)</f>
        <v>0</v>
      </c>
      <c r="D80" s="30" t="str">
        <f>_xlfn.XLOOKUP(Table32[[#This Row],[File Name]],'Analyse 2 Detail 02-03'!A:A,'Analyse 2 Detail 02-03'!R:R,"Not Found",0,1)</f>
        <v>Fresenius Medical Care Nederland BV</v>
      </c>
      <c r="E80" s="2" t="s">
        <v>138</v>
      </c>
      <c r="F80" s="64" t="s">
        <v>9</v>
      </c>
      <c r="G80" s="71">
        <v>1</v>
      </c>
      <c r="H80" s="25">
        <v>1</v>
      </c>
      <c r="I80" s="25">
        <v>1</v>
      </c>
      <c r="J80" s="25">
        <v>1</v>
      </c>
      <c r="K80" s="25">
        <v>1</v>
      </c>
      <c r="L80" s="25">
        <v>1</v>
      </c>
      <c r="M80" s="25">
        <v>1</v>
      </c>
      <c r="N80" s="25">
        <v>1</v>
      </c>
      <c r="O80" s="25">
        <v>1</v>
      </c>
      <c r="P80" s="25">
        <v>1</v>
      </c>
      <c r="Q80" s="25">
        <v>1</v>
      </c>
      <c r="R80" s="25">
        <v>1</v>
      </c>
      <c r="S80" s="25">
        <v>0.5</v>
      </c>
      <c r="T80" s="10">
        <v>0.5</v>
      </c>
      <c r="U80" s="11">
        <f>AVERAGE(Table32[[#This Row],[PO nr]:[Delivery Date]])</f>
        <v>0.92307692307692313</v>
      </c>
      <c r="V80" s="21" t="s">
        <v>217</v>
      </c>
      <c r="W80" s="21" t="s">
        <v>215</v>
      </c>
      <c r="X80" s="21"/>
      <c r="Y80" s="21"/>
      <c r="Z80" s="21"/>
    </row>
    <row r="81" spans="3:26" ht="15" customHeight="1" x14ac:dyDescent="0.3">
      <c r="C81" t="str">
        <f>_xlfn.XLOOKUP(Table32[[#This Row],[Customer]],'Top 300'!C:C,'Top 300'!A:A,"0",2,1)</f>
        <v>0</v>
      </c>
      <c r="D81" s="30">
        <f>_xlfn.XLOOKUP(Table32[[#This Row],[File Name]],'Analyse 2 Detail 02-03'!A:A,'Analyse 2 Detail 02-03'!R:R,"Not Found",0,1)</f>
        <v>0</v>
      </c>
      <c r="E81" s="2" t="s">
        <v>114</v>
      </c>
      <c r="F81" s="64" t="s">
        <v>11</v>
      </c>
      <c r="G81" s="71">
        <v>0</v>
      </c>
      <c r="M81" s="9"/>
      <c r="T81" s="23"/>
      <c r="U81" s="11" t="e">
        <f>AVERAGE(Table32[[#This Row],[PO nr]:[Delivery Date]])</f>
        <v>#DIV/0!</v>
      </c>
      <c r="V81" s="21"/>
      <c r="W81" s="21"/>
      <c r="X81" s="21"/>
      <c r="Y81" s="21"/>
      <c r="Z81" s="21"/>
    </row>
    <row r="82" spans="3:26" ht="15" customHeight="1" x14ac:dyDescent="0.3">
      <c r="C82" t="str">
        <f>_xlfn.XLOOKUP(Table32[[#This Row],[Customer]],'Top 300'!C:C,'Top 300'!A:A,"0",2,1)</f>
        <v>0</v>
      </c>
      <c r="D82" s="30">
        <f>_xlfn.XLOOKUP(Table32[[#This Row],[File Name]],'Analyse 2 Detail 02-03'!A:A,'Analyse 2 Detail 02-03'!R:R,"Not Found",0,1)</f>
        <v>0</v>
      </c>
      <c r="E82" s="2" t="s">
        <v>186</v>
      </c>
      <c r="F82" s="64" t="s">
        <v>11</v>
      </c>
      <c r="G82" s="71">
        <v>0</v>
      </c>
      <c r="M82" s="9"/>
      <c r="T82" s="23"/>
      <c r="U82" s="11" t="e">
        <f>AVERAGE(Table32[[#This Row],[PO nr]:[Delivery Date]])</f>
        <v>#DIV/0!</v>
      </c>
      <c r="V82" s="21"/>
      <c r="W82" s="21"/>
      <c r="X82" s="21"/>
      <c r="Y82" s="21"/>
      <c r="Z82" s="21"/>
    </row>
    <row r="83" spans="3:26" ht="15" customHeight="1" x14ac:dyDescent="0.3">
      <c r="C83" t="str">
        <f>_xlfn.XLOOKUP(Table32[[#This Row],[Customer]],'Top 300'!C:C,'Top 300'!A:A,"0",2,1)</f>
        <v>0</v>
      </c>
      <c r="D83" s="30">
        <f>_xlfn.XLOOKUP(Table32[[#This Row],[File Name]],'Analyse 2 Detail 02-03'!A:A,'Analyse 2 Detail 02-03'!R:R,"Not Found",0,1)</f>
        <v>0</v>
      </c>
      <c r="E83" s="2" t="s">
        <v>146</v>
      </c>
      <c r="F83" s="64" t="s">
        <v>11</v>
      </c>
      <c r="G83" s="71">
        <v>0</v>
      </c>
      <c r="M83" s="9"/>
      <c r="T83" s="23"/>
      <c r="U83" s="11" t="e">
        <f>AVERAGE(Table32[[#This Row],[PO nr]:[Delivery Date]])</f>
        <v>#DIV/0!</v>
      </c>
      <c r="V83" s="21"/>
      <c r="W83" s="21"/>
      <c r="X83" s="21"/>
      <c r="Y83" s="21"/>
      <c r="Z83" s="21"/>
    </row>
    <row r="84" spans="3:26" ht="15" customHeight="1" x14ac:dyDescent="0.3">
      <c r="C84" t="str">
        <f>_xlfn.XLOOKUP(Table32[[#This Row],[Customer]],'Top 300'!C:C,'Top 300'!A:A,"0",2,1)</f>
        <v>0</v>
      </c>
      <c r="D84" s="30">
        <f>_xlfn.XLOOKUP(Table32[[#This Row],[File Name]],'Analyse 2 Detail 02-03'!A:A,'Analyse 2 Detail 02-03'!R:R,"Not Found",0,1)</f>
        <v>0</v>
      </c>
      <c r="E84" s="2" t="s">
        <v>154</v>
      </c>
      <c r="F84" s="64" t="s">
        <v>11</v>
      </c>
      <c r="G84" s="71">
        <v>0</v>
      </c>
      <c r="M84" s="9"/>
      <c r="T84" s="23"/>
      <c r="U84" s="11" t="e">
        <f>AVERAGE(Table32[[#This Row],[PO nr]:[Delivery Date]])</f>
        <v>#DIV/0!</v>
      </c>
      <c r="V84" s="21"/>
      <c r="W84" s="21"/>
      <c r="X84" s="21"/>
      <c r="Y84" s="21"/>
      <c r="Z84" s="21"/>
    </row>
    <row r="85" spans="3:26" ht="15" customHeight="1" x14ac:dyDescent="0.3">
      <c r="C85" t="str">
        <f>_xlfn.XLOOKUP(Table32[[#This Row],[Customer]],'Top 300'!C:C,'Top 300'!A:A,"0",2,1)</f>
        <v>0</v>
      </c>
      <c r="D85" s="30">
        <f>_xlfn.XLOOKUP(Table32[[#This Row],[File Name]],'Analyse 2 Detail 02-03'!A:A,'Analyse 2 Detail 02-03'!R:R,"Not Found",0,1)</f>
        <v>0</v>
      </c>
      <c r="E85" s="2" t="s">
        <v>164</v>
      </c>
      <c r="F85" s="64" t="s">
        <v>11</v>
      </c>
      <c r="G85" s="71">
        <v>0</v>
      </c>
      <c r="M85" s="9"/>
      <c r="T85" s="23"/>
      <c r="U85" s="11" t="e">
        <f>AVERAGE(Table32[[#This Row],[PO nr]:[Delivery Date]])</f>
        <v>#DIV/0!</v>
      </c>
      <c r="V85" s="21"/>
      <c r="W85" s="21"/>
      <c r="X85" s="21"/>
      <c r="Y85" s="21"/>
      <c r="Z85" s="21"/>
    </row>
    <row r="86" spans="3:26" ht="15" customHeight="1" x14ac:dyDescent="0.3">
      <c r="C86" t="str">
        <f>_xlfn.XLOOKUP(Table32[[#This Row],[Customer]],'Top 300'!C:C,'Top 300'!A:A,"0",2,1)</f>
        <v>0</v>
      </c>
      <c r="D86" s="30">
        <f>_xlfn.XLOOKUP(Table32[[#This Row],[File Name]],'Analyse 2 Detail 02-03'!A:A,'Analyse 2 Detail 02-03'!R:R,"Not Found",0,1)</f>
        <v>0</v>
      </c>
      <c r="E86" s="2" t="s">
        <v>141</v>
      </c>
      <c r="F86" s="64" t="s">
        <v>11</v>
      </c>
      <c r="G86" s="71">
        <v>0</v>
      </c>
      <c r="M86" s="9"/>
      <c r="T86" s="23"/>
      <c r="U86" s="11" t="e">
        <f>AVERAGE(Table32[[#This Row],[PO nr]:[Delivery Date]])</f>
        <v>#DIV/0!</v>
      </c>
      <c r="V86" s="21"/>
      <c r="W86" s="21"/>
      <c r="X86" s="21"/>
      <c r="Y86" s="21"/>
      <c r="Z86" s="21"/>
    </row>
    <row r="87" spans="3:26" ht="15" customHeight="1" x14ac:dyDescent="0.3">
      <c r="C87" t="str">
        <f>_xlfn.XLOOKUP(Table32[[#This Row],[Customer]],'Top 300'!C:C,'Top 300'!A:A,"0",2,1)</f>
        <v>0</v>
      </c>
      <c r="D87" s="30">
        <f>_xlfn.XLOOKUP(Table32[[#This Row],[File Name]],'Analyse 2 Detail 02-03'!A:A,'Analyse 2 Detail 02-03'!R:R,"Not Found",0,1)</f>
        <v>0</v>
      </c>
      <c r="E87" s="2" t="s">
        <v>141</v>
      </c>
      <c r="F87" s="64" t="s">
        <v>11</v>
      </c>
      <c r="G87" s="71">
        <v>0</v>
      </c>
      <c r="M87" s="9"/>
      <c r="T87" s="23"/>
      <c r="U87" s="11" t="e">
        <f>AVERAGE(Table32[[#This Row],[PO nr]:[Delivery Date]])</f>
        <v>#DIV/0!</v>
      </c>
      <c r="V87" s="21"/>
      <c r="W87" s="21"/>
      <c r="X87" s="21"/>
      <c r="Y87" s="21"/>
      <c r="Z87" s="21"/>
    </row>
    <row r="88" spans="3:26" ht="15" customHeight="1" x14ac:dyDescent="0.3">
      <c r="C88" t="str">
        <f>_xlfn.XLOOKUP(Table32[[#This Row],[Customer]],'Top 300'!C:C,'Top 300'!A:A,"0",2,1)</f>
        <v>0</v>
      </c>
      <c r="D88" s="30">
        <f>_xlfn.XLOOKUP(Table32[[#This Row],[File Name]],'Analyse 2 Detail 02-03'!A:A,'Analyse 2 Detail 02-03'!R:R,"Not Found",0,1)</f>
        <v>0</v>
      </c>
      <c r="E88" s="2" t="s">
        <v>117</v>
      </c>
      <c r="F88" s="64" t="s">
        <v>11</v>
      </c>
      <c r="G88" s="71">
        <v>0</v>
      </c>
      <c r="M88" s="9"/>
      <c r="T88" s="23"/>
      <c r="U88" s="11" t="e">
        <f>AVERAGE(Table32[[#This Row],[PO nr]:[Delivery Date]])</f>
        <v>#DIV/0!</v>
      </c>
      <c r="V88" s="21"/>
      <c r="W88" s="21"/>
      <c r="X88" s="21"/>
      <c r="Y88" s="21"/>
      <c r="Z88" s="21"/>
    </row>
    <row r="89" spans="3:26" ht="15" customHeight="1" x14ac:dyDescent="0.3">
      <c r="C89" t="str">
        <f>_xlfn.XLOOKUP(Table32[[#This Row],[Customer]],'Top 300'!C:C,'Top 300'!A:A,"0",2,1)</f>
        <v>0</v>
      </c>
      <c r="D89" s="30">
        <f>_xlfn.XLOOKUP(Table32[[#This Row],[File Name]],'Analyse 2 Detail 02-03'!A:A,'Analyse 2 Detail 02-03'!R:R,"Not Found",0,1)</f>
        <v>0</v>
      </c>
      <c r="E89" s="2" t="s">
        <v>168</v>
      </c>
      <c r="F89" s="64" t="s">
        <v>11</v>
      </c>
      <c r="G89" s="71">
        <v>0</v>
      </c>
      <c r="M89" s="9"/>
      <c r="T89" s="23"/>
      <c r="U89" s="11" t="e">
        <f>AVERAGE(Table32[[#This Row],[PO nr]:[Delivery Date]])</f>
        <v>#DIV/0!</v>
      </c>
      <c r="V89" s="21"/>
      <c r="W89" s="21"/>
      <c r="X89" s="21"/>
      <c r="Y89" s="21"/>
      <c r="Z89" s="21"/>
    </row>
    <row r="90" spans="3:26" ht="15" customHeight="1" x14ac:dyDescent="0.3">
      <c r="C90" t="str">
        <f>_xlfn.XLOOKUP(Table32[[#This Row],[Customer]],'Top 300'!C:C,'Top 300'!A:A,"0",2,1)</f>
        <v>X</v>
      </c>
      <c r="D90" s="30" t="str">
        <f>_xlfn.XLOOKUP(Table32[[#This Row],[File Name]],'Analyse 2 Detail 02-03'!A:A,'Analyse 2 Detail 02-03'!R:R,"Not Found",0,1)</f>
        <v>QRS Healthcare BV</v>
      </c>
      <c r="E90" s="2" t="s">
        <v>180</v>
      </c>
      <c r="F90" s="64" t="s">
        <v>9</v>
      </c>
      <c r="G90" s="71">
        <v>0</v>
      </c>
      <c r="M90" s="9"/>
      <c r="T90" s="23"/>
      <c r="U90" s="11" t="e">
        <f>AVERAGE(Table32[[#This Row],[PO nr]:[Delivery Date]])</f>
        <v>#DIV/0!</v>
      </c>
      <c r="V90" s="21"/>
      <c r="W90" s="21"/>
      <c r="X90" s="21"/>
      <c r="Y90" s="21"/>
      <c r="Z90" s="21"/>
    </row>
    <row r="91" spans="3:26" ht="15" customHeight="1" x14ac:dyDescent="0.3">
      <c r="C91" t="str">
        <f>_xlfn.XLOOKUP(Table32[[#This Row],[Customer]],'Top 300'!C:C,'Top 300'!A:A,"0",2,1)</f>
        <v>0</v>
      </c>
      <c r="D91" s="30" t="str">
        <f>_xlfn.XLOOKUP(Table32[[#This Row],[File Name]],'Analyse 2 Detail 02-03'!A:A,'Analyse 2 Detail 02-03'!R:R,"Not Found",0,1)</f>
        <v>Brocacef BV</v>
      </c>
      <c r="E91" s="2" t="s">
        <v>175</v>
      </c>
      <c r="F91" s="64" t="s">
        <v>9</v>
      </c>
      <c r="G91" s="71">
        <v>11</v>
      </c>
      <c r="H91" s="25">
        <v>1</v>
      </c>
      <c r="I91" s="25">
        <v>1</v>
      </c>
      <c r="J91" s="25">
        <v>1</v>
      </c>
      <c r="K91" s="25">
        <v>1</v>
      </c>
      <c r="L91" s="25">
        <v>1</v>
      </c>
      <c r="M91" s="9">
        <v>0.5</v>
      </c>
      <c r="N91" s="88">
        <v>1</v>
      </c>
      <c r="O91" s="25">
        <v>1</v>
      </c>
      <c r="P91" s="25">
        <v>1</v>
      </c>
      <c r="Q91" s="25">
        <v>1</v>
      </c>
      <c r="R91" s="25">
        <v>1</v>
      </c>
      <c r="S91" s="25">
        <v>0.5</v>
      </c>
      <c r="T91" s="10">
        <v>0.5</v>
      </c>
      <c r="U91" s="11">
        <f>AVERAGE(Table32[[#This Row],[PO nr]:[Delivery Date]])</f>
        <v>0.88461538461538458</v>
      </c>
      <c r="V91" s="21" t="s">
        <v>218</v>
      </c>
      <c r="W91" s="21"/>
      <c r="X91" s="21"/>
      <c r="Y91" s="21"/>
      <c r="Z91" s="21"/>
    </row>
    <row r="92" spans="3:26" ht="15" customHeight="1" x14ac:dyDescent="0.3">
      <c r="C92" t="str">
        <f>_xlfn.XLOOKUP(Table32[[#This Row],[Customer]],'Top 300'!C:C,'Top 300'!A:A,"0",2,1)</f>
        <v>0</v>
      </c>
      <c r="D92" s="30" t="str">
        <f>_xlfn.XLOOKUP(Table32[[#This Row],[File Name]],'Analyse 2 Detail 02-03'!A:A,'Analyse 2 Detail 02-03'!R:R,"Not Found",0,1)</f>
        <v>Brocacef</v>
      </c>
      <c r="E92" s="2" t="s">
        <v>140</v>
      </c>
      <c r="F92" s="64" t="s">
        <v>9</v>
      </c>
      <c r="G92" s="71">
        <v>2</v>
      </c>
      <c r="H92" s="25">
        <v>1</v>
      </c>
      <c r="I92" s="25">
        <v>1</v>
      </c>
      <c r="J92" s="25">
        <v>1</v>
      </c>
      <c r="K92" s="25">
        <v>1</v>
      </c>
      <c r="L92" s="25">
        <v>1</v>
      </c>
      <c r="M92" s="9">
        <v>0.5</v>
      </c>
      <c r="N92" s="88">
        <v>1</v>
      </c>
      <c r="O92" s="25">
        <v>1</v>
      </c>
      <c r="P92" s="25">
        <v>1</v>
      </c>
      <c r="Q92" s="25">
        <v>1</v>
      </c>
      <c r="R92" s="25">
        <v>1</v>
      </c>
      <c r="S92" s="25">
        <v>0.5</v>
      </c>
      <c r="T92" s="10">
        <v>1</v>
      </c>
      <c r="U92" s="11">
        <f>AVERAGE(Table32[[#This Row],[PO nr]:[Delivery Date]])</f>
        <v>0.92307692307692313</v>
      </c>
      <c r="V92" s="21" t="s">
        <v>219</v>
      </c>
      <c r="W92" s="21"/>
      <c r="X92" s="21"/>
      <c r="Y92" s="21"/>
      <c r="Z92" s="21"/>
    </row>
    <row r="93" spans="3:26" ht="15" customHeight="1" x14ac:dyDescent="0.3">
      <c r="C93" t="str">
        <f>_xlfn.XLOOKUP(Table32[[#This Row],[Customer]],'Top 300'!C:C,'Top 300'!A:A,"0",2,1)</f>
        <v>0</v>
      </c>
      <c r="D93" s="30" t="str">
        <f>_xlfn.XLOOKUP(Table32[[#This Row],[File Name]],'Analyse 2 Detail 02-03'!A:A,'Analyse 2 Detail 02-03'!R:R,"Not Found",0,1)</f>
        <v>Van Hoeckel</v>
      </c>
      <c r="E93" s="2" t="s">
        <v>118</v>
      </c>
      <c r="F93" s="64" t="s">
        <v>9</v>
      </c>
      <c r="G93" s="71">
        <v>2</v>
      </c>
      <c r="H93" s="25" t="s">
        <v>211</v>
      </c>
      <c r="I93" s="25" t="s">
        <v>211</v>
      </c>
      <c r="J93" s="25" t="s">
        <v>211</v>
      </c>
      <c r="K93" s="25" t="s">
        <v>211</v>
      </c>
      <c r="L93" s="25" t="s">
        <v>211</v>
      </c>
      <c r="M93" s="25" t="s">
        <v>211</v>
      </c>
      <c r="N93" s="25" t="s">
        <v>211</v>
      </c>
      <c r="O93" s="25" t="s">
        <v>211</v>
      </c>
      <c r="P93" s="25" t="s">
        <v>211</v>
      </c>
      <c r="Q93" s="25" t="s">
        <v>211</v>
      </c>
      <c r="R93" s="25" t="s">
        <v>211</v>
      </c>
      <c r="S93" s="25" t="s">
        <v>211</v>
      </c>
      <c r="T93" s="25" t="s">
        <v>211</v>
      </c>
      <c r="U93" s="11" t="e">
        <f>AVERAGE(Table32[[#This Row],[PO nr]:[Delivery Date]])</f>
        <v>#DIV/0!</v>
      </c>
      <c r="V93" s="84" t="s">
        <v>220</v>
      </c>
      <c r="W93" s="21" t="s">
        <v>222</v>
      </c>
      <c r="X93" s="21"/>
      <c r="Y93" s="21"/>
      <c r="Z93" s="21"/>
    </row>
    <row r="94" spans="3:26" ht="15" customHeight="1" x14ac:dyDescent="0.3">
      <c r="C94" t="str">
        <f>_xlfn.XLOOKUP(Table32[[#This Row],[Customer]],'Top 300'!C:C,'Top 300'!A:A,"0",2,1)</f>
        <v>0</v>
      </c>
      <c r="D94" s="30" t="str">
        <f>_xlfn.XLOOKUP(Table32[[#This Row],[File Name]],'Analyse 2 Detail 02-03'!A:A,'Analyse 2 Detail 02-03'!R:R,"Not Found",0,1)</f>
        <v>Van Hoeckel</v>
      </c>
      <c r="E94" s="2" t="s">
        <v>177</v>
      </c>
      <c r="F94" s="64" t="s">
        <v>9</v>
      </c>
      <c r="G94" s="71">
        <v>3</v>
      </c>
      <c r="H94" s="25">
        <v>1</v>
      </c>
      <c r="I94" s="25">
        <v>0.5</v>
      </c>
      <c r="J94" s="25">
        <v>1</v>
      </c>
      <c r="K94" s="25">
        <v>1</v>
      </c>
      <c r="L94" s="25">
        <v>1</v>
      </c>
      <c r="M94" s="9">
        <v>0.5</v>
      </c>
      <c r="N94" s="88">
        <v>1</v>
      </c>
      <c r="O94" s="25">
        <v>1</v>
      </c>
      <c r="P94" s="25">
        <v>1</v>
      </c>
      <c r="Q94" s="25">
        <v>1</v>
      </c>
      <c r="R94" s="25">
        <v>1</v>
      </c>
      <c r="S94" s="25">
        <v>0.5</v>
      </c>
      <c r="T94" s="10">
        <v>1</v>
      </c>
      <c r="U94" s="11">
        <f>AVERAGE(Table32[[#This Row],[PO nr]:[Delivery Date]])</f>
        <v>0.88461538461538458</v>
      </c>
      <c r="V94" s="84" t="s">
        <v>223</v>
      </c>
      <c r="W94" s="21" t="s">
        <v>222</v>
      </c>
      <c r="X94" s="21"/>
      <c r="Y94" s="21"/>
      <c r="Z94" s="21"/>
    </row>
    <row r="95" spans="3:26" ht="15" customHeight="1" x14ac:dyDescent="0.3">
      <c r="C95" t="str">
        <f>_xlfn.XLOOKUP(Table32[[#This Row],[Customer]],'Top 300'!C:C,'Top 300'!A:A,"0",2,1)</f>
        <v>0</v>
      </c>
      <c r="D95" s="30" t="str">
        <f>_xlfn.XLOOKUP(Table32[[#This Row],[File Name]],'Analyse 2 Detail 02-03'!A:A,'Analyse 2 Detail 02-03'!R:R,"Not Found",0,1)</f>
        <v>Van Hoeckel</v>
      </c>
      <c r="E95" s="2" t="s">
        <v>123</v>
      </c>
      <c r="F95" s="64" t="s">
        <v>9</v>
      </c>
      <c r="G95" s="71">
        <v>4</v>
      </c>
      <c r="H95" s="25">
        <v>1</v>
      </c>
      <c r="I95" s="25">
        <v>0.5</v>
      </c>
      <c r="J95" s="25">
        <v>1</v>
      </c>
      <c r="K95" s="25">
        <v>1</v>
      </c>
      <c r="L95" s="25">
        <v>1</v>
      </c>
      <c r="M95" s="9">
        <v>0.5</v>
      </c>
      <c r="N95" s="88">
        <v>1</v>
      </c>
      <c r="O95" s="25">
        <v>1</v>
      </c>
      <c r="P95" s="25">
        <v>1</v>
      </c>
      <c r="Q95" s="25">
        <v>1</v>
      </c>
      <c r="R95" s="25">
        <v>0.5</v>
      </c>
      <c r="S95" s="25">
        <v>0.5</v>
      </c>
      <c r="T95" s="10">
        <v>1</v>
      </c>
      <c r="U95" s="11">
        <f>AVERAGE(Table32[[#This Row],[PO nr]:[Delivery Date]])</f>
        <v>0.84615384615384615</v>
      </c>
      <c r="V95" s="84" t="s">
        <v>221</v>
      </c>
      <c r="W95" s="21" t="s">
        <v>222</v>
      </c>
      <c r="X95" s="21"/>
      <c r="Y95" s="21"/>
      <c r="Z95" s="21"/>
    </row>
    <row r="96" spans="3:26" ht="15" customHeight="1" x14ac:dyDescent="0.3">
      <c r="C96" t="str">
        <f>_xlfn.XLOOKUP(Table32[[#This Row],[Customer]],'Top 300'!C:C,'Top 300'!A:A,"0",2,1)</f>
        <v>0</v>
      </c>
      <c r="D96" s="30" t="str">
        <f>_xlfn.XLOOKUP(Table32[[#This Row],[File Name]],'Analyse 2 Detail 02-03'!A:A,'Analyse 2 Detail 02-03'!R:R,"Not Found",0,1)</f>
        <v>G3 Medical B.V.</v>
      </c>
      <c r="E96" s="2" t="s">
        <v>105</v>
      </c>
      <c r="F96" s="64" t="s">
        <v>9</v>
      </c>
      <c r="G96" s="71">
        <v>0</v>
      </c>
      <c r="M96" s="9"/>
      <c r="T96" s="23"/>
      <c r="U96" s="11" t="e">
        <f>AVERAGE(Table32[[#This Row],[PO nr]:[Delivery Date]])</f>
        <v>#DIV/0!</v>
      </c>
      <c r="V96" s="21"/>
      <c r="W96" s="21"/>
      <c r="X96" s="21"/>
      <c r="Y96" s="21"/>
      <c r="Z96" s="21"/>
    </row>
    <row r="97" spans="3:26" ht="15" customHeight="1" x14ac:dyDescent="0.3">
      <c r="C97" t="str">
        <f>_xlfn.XLOOKUP(Table32[[#This Row],[Customer]],'Top 300'!C:C,'Top 300'!A:A,"0",2,1)</f>
        <v>0</v>
      </c>
      <c r="D97" s="30" t="str">
        <f>_xlfn.XLOOKUP(Table32[[#This Row],[File Name]],'Analyse 2 Detail 02-03'!A:A,'Analyse 2 Detail 02-03'!R:R,"Not Found",0,1)</f>
        <v>G3 Medical B.V.</v>
      </c>
      <c r="E97" s="2" t="s">
        <v>126</v>
      </c>
      <c r="F97" s="64" t="s">
        <v>9</v>
      </c>
      <c r="G97" s="71">
        <v>0</v>
      </c>
      <c r="M97" s="9"/>
      <c r="T97" s="23"/>
      <c r="U97" s="11" t="e">
        <f>AVERAGE(Table32[[#This Row],[PO nr]:[Delivery Date]])</f>
        <v>#DIV/0!</v>
      </c>
      <c r="V97" s="21"/>
      <c r="W97" s="21"/>
      <c r="X97" s="21"/>
      <c r="Y97" s="21"/>
      <c r="Z97" s="21"/>
    </row>
    <row r="98" spans="3:26" ht="15" customHeight="1" x14ac:dyDescent="0.3">
      <c r="C98" t="str">
        <f>_xlfn.XLOOKUP(Table32[[#This Row],[Customer]],'Top 300'!C:C,'Top 300'!A:A,"0",2,1)</f>
        <v>0</v>
      </c>
      <c r="D98" s="30">
        <f>_xlfn.XLOOKUP(Table32[[#This Row],[File Name]],'Analyse 2 Detail 02-03'!A:A,'Analyse 2 Detail 02-03'!R:R,"Not Found",0,1)</f>
        <v>0</v>
      </c>
      <c r="E98" s="2" t="s">
        <v>115</v>
      </c>
      <c r="F98" s="64" t="s">
        <v>11</v>
      </c>
      <c r="G98" s="71">
        <v>0</v>
      </c>
      <c r="M98" s="9"/>
      <c r="T98" s="23"/>
      <c r="U98" s="11" t="e">
        <f>AVERAGE(Table32[[#This Row],[PO nr]:[Delivery Date]])</f>
        <v>#DIV/0!</v>
      </c>
      <c r="V98" s="21"/>
      <c r="W98" s="21"/>
      <c r="X98" s="21"/>
      <c r="Y98" s="21"/>
      <c r="Z98" s="21"/>
    </row>
    <row r="99" spans="3:26" ht="15" customHeight="1" x14ac:dyDescent="0.3">
      <c r="C99" t="str">
        <f>_xlfn.XLOOKUP(Table32[[#This Row],[Customer]],'Top 300'!C:C,'Top 300'!A:A,"0",2,1)</f>
        <v>0</v>
      </c>
      <c r="D99" s="30" t="str">
        <f>_xlfn.XLOOKUP(Table32[[#This Row],[File Name]],'Analyse 2 Detail 02-03'!A:A,'Analyse 2 Detail 02-03'!R:R,"Not Found",0,1)</f>
        <v>G3 Medical B.V.</v>
      </c>
      <c r="E99" s="2" t="s">
        <v>137</v>
      </c>
      <c r="F99" s="64" t="s">
        <v>9</v>
      </c>
      <c r="G99" s="71">
        <v>0</v>
      </c>
      <c r="M99" s="9"/>
      <c r="T99" s="23"/>
      <c r="U99" s="11" t="e">
        <f>AVERAGE(Table32[[#This Row],[PO nr]:[Delivery Date]])</f>
        <v>#DIV/0!</v>
      </c>
      <c r="V99" s="21"/>
      <c r="W99" s="21"/>
      <c r="X99" s="21"/>
      <c r="Y99" s="21"/>
      <c r="Z99" s="21"/>
    </row>
    <row r="100" spans="3:26" ht="15" customHeight="1" x14ac:dyDescent="0.3">
      <c r="C100" t="str">
        <f>_xlfn.XLOOKUP(Table32[[#This Row],[Customer]],'Top 300'!C:C,'Top 300'!A:A,"0",2,1)</f>
        <v>0</v>
      </c>
      <c r="D100" s="30" t="str">
        <f>_xlfn.XLOOKUP(Table32[[#This Row],[File Name]],'Analyse 2 Detail 02-03'!A:A,'Analyse 2 Detail 02-03'!R:R,"Not Found",0,1)</f>
        <v>G3 Medical B.V.</v>
      </c>
      <c r="E100" s="2" t="s">
        <v>165</v>
      </c>
      <c r="F100" s="64" t="s">
        <v>9</v>
      </c>
      <c r="G100" s="71">
        <v>0</v>
      </c>
      <c r="M100" s="9"/>
      <c r="T100" s="23"/>
      <c r="U100" s="11" t="e">
        <f>AVERAGE(Table32[[#This Row],[PO nr]:[Delivery Date]])</f>
        <v>#DIV/0!</v>
      </c>
      <c r="V100" s="21"/>
      <c r="W100" s="21"/>
      <c r="X100" s="21"/>
      <c r="Y100" s="21"/>
      <c r="Z100" s="21"/>
    </row>
    <row r="101" spans="3:26" ht="15" customHeight="1" x14ac:dyDescent="0.3">
      <c r="C101" t="str">
        <f>_xlfn.XLOOKUP(Table32[[#This Row],[Customer]],'Top 300'!C:C,'Top 300'!A:A,"0",2,1)</f>
        <v>0</v>
      </c>
      <c r="D101" s="30">
        <f>_xlfn.XLOOKUP(Table32[[#This Row],[File Name]],'Analyse 2 Detail 02-03'!A:A,'Analyse 2 Detail 02-03'!R:R,"Not Found",0,1)</f>
        <v>0</v>
      </c>
      <c r="E101" s="2" t="s">
        <v>149</v>
      </c>
      <c r="F101" s="64" t="s">
        <v>11</v>
      </c>
      <c r="G101" s="71">
        <v>0</v>
      </c>
      <c r="M101" s="9"/>
      <c r="T101" s="23"/>
      <c r="U101" s="11" t="e">
        <f>AVERAGE(Table32[[#This Row],[PO nr]:[Delivery Date]])</f>
        <v>#DIV/0!</v>
      </c>
      <c r="V101" s="21"/>
      <c r="W101" s="21"/>
      <c r="X101" s="21"/>
      <c r="Y101" s="21"/>
      <c r="Z101" s="21"/>
    </row>
    <row r="102" spans="3:26" ht="15" customHeight="1" x14ac:dyDescent="0.3">
      <c r="C102" t="str">
        <f>_xlfn.XLOOKUP(Table32[[#This Row],[Customer]],'Top 300'!C:C,'Top 300'!A:A,"0",2,1)</f>
        <v>0</v>
      </c>
      <c r="D102" s="30">
        <f>_xlfn.XLOOKUP(Table32[[#This Row],[File Name]],'Analyse 2 Detail 02-03'!A:A,'Analyse 2 Detail 02-03'!R:R,"Not Found",0,1)</f>
        <v>0</v>
      </c>
      <c r="E102" s="2" t="s">
        <v>157</v>
      </c>
      <c r="F102" s="64" t="s">
        <v>11</v>
      </c>
      <c r="G102" s="71">
        <v>0</v>
      </c>
      <c r="M102" s="9"/>
      <c r="T102" s="23"/>
      <c r="U102" s="11" t="e">
        <f>AVERAGE(Table32[[#This Row],[PO nr]:[Delivery Date]])</f>
        <v>#DIV/0!</v>
      </c>
      <c r="V102" s="21"/>
      <c r="W102" s="21"/>
      <c r="X102" s="21"/>
      <c r="Y102" s="21"/>
      <c r="Z102" s="21"/>
    </row>
    <row r="103" spans="3:26" ht="15" customHeight="1" x14ac:dyDescent="0.3">
      <c r="C103" t="str">
        <f>_xlfn.XLOOKUP(Table32[[#This Row],[Customer]],'Top 300'!C:C,'Top 300'!A:A,"0",2,1)</f>
        <v>0</v>
      </c>
      <c r="D103" s="30" t="str">
        <f>_xlfn.XLOOKUP(Table32[[#This Row],[File Name]],'Analyse 2 Detail 02-03'!A:A,'Analyse 2 Detail 02-03'!R:R,"Not Found",0,1)</f>
        <v>G3 Medical B.V.</v>
      </c>
      <c r="E103" s="2" t="s">
        <v>112</v>
      </c>
      <c r="F103" s="64" t="s">
        <v>9</v>
      </c>
      <c r="G103" s="71">
        <v>0</v>
      </c>
      <c r="M103" s="9"/>
      <c r="T103" s="23"/>
      <c r="U103" s="11" t="e">
        <f>AVERAGE(Table32[[#This Row],[PO nr]:[Delivery Date]])</f>
        <v>#DIV/0!</v>
      </c>
      <c r="V103" s="21"/>
      <c r="W103" s="21"/>
      <c r="X103" s="21"/>
      <c r="Y103" s="21"/>
      <c r="Z103" s="21"/>
    </row>
    <row r="104" spans="3:26" ht="15" customHeight="1" x14ac:dyDescent="0.3">
      <c r="C104" t="str">
        <f>_xlfn.XLOOKUP(Table32[[#This Row],[Customer]],'Top 300'!C:C,'Top 300'!A:A,"0",2,1)</f>
        <v>0</v>
      </c>
      <c r="D104" s="30" t="str">
        <f>_xlfn.XLOOKUP(Table32[[#This Row],[File Name]],'Analyse 2 Detail 02-03'!A:A,'Analyse 2 Detail 02-03'!R:R,"Not Found",0,1)</f>
        <v>G3 Medical B.V.</v>
      </c>
      <c r="E104" s="2" t="s">
        <v>174</v>
      </c>
      <c r="F104" s="64" t="s">
        <v>9</v>
      </c>
      <c r="G104" s="71">
        <v>0</v>
      </c>
      <c r="M104" s="9"/>
      <c r="T104" s="23"/>
      <c r="U104" s="11" t="e">
        <f>AVERAGE(Table32[[#This Row],[PO nr]:[Delivery Date]])</f>
        <v>#DIV/0!</v>
      </c>
      <c r="V104" s="21"/>
      <c r="W104" s="21"/>
      <c r="X104" s="21"/>
      <c r="Y104" s="21"/>
      <c r="Z104" s="21"/>
    </row>
    <row r="105" spans="3:26" ht="15" customHeight="1" thickBot="1" x14ac:dyDescent="0.35">
      <c r="C105" t="str">
        <f>_xlfn.XLOOKUP(Table32[[#This Row],[Customer]],'Top 300'!C:C,'Top 300'!A:A,"0",2,1)</f>
        <v>0</v>
      </c>
      <c r="D105" s="31" t="str">
        <f>_xlfn.XLOOKUP(Table32[[#This Row],[File Name]],'Analyse 2 Detail 02-03'!A:A,'Analyse 2 Detail 02-03'!R:R,"Not Found",0,1)</f>
        <v>G3 Medical B.V.</v>
      </c>
      <c r="E105" s="32" t="s">
        <v>178</v>
      </c>
      <c r="F105" s="65" t="s">
        <v>9</v>
      </c>
      <c r="G105" s="72">
        <v>0</v>
      </c>
      <c r="H105" s="66"/>
      <c r="I105" s="66"/>
      <c r="J105" s="66"/>
      <c r="K105" s="66"/>
      <c r="L105" s="66"/>
      <c r="M105" s="67"/>
      <c r="N105" s="91"/>
      <c r="O105" s="66"/>
      <c r="P105" s="66"/>
      <c r="Q105" s="66"/>
      <c r="R105" s="66"/>
      <c r="S105" s="66"/>
      <c r="T105" s="68"/>
      <c r="U105" s="11" t="e">
        <f>AVERAGE(Table32[[#This Row],[PO nr]:[Delivery Date]])</f>
        <v>#DIV/0!</v>
      </c>
      <c r="V105" s="69"/>
      <c r="W105" s="69"/>
      <c r="X105" s="69"/>
      <c r="Y105" s="69"/>
      <c r="Z105" s="21"/>
    </row>
  </sheetData>
  <mergeCells count="1">
    <mergeCell ref="H5:T5"/>
  </mergeCells>
  <conditionalFormatting sqref="H4:U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:U105">
    <cfRule type="colorScale" priority="16">
      <colorScale>
        <cfvo type="min"/>
        <cfvo type="percentile" val="50"/>
        <cfvo type="max"/>
        <color rgb="FFF8696B"/>
        <color rgb="FFFFEB84"/>
        <color theme="9" tint="0.59999389629810485"/>
      </colorScale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7A828-557F-4476-9CAE-BF35E294515C}">
  <dimension ref="C1:Z213"/>
  <sheetViews>
    <sheetView tabSelected="1" topLeftCell="A3" zoomScale="55" zoomScaleNormal="55" workbookViewId="0">
      <selection activeCell="E3" sqref="E3"/>
    </sheetView>
  </sheetViews>
  <sheetFormatPr defaultRowHeight="15" customHeight="1" x14ac:dyDescent="0.3"/>
  <cols>
    <col min="1" max="1" width="1.88671875" customWidth="1"/>
    <col min="2" max="3" width="1.6640625" customWidth="1"/>
    <col min="4" max="4" width="21.33203125" bestFit="1" customWidth="1"/>
    <col min="5" max="5" width="39.88671875" customWidth="1"/>
    <col min="6" max="6" width="22" bestFit="1" customWidth="1"/>
    <col min="7" max="7" width="8.88671875" style="24" customWidth="1"/>
    <col min="8" max="13" width="9.6640625" style="24" customWidth="1"/>
    <col min="14" max="14" width="10.88671875" style="85" customWidth="1"/>
    <col min="15" max="17" width="9.6640625" style="24" customWidth="1"/>
    <col min="18" max="18" width="10.33203125" style="24" customWidth="1"/>
    <col min="19" max="20" width="9.6640625" style="24" customWidth="1"/>
    <col min="21" max="21" width="11.6640625" customWidth="1"/>
    <col min="22" max="23" width="57.44140625" customWidth="1"/>
    <col min="24" max="24" width="49.6640625" customWidth="1"/>
    <col min="25" max="25" width="55.109375" customWidth="1"/>
    <col min="26" max="26" width="41.6640625" bestFit="1" customWidth="1"/>
  </cols>
  <sheetData>
    <row r="1" spans="3:26" ht="14.4" hidden="1" x14ac:dyDescent="0.3">
      <c r="E1" s="4" t="s">
        <v>34</v>
      </c>
      <c r="F1" s="4" t="s">
        <v>35</v>
      </c>
    </row>
    <row r="2" spans="3:26" ht="14.4" hidden="1" x14ac:dyDescent="0.3">
      <c r="E2" s="4" t="s">
        <v>36</v>
      </c>
      <c r="F2" s="4" t="s">
        <v>37</v>
      </c>
      <c r="G2" s="26" t="s">
        <v>38</v>
      </c>
    </row>
    <row r="3" spans="3:26" ht="33.6" x14ac:dyDescent="0.65">
      <c r="D3" s="117" t="s">
        <v>2365</v>
      </c>
      <c r="R3" s="26"/>
    </row>
    <row r="4" spans="3:26" thickBot="1" x14ac:dyDescent="0.35">
      <c r="E4" s="59">
        <f>COUNTA(Table325[File Name])</f>
        <v>99</v>
      </c>
      <c r="F4">
        <f>COUNTIF(Table325[Recognised doc type],"extracted")</f>
        <v>76</v>
      </c>
      <c r="G4" s="24">
        <f>SUM(Table325['# Missing fields])</f>
        <v>69</v>
      </c>
      <c r="H4" s="25">
        <f>AVERAGE(Table325[PO nr])</f>
        <v>0.93421052631578949</v>
      </c>
      <c r="I4" s="25">
        <f>AVERAGE(Table325[Supplier Order Nr])</f>
        <v>0.96052631578947367</v>
      </c>
      <c r="J4" s="25">
        <f>AVERAGE(Table325[Order Date])</f>
        <v>1</v>
      </c>
      <c r="K4" s="25">
        <f>AVERAGE(Table325[Supplier Name])</f>
        <v>1</v>
      </c>
      <c r="L4" s="25">
        <f>AVERAGE(Table325[Customer name])</f>
        <v>1</v>
      </c>
      <c r="M4" s="25">
        <f>AVERAGE(Table325[Currency])</f>
        <v>0.92105263157894735</v>
      </c>
      <c r="N4" s="86"/>
      <c r="O4" s="25">
        <f>AVERAGE(Table325[Article Number])</f>
        <v>1</v>
      </c>
      <c r="P4" s="25">
        <f>AVERAGE(Table325[Description])</f>
        <v>0.98684210526315785</v>
      </c>
      <c r="Q4" s="25">
        <f>AVERAGE(Table325[Quantity])</f>
        <v>1</v>
      </c>
      <c r="R4" s="25">
        <f>AVERAGE(Table325[UoM])</f>
        <v>0.89473684210526316</v>
      </c>
      <c r="S4" s="25">
        <f>AVERAGE(Table325[Unit Price])</f>
        <v>0.88647098515519573</v>
      </c>
      <c r="T4" s="25">
        <f>AVERAGE(Table325[Delivery Date])</f>
        <v>0.83821770334928236</v>
      </c>
      <c r="U4" s="5">
        <f>AVERAGE(H4:T4)</f>
        <v>0.95183809246309259</v>
      </c>
    </row>
    <row r="5" spans="3:26" thickBot="1" x14ac:dyDescent="0.35">
      <c r="D5" s="6"/>
      <c r="E5" s="7"/>
      <c r="F5" s="7"/>
      <c r="G5" s="27"/>
      <c r="H5" s="145" t="s">
        <v>193</v>
      </c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7"/>
      <c r="U5" s="7"/>
      <c r="V5" s="19"/>
      <c r="W5" s="19"/>
      <c r="X5" s="18"/>
      <c r="Y5" s="18"/>
      <c r="Z5" s="18"/>
    </row>
    <row r="6" spans="3:26" ht="29.4" thickBot="1" x14ac:dyDescent="0.35">
      <c r="D6" s="73" t="s">
        <v>42</v>
      </c>
      <c r="E6" s="74" t="s">
        <v>0</v>
      </c>
      <c r="F6" s="75" t="s">
        <v>44</v>
      </c>
      <c r="G6" s="82" t="s">
        <v>45</v>
      </c>
      <c r="H6" s="76" t="s">
        <v>47</v>
      </c>
      <c r="I6" s="77" t="s">
        <v>191</v>
      </c>
      <c r="J6" s="76" t="s">
        <v>48</v>
      </c>
      <c r="K6" s="76" t="s">
        <v>49</v>
      </c>
      <c r="L6" s="76" t="s">
        <v>50</v>
      </c>
      <c r="M6" s="76" t="s">
        <v>51</v>
      </c>
      <c r="N6" s="87" t="s">
        <v>52</v>
      </c>
      <c r="O6" s="76" t="s">
        <v>192</v>
      </c>
      <c r="P6" s="76" t="s">
        <v>54</v>
      </c>
      <c r="Q6" s="76" t="s">
        <v>55</v>
      </c>
      <c r="R6" s="76" t="s">
        <v>56</v>
      </c>
      <c r="S6" s="76" t="s">
        <v>57</v>
      </c>
      <c r="T6" s="78" t="s">
        <v>58</v>
      </c>
      <c r="U6" s="79" t="s">
        <v>194</v>
      </c>
      <c r="V6" s="80" t="s">
        <v>59</v>
      </c>
      <c r="W6" s="80" t="s">
        <v>196</v>
      </c>
      <c r="X6" s="80" t="s">
        <v>60</v>
      </c>
      <c r="Y6" s="81" t="s">
        <v>61</v>
      </c>
      <c r="Z6" s="92" t="s">
        <v>208</v>
      </c>
    </row>
    <row r="7" spans="3:26" ht="14.4" x14ac:dyDescent="0.3">
      <c r="C7" t="str">
        <f>_xlfn.XLOOKUP(Table325[[#This Row],[Customer]],'Top 300'!C:C,'Top 300'!A:A,"0",2,1)</f>
        <v>0</v>
      </c>
      <c r="D7" s="28" t="str">
        <f>_xlfn.XLOOKUP(Table325[[#This Row],[File Name]],'Analyse 2 Detail 02-03'!A:A,'Analyse 2 Detail 02-03'!R:R,"Not Found",0,1)</f>
        <v>Mölnlycke Health Care NV</v>
      </c>
      <c r="E7" s="2" t="s">
        <v>132</v>
      </c>
      <c r="F7" s="63" t="s">
        <v>9</v>
      </c>
      <c r="G7" s="70">
        <v>0</v>
      </c>
      <c r="H7" s="9">
        <f>IF($F7="unclassified","N/A",(_xlfn.XLOOKUP($E7,Sheet2!$A:$A,Sheet2!Q:Q,"N/A",0,1)))</f>
        <v>1</v>
      </c>
      <c r="I7" s="9">
        <f>IF($F7="unclassified","N/A",(_xlfn.XLOOKUP($E7,Sheet2!$A:$A,Sheet2!R:R,"N/A",0,1)))</f>
        <v>1</v>
      </c>
      <c r="J7" s="9">
        <f>IF($F7="unclassified","N/A",(_xlfn.XLOOKUP($E7,Sheet2!$A:$A,Sheet2!S:S,"N/A",0,1)))</f>
        <v>1</v>
      </c>
      <c r="K7" s="9">
        <f>IF($F7="unclassified","N/A",(_xlfn.XLOOKUP($E7,Sheet2!$A:$A,Sheet2!T:T,"N/A",0,1)))</f>
        <v>1</v>
      </c>
      <c r="L7" s="9">
        <f>IF($F7="unclassified","N/A",(_xlfn.XLOOKUP($E7,Sheet2!$A:$A,Sheet2!U:U,"N/A",0,1)))</f>
        <v>1</v>
      </c>
      <c r="M7" s="25">
        <f>IF($F7="unclassified","N/A",(_xlfn.XLOOKUP($E7,Sheet2!$A:$A,Sheet2!V:V,"N/A",0,1)))</f>
        <v>1</v>
      </c>
      <c r="N7" s="25"/>
      <c r="O7" s="9">
        <f>IF($F7="unclassified","N/A",(_xlfn.XLOOKUP($E7,Sheet2!$A:$A,Sheet2!W:W,"N/A",0,1)))</f>
        <v>1</v>
      </c>
      <c r="P7" s="9">
        <f>IF($F7="unclassified","N/A",(_xlfn.XLOOKUP($E7,Sheet2!$A:$A,Sheet2!X:X,"N/A",0,1)))</f>
        <v>1</v>
      </c>
      <c r="Q7" s="9">
        <f>IF($F7="unclassified","N/A",(_xlfn.XLOOKUP($E7,Sheet2!$A:$A,Sheet2!Y:Y,"N/A",0,1)))</f>
        <v>1</v>
      </c>
      <c r="R7" s="9">
        <f>IF($F7="unclassified","N/A",(_xlfn.XLOOKUP($E7,Sheet2!$A:$A,Sheet2!Z:Z,"N/A",0,1)))</f>
        <v>1</v>
      </c>
      <c r="S7" s="9">
        <f>IF($F7="unclassified","N/A",(_xlfn.XLOOKUP($E7,Sheet2!$A:$A,Sheet2!AA:AA,"N/A",0,1)))</f>
        <v>1</v>
      </c>
      <c r="T7" s="9">
        <f>IF($F7="unclassified","N/A",(_xlfn.XLOOKUP($E7,Sheet2!$A:$A,Sheet2!AB:AB,"N/A",0,1)))</f>
        <v>1</v>
      </c>
      <c r="U7" s="11">
        <f>IF($F7="unclassified","N/A",(AVERAGE(Table325[[#This Row],[PO nr]:[Delivery Date]])))</f>
        <v>1</v>
      </c>
      <c r="V7" s="20"/>
      <c r="W7" s="39"/>
      <c r="X7" s="39"/>
      <c r="Y7" s="20"/>
      <c r="Z7" s="21"/>
    </row>
    <row r="8" spans="3:26" ht="14.4" x14ac:dyDescent="0.3">
      <c r="C8" t="str">
        <f>_xlfn.XLOOKUP(Table325[[#This Row],[Customer]],'Top 300'!C:C,'Top 300'!A:A,"0",2,1)</f>
        <v>0</v>
      </c>
      <c r="D8" s="30" t="str">
        <f>_xlfn.XLOOKUP(Table325[[#This Row],[File Name]],'Analyse 2 Detail 02-03'!A:A,'Analyse 2 Detail 02-03'!R:R,"Not Found",0,1)</f>
        <v>Mölnlycke Health Care B.V.</v>
      </c>
      <c r="E8" s="2" t="s">
        <v>169</v>
      </c>
      <c r="F8" s="64" t="s">
        <v>9</v>
      </c>
      <c r="G8" s="71">
        <v>0</v>
      </c>
      <c r="H8" s="9">
        <f>IF($F8="unclassified","N/A",(_xlfn.XLOOKUP($E8,Sheet2!$A:$A,Sheet2!Q:Q,"N/A",0,1)))</f>
        <v>1</v>
      </c>
      <c r="I8" s="9">
        <f>IF($F8="unclassified","N/A",(_xlfn.XLOOKUP($E8,Sheet2!$A:$A,Sheet2!R:R,"N/A",0,1)))</f>
        <v>1</v>
      </c>
      <c r="J8" s="9">
        <f>IF($F8="unclassified","N/A",(_xlfn.XLOOKUP($E8,Sheet2!$A:$A,Sheet2!S:S,"N/A",0,1)))</f>
        <v>1</v>
      </c>
      <c r="K8" s="9">
        <f>IF($F8="unclassified","N/A",(_xlfn.XLOOKUP($E8,Sheet2!$A:$A,Sheet2!T:T,"N/A",0,1)))</f>
        <v>1</v>
      </c>
      <c r="L8" s="9">
        <f>IF($F8="unclassified","N/A",(_xlfn.XLOOKUP($E8,Sheet2!$A:$A,Sheet2!U:U,"N/A",0,1)))</f>
        <v>1</v>
      </c>
      <c r="M8" s="9">
        <f>IF($F8="unclassified","N/A",(_xlfn.XLOOKUP($E8,Sheet2!$A:$A,Sheet2!V:V,"N/A",0,1)))</f>
        <v>1</v>
      </c>
      <c r="N8" s="25"/>
      <c r="O8" s="9">
        <f>IF($F8="unclassified","N/A",(_xlfn.XLOOKUP($E8,Sheet2!$A:$A,Sheet2!W:W,"N/A",0,1)))</f>
        <v>1</v>
      </c>
      <c r="P8" s="9">
        <f>IF($F8="unclassified","N/A",(_xlfn.XLOOKUP($E8,Sheet2!$A:$A,Sheet2!X:X,"N/A",0,1)))</f>
        <v>1</v>
      </c>
      <c r="Q8" s="9">
        <f>IF($F8="unclassified","N/A",(_xlfn.XLOOKUP($E8,Sheet2!$A:$A,Sheet2!Y:Y,"N/A",0,1)))</f>
        <v>1</v>
      </c>
      <c r="R8" s="9">
        <f>IF($F8="unclassified","N/A",(_xlfn.XLOOKUP($E8,Sheet2!$A:$A,Sheet2!Z:Z,"N/A",0,1)))</f>
        <v>1</v>
      </c>
      <c r="S8" s="9">
        <f>IF($F8="unclassified","N/A",(_xlfn.XLOOKUP($E8,Sheet2!$A:$A,Sheet2!AA:AA,"N/A",0,1)))</f>
        <v>1</v>
      </c>
      <c r="T8" s="9">
        <f>IF($F8="unclassified","N/A",(_xlfn.XLOOKUP($E8,Sheet2!$A:$A,Sheet2!AB:AB,"N/A",0,1)))</f>
        <v>1</v>
      </c>
      <c r="U8" s="11">
        <f>IF($F8="unclassified","N/A",(AVERAGE(Table325[[#This Row],[PO nr]:[Delivery Date]])))</f>
        <v>1</v>
      </c>
      <c r="V8" s="21"/>
      <c r="X8" s="54"/>
      <c r="Y8" s="55"/>
      <c r="Z8" s="55"/>
    </row>
    <row r="9" spans="3:26" ht="14.4" x14ac:dyDescent="0.3">
      <c r="C9" t="str">
        <f>_xlfn.XLOOKUP(Table325[[#This Row],[Customer]],'Top 300'!C:C,'Top 300'!A:A,"0",2,1)</f>
        <v>0</v>
      </c>
      <c r="D9" s="30" t="str">
        <f>_xlfn.XLOOKUP(Table325[[#This Row],[File Name]],'Analyse 2 Detail 02-03'!A:A,'Analyse 2 Detail 02-03'!R:R,"Not Found",0,1)</f>
        <v>Mölnlycke Health Care B.V.</v>
      </c>
      <c r="E9" s="2" t="s">
        <v>139</v>
      </c>
      <c r="F9" s="64" t="s">
        <v>9</v>
      </c>
      <c r="G9" s="71">
        <v>0</v>
      </c>
      <c r="H9" s="9">
        <f>IF($F9="unclassified","N/A",(_xlfn.XLOOKUP($E9,Sheet2!$A:$A,Sheet2!Q:Q,"N/A",0,1)))</f>
        <v>1</v>
      </c>
      <c r="I9" s="9">
        <f>IF($F9="unclassified","N/A",(_xlfn.XLOOKUP($E9,Sheet2!$A:$A,Sheet2!R:R,"N/A",0,1)))</f>
        <v>1</v>
      </c>
      <c r="J9" s="9">
        <f>IF($F9="unclassified","N/A",(_xlfn.XLOOKUP($E9,Sheet2!$A:$A,Sheet2!S:S,"N/A",0,1)))</f>
        <v>1</v>
      </c>
      <c r="K9" s="9">
        <f>IF($F9="unclassified","N/A",(_xlfn.XLOOKUP($E9,Sheet2!$A:$A,Sheet2!T:T,"N/A",0,1)))</f>
        <v>1</v>
      </c>
      <c r="L9" s="9">
        <f>IF($F9="unclassified","N/A",(_xlfn.XLOOKUP($E9,Sheet2!$A:$A,Sheet2!U:U,"N/A",0,1)))</f>
        <v>1</v>
      </c>
      <c r="M9" s="9">
        <f>IF($F9="unclassified","N/A",(_xlfn.XLOOKUP($E9,Sheet2!$A:$A,Sheet2!V:V,"N/A",0,1)))</f>
        <v>1</v>
      </c>
      <c r="N9" s="25"/>
      <c r="O9" s="9">
        <f>IF($F9="unclassified","N/A",(_xlfn.XLOOKUP($E9,Sheet2!$A:$A,Sheet2!W:W,"N/A",0,1)))</f>
        <v>1</v>
      </c>
      <c r="P9" s="9">
        <f>IF($F9="unclassified","N/A",(_xlfn.XLOOKUP($E9,Sheet2!$A:$A,Sheet2!X:X,"N/A",0,1)))</f>
        <v>1</v>
      </c>
      <c r="Q9" s="9">
        <f>IF($F9="unclassified","N/A",(_xlfn.XLOOKUP($E9,Sheet2!$A:$A,Sheet2!Y:Y,"N/A",0,1)))</f>
        <v>1</v>
      </c>
      <c r="R9" s="9">
        <f>IF($F9="unclassified","N/A",(_xlfn.XLOOKUP($E9,Sheet2!$A:$A,Sheet2!Z:Z,"N/A",0,1)))</f>
        <v>1</v>
      </c>
      <c r="S9" s="9">
        <f>IF($F9="unclassified","N/A",(_xlfn.XLOOKUP($E9,Sheet2!$A:$A,Sheet2!AA:AA,"N/A",0,1)))</f>
        <v>1</v>
      </c>
      <c r="T9" s="9">
        <f>IF($F9="unclassified","N/A",(_xlfn.XLOOKUP($E9,Sheet2!$A:$A,Sheet2!AB:AB,"N/A",0,1)))</f>
        <v>1</v>
      </c>
      <c r="U9" s="11">
        <f>IF($F9="unclassified","N/A",(AVERAGE(Table325[[#This Row],[PO nr]:[Delivery Date]])))</f>
        <v>1</v>
      </c>
      <c r="V9" s="21"/>
      <c r="W9" s="39"/>
      <c r="X9" s="39"/>
      <c r="Y9" s="21"/>
      <c r="Z9" s="21"/>
    </row>
    <row r="10" spans="3:26" ht="14.4" x14ac:dyDescent="0.3">
      <c r="C10" t="str">
        <f>_xlfn.XLOOKUP(Table325[[#This Row],[Customer]],'Top 300'!C:C,'Top 300'!A:A,"0",2,1)</f>
        <v>0</v>
      </c>
      <c r="D10" s="30" t="str">
        <f>_xlfn.XLOOKUP(Table325[[#This Row],[File Name]],'Analyse 2 Detail 02-03'!A:A,'Analyse 2 Detail 02-03'!R:R,"Not Found",0,1)</f>
        <v>Mölnlycke Health Care B.V.</v>
      </c>
      <c r="E10" s="2" t="s">
        <v>161</v>
      </c>
      <c r="F10" s="64" t="s">
        <v>9</v>
      </c>
      <c r="G10" s="71">
        <v>0</v>
      </c>
      <c r="H10" s="9">
        <f>IF($F10="unclassified","N/A",(_xlfn.XLOOKUP($E10,Sheet2!$A:$A,Sheet2!Q:Q,"N/A",0,1)))</f>
        <v>1</v>
      </c>
      <c r="I10" s="9">
        <f>IF($F10="unclassified","N/A",(_xlfn.XLOOKUP($E10,Sheet2!$A:$A,Sheet2!R:R,"N/A",0,1)))</f>
        <v>1</v>
      </c>
      <c r="J10" s="9">
        <f>IF($F10="unclassified","N/A",(_xlfn.XLOOKUP($E10,Sheet2!$A:$A,Sheet2!S:S,"N/A",0,1)))</f>
        <v>1</v>
      </c>
      <c r="K10" s="9">
        <f>IF($F10="unclassified","N/A",(_xlfn.XLOOKUP($E10,Sheet2!$A:$A,Sheet2!T:T,"N/A",0,1)))</f>
        <v>1</v>
      </c>
      <c r="L10" s="9">
        <f>IF($F10="unclassified","N/A",(_xlfn.XLOOKUP($E10,Sheet2!$A:$A,Sheet2!U:U,"N/A",0,1)))</f>
        <v>1</v>
      </c>
      <c r="M10" s="9">
        <f>IF($F10="unclassified","N/A",(_xlfn.XLOOKUP($E10,Sheet2!$A:$A,Sheet2!V:V,"N/A",0,1)))</f>
        <v>1</v>
      </c>
      <c r="N10" s="25"/>
      <c r="O10" s="9">
        <f>IF($F10="unclassified","N/A",(_xlfn.XLOOKUP($E10,Sheet2!$A:$A,Sheet2!W:W,"N/A",0,1)))</f>
        <v>1</v>
      </c>
      <c r="P10" s="9">
        <f>IF($F10="unclassified","N/A",(_xlfn.XLOOKUP($E10,Sheet2!$A:$A,Sheet2!X:X,"N/A",0,1)))</f>
        <v>1</v>
      </c>
      <c r="Q10" s="9">
        <f>IF($F10="unclassified","N/A",(_xlfn.XLOOKUP($E10,Sheet2!$A:$A,Sheet2!Y:Y,"N/A",0,1)))</f>
        <v>1</v>
      </c>
      <c r="R10" s="9">
        <f>IF($F10="unclassified","N/A",(_xlfn.XLOOKUP($E10,Sheet2!$A:$A,Sheet2!Z:Z,"N/A",0,1)))</f>
        <v>1</v>
      </c>
      <c r="S10" s="9">
        <f>IF($F10="unclassified","N/A",(_xlfn.XLOOKUP($E10,Sheet2!$A:$A,Sheet2!AA:AA,"N/A",0,1)))</f>
        <v>1</v>
      </c>
      <c r="T10" s="9">
        <f>IF($F10="unclassified","N/A",(_xlfn.XLOOKUP($E10,Sheet2!$A:$A,Sheet2!AB:AB,"N/A",0,1)))</f>
        <v>1</v>
      </c>
      <c r="U10" s="11">
        <f>IF($F10="unclassified","N/A",(AVERAGE(Table325[[#This Row],[PO nr]:[Delivery Date]])))</f>
        <v>1</v>
      </c>
      <c r="V10" s="21"/>
      <c r="W10" s="39"/>
      <c r="X10" s="40"/>
      <c r="Y10" s="56"/>
      <c r="Z10" s="56"/>
    </row>
    <row r="11" spans="3:26" ht="14.4" x14ac:dyDescent="0.3">
      <c r="C11" t="str">
        <f>_xlfn.XLOOKUP(Table325[[#This Row],[Customer]],'Top 300'!C:C,'Top 300'!A:A,"0",2,1)</f>
        <v>0</v>
      </c>
      <c r="D11" s="30" t="str">
        <f>_xlfn.XLOOKUP(Table325[[#This Row],[File Name]],'Analyse 2 Detail 02-03'!A:A,'Analyse 2 Detail 02-03'!R:R,"Not Found",0,1)</f>
        <v>Mölnlycke Health Care B.V.</v>
      </c>
      <c r="E11" s="2" t="s">
        <v>143</v>
      </c>
      <c r="F11" s="64" t="s">
        <v>9</v>
      </c>
      <c r="G11" s="71">
        <v>0</v>
      </c>
      <c r="H11" s="9">
        <f>IF($F11="unclassified","N/A",(_xlfn.XLOOKUP($E11,Sheet2!$A:$A,Sheet2!Q:Q,"N/A",0,1)))</f>
        <v>1</v>
      </c>
      <c r="I11" s="9">
        <f>IF($F11="unclassified","N/A",(_xlfn.XLOOKUP($E11,Sheet2!$A:$A,Sheet2!R:R,"N/A",0,1)))</f>
        <v>1</v>
      </c>
      <c r="J11" s="9">
        <f>IF($F11="unclassified","N/A",(_xlfn.XLOOKUP($E11,Sheet2!$A:$A,Sheet2!S:S,"N/A",0,1)))</f>
        <v>1</v>
      </c>
      <c r="K11" s="9">
        <f>IF($F11="unclassified","N/A",(_xlfn.XLOOKUP($E11,Sheet2!$A:$A,Sheet2!T:T,"N/A",0,1)))</f>
        <v>1</v>
      </c>
      <c r="L11" s="9">
        <f>IF($F11="unclassified","N/A",(_xlfn.XLOOKUP($E11,Sheet2!$A:$A,Sheet2!U:U,"N/A",0,1)))</f>
        <v>1</v>
      </c>
      <c r="M11" s="9">
        <f>IF($F11="unclassified","N/A",(_xlfn.XLOOKUP($E11,Sheet2!$A:$A,Sheet2!V:V,"N/A",0,1)))</f>
        <v>1</v>
      </c>
      <c r="N11" s="25"/>
      <c r="O11" s="9">
        <f>IF($F11="unclassified","N/A",(_xlfn.XLOOKUP($E11,Sheet2!$A:$A,Sheet2!W:W,"N/A",0,1)))</f>
        <v>1</v>
      </c>
      <c r="P11" s="9">
        <f>IF($F11="unclassified","N/A",(_xlfn.XLOOKUP($E11,Sheet2!$A:$A,Sheet2!X:X,"N/A",0,1)))</f>
        <v>1</v>
      </c>
      <c r="Q11" s="9">
        <f>IF($F11="unclassified","N/A",(_xlfn.XLOOKUP($E11,Sheet2!$A:$A,Sheet2!Y:Y,"N/A",0,1)))</f>
        <v>1</v>
      </c>
      <c r="R11" s="9">
        <f>IF($F11="unclassified","N/A",(_xlfn.XLOOKUP($E11,Sheet2!$A:$A,Sheet2!Z:Z,"N/A",0,1)))</f>
        <v>1</v>
      </c>
      <c r="S11" s="9">
        <f>IF($F11="unclassified","N/A",(_xlfn.XLOOKUP($E11,Sheet2!$A:$A,Sheet2!AA:AA,"N/A",0,1)))</f>
        <v>1</v>
      </c>
      <c r="T11" s="9">
        <f>IF($F11="unclassified","N/A",(_xlfn.XLOOKUP($E11,Sheet2!$A:$A,Sheet2!AB:AB,"N/A",0,1)))</f>
        <v>1</v>
      </c>
      <c r="U11" s="11">
        <f>IF($F11="unclassified","N/A",(AVERAGE(Table325[[#This Row],[PO nr]:[Delivery Date]])))</f>
        <v>1</v>
      </c>
      <c r="V11" s="21"/>
      <c r="X11" s="54"/>
      <c r="Y11" s="55"/>
      <c r="Z11" s="55"/>
    </row>
    <row r="12" spans="3:26" s="52" customFormat="1" ht="30" customHeight="1" x14ac:dyDescent="0.3">
      <c r="C12" t="str">
        <f>_xlfn.XLOOKUP(Table325[[#This Row],[Customer]],'Top 300'!C:C,'Top 300'!A:A,"0",2,1)</f>
        <v>0</v>
      </c>
      <c r="D12" s="43">
        <f>_xlfn.XLOOKUP(Table325[[#This Row],[File Name]],'Analyse 2 Detail 02-03'!A:A,'Analyse 2 Detail 02-03'!R:R,"Not Found",0,1)</f>
        <v>0</v>
      </c>
      <c r="E12" s="2" t="s">
        <v>173</v>
      </c>
      <c r="F12" s="64" t="s">
        <v>11</v>
      </c>
      <c r="G12" s="71">
        <v>0</v>
      </c>
      <c r="H12" s="25" t="str">
        <f>IF($F12="unclassified","N/A",(_xlfn.XLOOKUP($E12,Sheet2!$A:$A,Sheet2!Q:Q,"N/A",0,1)))</f>
        <v>N/A</v>
      </c>
      <c r="I12" s="25" t="str">
        <f>IF($F12="unclassified","N/A",(_xlfn.XLOOKUP($E12,Sheet2!$A:$A,Sheet2!R:R,"N/A",0,1)))</f>
        <v>N/A</v>
      </c>
      <c r="J12" s="25" t="str">
        <f>IF($F12="unclassified","N/A",(_xlfn.XLOOKUP($E12,Sheet2!$A:$A,Sheet2!S:S,"N/A",0,1)))</f>
        <v>N/A</v>
      </c>
      <c r="K12" s="25" t="str">
        <f>IF($F12="unclassified","N/A",(_xlfn.XLOOKUP($E12,Sheet2!$A:$A,Sheet2!T:T,"N/A",0,1)))</f>
        <v>N/A</v>
      </c>
      <c r="L12" s="25" t="str">
        <f>IF($F12="unclassified","N/A",(_xlfn.XLOOKUP($E12,Sheet2!$A:$A,Sheet2!U:U,"N/A",0,1)))</f>
        <v>N/A</v>
      </c>
      <c r="M12" s="25" t="str">
        <f>IF($F12="unclassified","N/A",(_xlfn.XLOOKUP($E12,Sheet2!$A:$A,Sheet2!V:V,"N/A",0,1)))</f>
        <v>N/A</v>
      </c>
      <c r="N12" s="25"/>
      <c r="O12" s="25" t="str">
        <f>IF($F12="unclassified","N/A",(_xlfn.XLOOKUP($E12,Sheet2!$A:$A,Sheet2!W:W,"N/A",0,1)))</f>
        <v>N/A</v>
      </c>
      <c r="P12" s="25" t="str">
        <f>IF($F12="unclassified","N/A",(_xlfn.XLOOKUP($E12,Sheet2!$A:$A,Sheet2!X:X,"N/A",0,1)))</f>
        <v>N/A</v>
      </c>
      <c r="Q12" s="25" t="str">
        <f>IF($F12="unclassified","N/A",(_xlfn.XLOOKUP($E12,Sheet2!$A:$A,Sheet2!Y:Y,"N/A",0,1)))</f>
        <v>N/A</v>
      </c>
      <c r="R12" s="25" t="str">
        <f>IF($F12="unclassified","N/A",(_xlfn.XLOOKUP($E12,Sheet2!$A:$A,Sheet2!Z:Z,"N/A",0,1)))</f>
        <v>N/A</v>
      </c>
      <c r="S12" s="25" t="str">
        <f>IF($F12="unclassified","N/A",(_xlfn.XLOOKUP($E12,Sheet2!$A:$A,Sheet2!AA:AA,"N/A",0,1)))</f>
        <v>N/A</v>
      </c>
      <c r="T12" s="25" t="str">
        <f>IF($F12="unclassified","N/A",(_xlfn.XLOOKUP($E12,Sheet2!$A:$A,Sheet2!AB:AB,"N/A",0,1)))</f>
        <v>N/A</v>
      </c>
      <c r="U12" s="11" t="str">
        <f>IF($F12="unclassified","N/A",(AVERAGE(Table325[[#This Row],[PO nr]:[Delivery Date]])))</f>
        <v>N/A</v>
      </c>
      <c r="V12" s="50" t="s">
        <v>1816</v>
      </c>
      <c r="W12" s="21" t="s">
        <v>1814</v>
      </c>
      <c r="X12" s="51"/>
      <c r="Y12" s="57"/>
      <c r="Z12" s="57"/>
    </row>
    <row r="13" spans="3:26" s="52" customFormat="1" ht="28.5" customHeight="1" x14ac:dyDescent="0.3">
      <c r="C13" t="str">
        <f>_xlfn.XLOOKUP(Table325[[#This Row],[Customer]],'Top 300'!C:C,'Top 300'!A:A,"0",2,1)</f>
        <v>X</v>
      </c>
      <c r="D13" s="43" t="str">
        <f>_xlfn.XLOOKUP(Table325[[#This Row],[File Name]],'Analyse 2 Detail 02-03'!A:A,'Analyse 2 Detail 02-03'!R:R,"Not Found",0,1)</f>
        <v>Essity Belgium NV</v>
      </c>
      <c r="E13" s="2" t="s">
        <v>129</v>
      </c>
      <c r="F13" s="64" t="s">
        <v>9</v>
      </c>
      <c r="G13" s="71">
        <v>0</v>
      </c>
      <c r="H13" s="25">
        <f>IF($F13="unclassified","N/A",(_xlfn.XLOOKUP($E13,Sheet2!$A:$A,Sheet2!Q:Q,"N/A",0,1)))</f>
        <v>1</v>
      </c>
      <c r="I13" s="25">
        <f>IF($F13="unclassified","N/A",(_xlfn.XLOOKUP($E13,Sheet2!$A:$A,Sheet2!R:R,"N/A",0,1)))</f>
        <v>1</v>
      </c>
      <c r="J13" s="25">
        <f>IF($F13="unclassified","N/A",(_xlfn.XLOOKUP($E13,Sheet2!$A:$A,Sheet2!S:S,"N/A",0,1)))</f>
        <v>1</v>
      </c>
      <c r="K13" s="25">
        <f>IF($F13="unclassified","N/A",(_xlfn.XLOOKUP($E13,Sheet2!$A:$A,Sheet2!T:T,"N/A",0,1)))</f>
        <v>1</v>
      </c>
      <c r="L13" s="25">
        <f>IF($F13="unclassified","N/A",(_xlfn.XLOOKUP($E13,Sheet2!$A:$A,Sheet2!U:U,"N/A",0,1)))</f>
        <v>1</v>
      </c>
      <c r="M13" s="25">
        <f>IF($F13="unclassified","N/A",(_xlfn.XLOOKUP($E13,Sheet2!$A:$A,Sheet2!V:V,"N/A",0,1)))</f>
        <v>1</v>
      </c>
      <c r="N13" s="25"/>
      <c r="O13" s="25">
        <f>IF($F13="unclassified","N/A",(_xlfn.XLOOKUP($E13,Sheet2!$A:$A,Sheet2!W:W,"N/A",0,1)))</f>
        <v>1</v>
      </c>
      <c r="P13" s="25">
        <f>IF($F13="unclassified","N/A",(_xlfn.XLOOKUP($E13,Sheet2!$A:$A,Sheet2!X:X,"N/A",0,1)))</f>
        <v>1</v>
      </c>
      <c r="Q13" s="25">
        <f>IF($F13="unclassified","N/A",(_xlfn.XLOOKUP($E13,Sheet2!$A:$A,Sheet2!Y:Y,"N/A",0,1)))</f>
        <v>1</v>
      </c>
      <c r="R13" s="25">
        <f>IF($F13="unclassified","N/A",(_xlfn.XLOOKUP($E13,Sheet2!$A:$A,Sheet2!Z:Z,"N/A",0,1)))</f>
        <v>1</v>
      </c>
      <c r="S13" s="25">
        <f>IF($F13="unclassified","N/A",(_xlfn.XLOOKUP($E13,Sheet2!$A:$A,Sheet2!AA:AA,"N/A",0,1)))</f>
        <v>0.5</v>
      </c>
      <c r="T13" s="25">
        <f>IF($F13="unclassified","N/A",(_xlfn.XLOOKUP($E13,Sheet2!$A:$A,Sheet2!AB:AB,"N/A",0,1)))</f>
        <v>1</v>
      </c>
      <c r="U13" s="11">
        <f>IF($F13="unclassified","N/A",(AVERAGE(Table325[[#This Row],[PO nr]:[Delivery Date]])))</f>
        <v>0.95833333333333337</v>
      </c>
      <c r="V13" s="50"/>
      <c r="W13" s="83"/>
      <c r="X13" s="51"/>
      <c r="Y13" s="57"/>
      <c r="Z13" s="57"/>
    </row>
    <row r="14" spans="3:26" ht="14.4" x14ac:dyDescent="0.3">
      <c r="C14" t="str">
        <f>_xlfn.XLOOKUP(Table325[[#This Row],[Customer]],'Top 300'!C:C,'Top 300'!A:A,"0",2,1)</f>
        <v>X</v>
      </c>
      <c r="D14" s="30" t="str">
        <f>_xlfn.XLOOKUP(Table325[[#This Row],[File Name]],'Analyse 2 Detail 02-03'!A:A,'Analyse 2 Detail 02-03'!R:R,"Not Found",0,1)</f>
        <v>Essity Belgium NV</v>
      </c>
      <c r="E14" s="2" t="s">
        <v>129</v>
      </c>
      <c r="F14" s="64" t="s">
        <v>9</v>
      </c>
      <c r="G14" s="71">
        <v>0</v>
      </c>
      <c r="H14" s="9">
        <f>IF($F14="unclassified","N/A",(_xlfn.XLOOKUP($E14,Sheet2!$A:$A,Sheet2!Q:Q,"N/A",0,1)))</f>
        <v>1</v>
      </c>
      <c r="I14" s="9">
        <f>IF($F14="unclassified","N/A",(_xlfn.XLOOKUP($E14,Sheet2!$A:$A,Sheet2!R:R,"N/A",0,1)))</f>
        <v>1</v>
      </c>
      <c r="J14" s="9">
        <f>IF($F14="unclassified","N/A",(_xlfn.XLOOKUP($E14,Sheet2!$A:$A,Sheet2!S:S,"N/A",0,1)))</f>
        <v>1</v>
      </c>
      <c r="K14" s="9">
        <f>IF($F14="unclassified","N/A",(_xlfn.XLOOKUP($E14,Sheet2!$A:$A,Sheet2!T:T,"N/A",0,1)))</f>
        <v>1</v>
      </c>
      <c r="L14" s="9">
        <f>IF($F14="unclassified","N/A",(_xlfn.XLOOKUP($E14,Sheet2!$A:$A,Sheet2!U:U,"N/A",0,1)))</f>
        <v>1</v>
      </c>
      <c r="M14" s="9">
        <f>IF($F14="unclassified","N/A",(_xlfn.XLOOKUP($E14,Sheet2!$A:$A,Sheet2!V:V,"N/A",0,1)))</f>
        <v>1</v>
      </c>
      <c r="N14" s="25"/>
      <c r="O14" s="9">
        <f>IF($F14="unclassified","N/A",(_xlfn.XLOOKUP($E14,Sheet2!$A:$A,Sheet2!W:W,"N/A",0,1)))</f>
        <v>1</v>
      </c>
      <c r="P14" s="9">
        <f>IF($F14="unclassified","N/A",(_xlfn.XLOOKUP($E14,Sheet2!$A:$A,Sheet2!X:X,"N/A",0,1)))</f>
        <v>1</v>
      </c>
      <c r="Q14" s="9">
        <f>IF($F14="unclassified","N/A",(_xlfn.XLOOKUP($E14,Sheet2!$A:$A,Sheet2!Y:Y,"N/A",0,1)))</f>
        <v>1</v>
      </c>
      <c r="R14" s="9">
        <f>IF($F14="unclassified","N/A",(_xlfn.XLOOKUP($E14,Sheet2!$A:$A,Sheet2!Z:Z,"N/A",0,1)))</f>
        <v>1</v>
      </c>
      <c r="S14" s="9">
        <f>IF($F14="unclassified","N/A",(_xlfn.XLOOKUP($E14,Sheet2!$A:$A,Sheet2!AA:AA,"N/A",0,1)))</f>
        <v>0.5</v>
      </c>
      <c r="T14" s="9">
        <f>IF($F14="unclassified","N/A",(_xlfn.XLOOKUP($E14,Sheet2!$A:$A,Sheet2!AB:AB,"N/A",0,1)))</f>
        <v>1</v>
      </c>
      <c r="U14" s="11">
        <f>IF($F14="unclassified","N/A",(AVERAGE(Table325[[#This Row],[PO nr]:[Delivery Date]])))</f>
        <v>0.95833333333333337</v>
      </c>
      <c r="V14" s="21" t="s">
        <v>2367</v>
      </c>
      <c r="X14" s="54"/>
      <c r="Y14" s="55"/>
      <c r="Z14" s="55"/>
    </row>
    <row r="15" spans="3:26" ht="14.4" x14ac:dyDescent="0.3">
      <c r="C15" t="str">
        <f>_xlfn.XLOOKUP(Table325[[#This Row],[Customer]],'Top 300'!C:C,'Top 300'!A:A,"0",2,1)</f>
        <v>0</v>
      </c>
      <c r="D15" s="30" t="str">
        <f>_xlfn.XLOOKUP(Table325[[#This Row],[File Name]],'Analyse 2 Detail 02-03'!A:A,'Analyse 2 Detail 02-03'!R:R,"Not Found",0,1)</f>
        <v>Essity Netherlands B.V.</v>
      </c>
      <c r="E15" s="2" t="s">
        <v>170</v>
      </c>
      <c r="F15" s="64" t="s">
        <v>9</v>
      </c>
      <c r="G15" s="71">
        <v>1</v>
      </c>
      <c r="H15" s="9">
        <f>IF($F15="unclassified","N/A",(_xlfn.XLOOKUP($E15,Sheet2!$A:$A,Sheet2!Q:Q,"N/A",0,1)))</f>
        <v>1</v>
      </c>
      <c r="I15" s="9">
        <f>IF($F15="unclassified","N/A",(_xlfn.XLOOKUP($E15,Sheet2!$A:$A,Sheet2!R:R,"N/A",0,1)))</f>
        <v>1</v>
      </c>
      <c r="J15" s="9">
        <f>IF($F15="unclassified","N/A",(_xlfn.XLOOKUP($E15,Sheet2!$A:$A,Sheet2!S:S,"N/A",0,1)))</f>
        <v>1</v>
      </c>
      <c r="K15" s="9">
        <f>IF($F15="unclassified","N/A",(_xlfn.XLOOKUP($E15,Sheet2!$A:$A,Sheet2!T:T,"N/A",0,1)))</f>
        <v>1</v>
      </c>
      <c r="L15" s="9">
        <f>IF($F15="unclassified","N/A",(_xlfn.XLOOKUP($E15,Sheet2!$A:$A,Sheet2!U:U,"N/A",0,1)))</f>
        <v>1</v>
      </c>
      <c r="M15" s="9">
        <f>IF($F15="unclassified","N/A",(_xlfn.XLOOKUP($E15,Sheet2!$A:$A,Sheet2!V:V,"N/A",0,1)))</f>
        <v>1</v>
      </c>
      <c r="N15" s="25"/>
      <c r="O15" s="9">
        <f>IF($F15="unclassified","N/A",(_xlfn.XLOOKUP($E15,Sheet2!$A:$A,Sheet2!W:W,"N/A",0,1)))</f>
        <v>1</v>
      </c>
      <c r="P15" s="9">
        <f>IF($F15="unclassified","N/A",(_xlfn.XLOOKUP($E15,Sheet2!$A:$A,Sheet2!X:X,"N/A",0,1)))</f>
        <v>1</v>
      </c>
      <c r="Q15" s="9">
        <f>IF($F15="unclassified","N/A",(_xlfn.XLOOKUP($E15,Sheet2!$A:$A,Sheet2!Y:Y,"N/A",0,1)))</f>
        <v>1</v>
      </c>
      <c r="R15" s="9">
        <f>IF($F15="unclassified","N/A",(_xlfn.XLOOKUP($E15,Sheet2!$A:$A,Sheet2!Z:Z,"N/A",0,1)))</f>
        <v>1</v>
      </c>
      <c r="S15" s="9">
        <f>IF($F15="unclassified","N/A",(_xlfn.XLOOKUP($E15,Sheet2!$A:$A,Sheet2!AA:AA,"N/A",0,1)))</f>
        <v>1</v>
      </c>
      <c r="T15" s="25">
        <f>IF($F15="unclassified","N/A",(_xlfn.XLOOKUP($E15,Sheet2!$A:$A,Sheet2!AB:AB,"N/A",0,1)))</f>
        <v>0</v>
      </c>
      <c r="U15" s="11">
        <f>IF($F15="unclassified","N/A",(AVERAGE(Table325[[#This Row],[PO nr]:[Delivery Date]])))</f>
        <v>0.91666666666666663</v>
      </c>
      <c r="V15" s="84" t="s">
        <v>199</v>
      </c>
      <c r="W15" t="s">
        <v>200</v>
      </c>
      <c r="X15" s="54"/>
      <c r="Y15" s="56"/>
      <c r="Z15" s="56"/>
    </row>
    <row r="16" spans="3:26" ht="14.4" x14ac:dyDescent="0.3">
      <c r="C16" t="str">
        <f>_xlfn.XLOOKUP(Table325[[#This Row],[Customer]],'Top 300'!C:C,'Top 300'!A:A,"0",2,1)</f>
        <v>0</v>
      </c>
      <c r="D16" s="30" t="str">
        <f>_xlfn.XLOOKUP(Table325[[#This Row],[File Name]],'Analyse 2 Detail 02-03'!A:A,'Analyse 2 Detail 02-03'!R:R,"Not Found",0,1)</f>
        <v>Essity Netherlands B.V.</v>
      </c>
      <c r="E16" s="2" t="s">
        <v>106</v>
      </c>
      <c r="F16" s="64" t="s">
        <v>9</v>
      </c>
      <c r="G16" s="71">
        <v>2</v>
      </c>
      <c r="H16" s="9">
        <f>IF($F16="unclassified","N/A",(_xlfn.XLOOKUP($E16,Sheet2!$A:$A,Sheet2!Q:Q,"N/A",0,1)))</f>
        <v>1</v>
      </c>
      <c r="I16" s="9">
        <f>IF($F16="unclassified","N/A",(_xlfn.XLOOKUP($E16,Sheet2!$A:$A,Sheet2!R:R,"N/A",0,1)))</f>
        <v>1</v>
      </c>
      <c r="J16" s="9">
        <f>IF($F16="unclassified","N/A",(_xlfn.XLOOKUP($E16,Sheet2!$A:$A,Sheet2!S:S,"N/A",0,1)))</f>
        <v>1</v>
      </c>
      <c r="K16" s="9">
        <f>IF($F16="unclassified","N/A",(_xlfn.XLOOKUP($E16,Sheet2!$A:$A,Sheet2!T:T,"N/A",0,1)))</f>
        <v>1</v>
      </c>
      <c r="L16" s="9">
        <f>IF($F16="unclassified","N/A",(_xlfn.XLOOKUP($E16,Sheet2!$A:$A,Sheet2!U:U,"N/A",0,1)))</f>
        <v>1</v>
      </c>
      <c r="M16" s="9">
        <f>IF($F16="unclassified","N/A",(_xlfn.XLOOKUP($E16,Sheet2!$A:$A,Sheet2!V:V,"N/A",0,1)))</f>
        <v>1</v>
      </c>
      <c r="N16" s="25"/>
      <c r="O16" s="9">
        <f>IF($F16="unclassified","N/A",(_xlfn.XLOOKUP($E16,Sheet2!$A:$A,Sheet2!W:W,"N/A",0,1)))</f>
        <v>1</v>
      </c>
      <c r="P16" s="9">
        <f>IF($F16="unclassified","N/A",(_xlfn.XLOOKUP($E16,Sheet2!$A:$A,Sheet2!X:X,"N/A",0,1)))</f>
        <v>1</v>
      </c>
      <c r="Q16" s="9">
        <f>IF($F16="unclassified","N/A",(_xlfn.XLOOKUP($E16,Sheet2!$A:$A,Sheet2!Y:Y,"N/A",0,1)))</f>
        <v>1</v>
      </c>
      <c r="R16" s="9">
        <f>IF($F16="unclassified","N/A",(_xlfn.XLOOKUP($E16,Sheet2!$A:$A,Sheet2!Z:Z,"N/A",0,1)))</f>
        <v>1</v>
      </c>
      <c r="S16" s="9">
        <f>IF($F16="unclassified","N/A",(_xlfn.XLOOKUP($E16,Sheet2!$A:$A,Sheet2!AA:AA,"N/A",0,1)))</f>
        <v>1</v>
      </c>
      <c r="T16" s="9">
        <f>IF($F16="unclassified","N/A",(_xlfn.XLOOKUP($E16,Sheet2!$A:$A,Sheet2!AB:AB,"N/A",0,1)))</f>
        <v>0</v>
      </c>
      <c r="U16" s="11">
        <f>IF($F16="unclassified","N/A",(AVERAGE(Table325[[#This Row],[PO nr]:[Delivery Date]])))</f>
        <v>0.91666666666666663</v>
      </c>
      <c r="V16" s="84" t="s">
        <v>199</v>
      </c>
      <c r="W16" t="s">
        <v>200</v>
      </c>
      <c r="X16" s="41"/>
      <c r="Y16" s="55"/>
      <c r="Z16" s="55"/>
    </row>
    <row r="17" spans="3:26" ht="14.4" x14ac:dyDescent="0.3">
      <c r="C17" t="str">
        <f>_xlfn.XLOOKUP(Table325[[#This Row],[Customer]],'Top 300'!C:C,'Top 300'!A:A,"0",2,1)</f>
        <v>X</v>
      </c>
      <c r="D17" s="30" t="str">
        <f>_xlfn.XLOOKUP(Table325[[#This Row],[File Name]],'Analyse 2 Detail 02-03'!A:A,'Analyse 2 Detail 02-03'!R:R,"Not Found",0,1)</f>
        <v>Essity Belgium NV</v>
      </c>
      <c r="E17" s="2" t="s">
        <v>136</v>
      </c>
      <c r="F17" s="64" t="s">
        <v>9</v>
      </c>
      <c r="G17" s="71">
        <v>4</v>
      </c>
      <c r="H17" s="9">
        <f>IF($F17="unclassified","N/A",(_xlfn.XLOOKUP($E17,Sheet2!$A:$A,Sheet2!Q:Q,"N/A",0,1)))</f>
        <v>1</v>
      </c>
      <c r="I17" s="9">
        <f>IF($F17="unclassified","N/A",(_xlfn.XLOOKUP($E17,Sheet2!$A:$A,Sheet2!R:R,"N/A",0,1)))</f>
        <v>1</v>
      </c>
      <c r="J17" s="9">
        <f>IF($F17="unclassified","N/A",(_xlfn.XLOOKUP($E17,Sheet2!$A:$A,Sheet2!S:S,"N/A",0,1)))</f>
        <v>1</v>
      </c>
      <c r="K17" s="9">
        <f>IF($F17="unclassified","N/A",(_xlfn.XLOOKUP($E17,Sheet2!$A:$A,Sheet2!T:T,"N/A",0,1)))</f>
        <v>1</v>
      </c>
      <c r="L17" s="9">
        <f>IF($F17="unclassified","N/A",(_xlfn.XLOOKUP($E17,Sheet2!$A:$A,Sheet2!U:U,"N/A",0,1)))</f>
        <v>1</v>
      </c>
      <c r="M17" s="9">
        <f>IF($F17="unclassified","N/A",(_xlfn.XLOOKUP($E17,Sheet2!$A:$A,Sheet2!V:V,"N/A",0,1)))</f>
        <v>1</v>
      </c>
      <c r="N17" s="25"/>
      <c r="O17" s="9">
        <f>IF($F17="unclassified","N/A",(_xlfn.XLOOKUP($E17,Sheet2!$A:$A,Sheet2!W:W,"N/A",0,1)))</f>
        <v>1</v>
      </c>
      <c r="P17" s="9">
        <f>IF($F17="unclassified","N/A",(_xlfn.XLOOKUP($E17,Sheet2!$A:$A,Sheet2!X:X,"N/A",0,1)))</f>
        <v>1</v>
      </c>
      <c r="Q17" s="9">
        <f>IF($F17="unclassified","N/A",(_xlfn.XLOOKUP($E17,Sheet2!$A:$A,Sheet2!Y:Y,"N/A",0,1)))</f>
        <v>1</v>
      </c>
      <c r="R17" s="9">
        <f>IF($F17="unclassified","N/A",(_xlfn.XLOOKUP($E17,Sheet2!$A:$A,Sheet2!Z:Z,"N/A",0,1)))</f>
        <v>1</v>
      </c>
      <c r="S17" s="9">
        <f>IF($F17="unclassified","N/A",(_xlfn.XLOOKUP($E17,Sheet2!$A:$A,Sheet2!AA:AA,"N/A",0,1)))</f>
        <v>0.5</v>
      </c>
      <c r="T17" s="25">
        <f>IF($F17="unclassified","N/A",(_xlfn.XLOOKUP($E17,Sheet2!$A:$A,Sheet2!AB:AB,"N/A",0,1)))</f>
        <v>0.66666666666666663</v>
      </c>
      <c r="U17" s="11">
        <f>IF($F17="unclassified","N/A",(AVERAGE(Table325[[#This Row],[PO nr]:[Delivery Date]])))</f>
        <v>0.93055555555555547</v>
      </c>
      <c r="V17" s="21" t="s">
        <v>195</v>
      </c>
      <c r="W17" s="39" t="s">
        <v>197</v>
      </c>
      <c r="X17" s="39" t="s">
        <v>2329</v>
      </c>
      <c r="Y17" s="21"/>
      <c r="Z17" s="21"/>
    </row>
    <row r="18" spans="3:26" ht="14.4" x14ac:dyDescent="0.3">
      <c r="C18" t="str">
        <f>_xlfn.XLOOKUP(Table325[[#This Row],[Customer]],'Top 300'!C:C,'Top 300'!A:A,"0",2,1)</f>
        <v>X</v>
      </c>
      <c r="D18" s="30" t="str">
        <f>_xlfn.XLOOKUP(Table325[[#This Row],[File Name]],'Analyse 2 Detail 02-03'!A:A,'Analyse 2 Detail 02-03'!R:R,"Not Found",0,1)</f>
        <v>Essity Belgium NV</v>
      </c>
      <c r="E18" s="2" t="s">
        <v>136</v>
      </c>
      <c r="F18" s="64" t="s">
        <v>9</v>
      </c>
      <c r="G18" s="71">
        <v>1</v>
      </c>
      <c r="H18" s="9">
        <f>IF($F18="unclassified","N/A",(_xlfn.XLOOKUP($E18,Sheet2!$A:$A,Sheet2!Q:Q,"N/A",0,1)))</f>
        <v>1</v>
      </c>
      <c r="I18" s="9">
        <f>IF($F18="unclassified","N/A",(_xlfn.XLOOKUP($E18,Sheet2!$A:$A,Sheet2!R:R,"N/A",0,1)))</f>
        <v>1</v>
      </c>
      <c r="J18" s="9">
        <f>IF($F18="unclassified","N/A",(_xlfn.XLOOKUP($E18,Sheet2!$A:$A,Sheet2!S:S,"N/A",0,1)))</f>
        <v>1</v>
      </c>
      <c r="K18" s="9">
        <f>IF($F18="unclassified","N/A",(_xlfn.XLOOKUP($E18,Sheet2!$A:$A,Sheet2!T:T,"N/A",0,1)))</f>
        <v>1</v>
      </c>
      <c r="L18" s="9">
        <f>IF($F18="unclassified","N/A",(_xlfn.XLOOKUP($E18,Sheet2!$A:$A,Sheet2!U:U,"N/A",0,1)))</f>
        <v>1</v>
      </c>
      <c r="M18" s="9">
        <f>IF($F18="unclassified","N/A",(_xlfn.XLOOKUP($E18,Sheet2!$A:$A,Sheet2!V:V,"N/A",0,1)))</f>
        <v>1</v>
      </c>
      <c r="N18" s="25"/>
      <c r="O18" s="9">
        <f>IF($F18="unclassified","N/A",(_xlfn.XLOOKUP($E18,Sheet2!$A:$A,Sheet2!W:W,"N/A",0,1)))</f>
        <v>1</v>
      </c>
      <c r="P18" s="9">
        <f>IF($F18="unclassified","N/A",(_xlfn.XLOOKUP($E18,Sheet2!$A:$A,Sheet2!X:X,"N/A",0,1)))</f>
        <v>1</v>
      </c>
      <c r="Q18" s="9">
        <f>IF($F18="unclassified","N/A",(_xlfn.XLOOKUP($E18,Sheet2!$A:$A,Sheet2!Y:Y,"N/A",0,1)))</f>
        <v>1</v>
      </c>
      <c r="R18" s="9">
        <f>IF($F18="unclassified","N/A",(_xlfn.XLOOKUP($E18,Sheet2!$A:$A,Sheet2!Z:Z,"N/A",0,1)))</f>
        <v>1</v>
      </c>
      <c r="S18" s="9">
        <f>IF($F18="unclassified","N/A",(_xlfn.XLOOKUP($E18,Sheet2!$A:$A,Sheet2!AA:AA,"N/A",0,1)))</f>
        <v>0.5</v>
      </c>
      <c r="T18" s="25">
        <f>IF($F18="unclassified","N/A",(_xlfn.XLOOKUP($E18,Sheet2!$A:$A,Sheet2!AB:AB,"N/A",0,1)))</f>
        <v>0.66666666666666663</v>
      </c>
      <c r="U18" s="11">
        <f>IF($F18="unclassified","N/A",(AVERAGE(Table325[[#This Row],[PO nr]:[Delivery Date]])))</f>
        <v>0.93055555555555547</v>
      </c>
      <c r="V18" s="21" t="s">
        <v>2368</v>
      </c>
      <c r="W18" s="39" t="s">
        <v>197</v>
      </c>
      <c r="X18" s="39" t="s">
        <v>2329</v>
      </c>
      <c r="Y18" s="55"/>
      <c r="Z18" s="55"/>
    </row>
    <row r="19" spans="3:26" ht="14.4" x14ac:dyDescent="0.3">
      <c r="C19" t="str">
        <f>_xlfn.XLOOKUP(Table325[[#This Row],[Customer]],'Top 300'!C:C,'Top 300'!A:A,"0",2,1)</f>
        <v>0</v>
      </c>
      <c r="D19" s="30" t="str">
        <f>_xlfn.XLOOKUP(Table325[[#This Row],[File Name]],'Analyse 2 Detail 02-03'!A:A,'Analyse 2 Detail 02-03'!R:R,"Not Found",0,1)</f>
        <v>Essity Netherlands B.V. Health &amp; Medical</v>
      </c>
      <c r="E19" s="2" t="s">
        <v>166</v>
      </c>
      <c r="F19" s="64" t="s">
        <v>9</v>
      </c>
      <c r="G19" s="71">
        <v>0</v>
      </c>
      <c r="H19" s="9">
        <f>IF($F19="unclassified","N/A",(_xlfn.XLOOKUP($E19,Sheet2!$A:$A,Sheet2!Q:Q,"N/A",0,1)))</f>
        <v>1</v>
      </c>
      <c r="I19" s="9">
        <f>IF($F19="unclassified","N/A",(_xlfn.XLOOKUP($E19,Sheet2!$A:$A,Sheet2!R:R,"N/A",0,1)))</f>
        <v>1</v>
      </c>
      <c r="J19" s="9">
        <f>IF($F19="unclassified","N/A",(_xlfn.XLOOKUP($E19,Sheet2!$A:$A,Sheet2!S:S,"N/A",0,1)))</f>
        <v>1</v>
      </c>
      <c r="K19" s="9">
        <f>IF($F19="unclassified","N/A",(_xlfn.XLOOKUP($E19,Sheet2!$A:$A,Sheet2!T:T,"N/A",0,1)))</f>
        <v>1</v>
      </c>
      <c r="L19" s="9">
        <f>IF($F19="unclassified","N/A",(_xlfn.XLOOKUP($E19,Sheet2!$A:$A,Sheet2!U:U,"N/A",0,1)))</f>
        <v>1</v>
      </c>
      <c r="M19" s="9">
        <f>IF($F19="unclassified","N/A",(_xlfn.XLOOKUP($E19,Sheet2!$A:$A,Sheet2!V:V,"N/A",0,1)))</f>
        <v>1</v>
      </c>
      <c r="N19" s="25"/>
      <c r="O19" s="9">
        <f>IF($F19="unclassified","N/A",(_xlfn.XLOOKUP($E19,Sheet2!$A:$A,Sheet2!W:W,"N/A",0,1)))</f>
        <v>1</v>
      </c>
      <c r="P19" s="9">
        <f>IF($F19="unclassified","N/A",(_xlfn.XLOOKUP($E19,Sheet2!$A:$A,Sheet2!X:X,"N/A",0,1)))</f>
        <v>1</v>
      </c>
      <c r="Q19" s="9">
        <f>IF($F19="unclassified","N/A",(_xlfn.XLOOKUP($E19,Sheet2!$A:$A,Sheet2!Y:Y,"N/A",0,1)))</f>
        <v>1</v>
      </c>
      <c r="R19" s="9">
        <f>IF($F19="unclassified","N/A",(_xlfn.XLOOKUP($E19,Sheet2!$A:$A,Sheet2!Z:Z,"N/A",0,1)))</f>
        <v>1</v>
      </c>
      <c r="S19" s="9">
        <f>IF($F19="unclassified","N/A",(_xlfn.XLOOKUP($E19,Sheet2!$A:$A,Sheet2!AA:AA,"N/A",0,1)))</f>
        <v>1</v>
      </c>
      <c r="T19" s="25">
        <f>IF($F19="unclassified","N/A",(_xlfn.XLOOKUP($E19,Sheet2!$A:$A,Sheet2!AB:AB,"N/A",0,1)))</f>
        <v>0.95454545454545459</v>
      </c>
      <c r="U19" s="11">
        <f>IF($F19="unclassified","N/A",(AVERAGE(Table325[[#This Row],[PO nr]:[Delivery Date]])))</f>
        <v>0.99621212121212122</v>
      </c>
      <c r="V19" s="21" t="s">
        <v>2370</v>
      </c>
      <c r="W19" s="39"/>
      <c r="X19" s="39"/>
      <c r="Y19" s="21"/>
      <c r="Z19" s="21"/>
    </row>
    <row r="20" spans="3:26" ht="14.4" x14ac:dyDescent="0.3">
      <c r="C20" t="str">
        <f>_xlfn.XLOOKUP(Table325[[#This Row],[Customer]],'Top 300'!C:C,'Top 300'!A:A,"0",2,1)</f>
        <v>0</v>
      </c>
      <c r="D20" s="30" t="str">
        <f>_xlfn.XLOOKUP(Table325[[#This Row],[File Name]],'Analyse 2 Detail 02-03'!A:A,'Analyse 2 Detail 02-03'!R:R,"Not Found",0,1)</f>
        <v>Essity Netherlands B.V.</v>
      </c>
      <c r="E20" s="2" t="s">
        <v>128</v>
      </c>
      <c r="F20" s="64" t="s">
        <v>9</v>
      </c>
      <c r="G20" s="71">
        <v>0</v>
      </c>
      <c r="H20" s="9">
        <f>IF($F20="unclassified","N/A",(_xlfn.XLOOKUP($E20,Sheet2!$A:$A,Sheet2!Q:Q,"N/A",0,1)))</f>
        <v>1</v>
      </c>
      <c r="I20" s="9">
        <f>IF($F20="unclassified","N/A",(_xlfn.XLOOKUP($E20,Sheet2!$A:$A,Sheet2!R:R,"N/A",0,1)))</f>
        <v>1</v>
      </c>
      <c r="J20" s="9">
        <f>IF($F20="unclassified","N/A",(_xlfn.XLOOKUP($E20,Sheet2!$A:$A,Sheet2!S:S,"N/A",0,1)))</f>
        <v>1</v>
      </c>
      <c r="K20" s="9">
        <f>IF($F20="unclassified","N/A",(_xlfn.XLOOKUP($E20,Sheet2!$A:$A,Sheet2!T:T,"N/A",0,1)))</f>
        <v>1</v>
      </c>
      <c r="L20" s="9">
        <f>IF($F20="unclassified","N/A",(_xlfn.XLOOKUP($E20,Sheet2!$A:$A,Sheet2!U:U,"N/A",0,1)))</f>
        <v>1</v>
      </c>
      <c r="M20" s="9">
        <f>IF($F20="unclassified","N/A",(_xlfn.XLOOKUP($E20,Sheet2!$A:$A,Sheet2!V:V,"N/A",0,1)))</f>
        <v>1</v>
      </c>
      <c r="N20" s="25"/>
      <c r="O20" s="9">
        <f>IF($F20="unclassified","N/A",(_xlfn.XLOOKUP($E20,Sheet2!$A:$A,Sheet2!W:W,"N/A",0,1)))</f>
        <v>1</v>
      </c>
      <c r="P20" s="9">
        <f>IF($F20="unclassified","N/A",(_xlfn.XLOOKUP($E20,Sheet2!$A:$A,Sheet2!X:X,"N/A",0,1)))</f>
        <v>1</v>
      </c>
      <c r="Q20" s="9">
        <f>IF($F20="unclassified","N/A",(_xlfn.XLOOKUP($E20,Sheet2!$A:$A,Sheet2!Y:Y,"N/A",0,1)))</f>
        <v>1</v>
      </c>
      <c r="R20" s="9">
        <f>IF($F20="unclassified","N/A",(_xlfn.XLOOKUP($E20,Sheet2!$A:$A,Sheet2!Z:Z,"N/A",0,1)))</f>
        <v>1</v>
      </c>
      <c r="S20" s="9">
        <f>IF($F20="unclassified","N/A",(_xlfn.XLOOKUP($E20,Sheet2!$A:$A,Sheet2!AA:AA,"N/A",0,1)))</f>
        <v>1</v>
      </c>
      <c r="T20" s="25">
        <f>IF($F20="unclassified","N/A",(_xlfn.XLOOKUP($E20,Sheet2!$A:$A,Sheet2!AB:AB,"N/A",0,1)))</f>
        <v>1</v>
      </c>
      <c r="U20" s="11">
        <f>IF($F20="unclassified","N/A",(AVERAGE(Table325[[#This Row],[PO nr]:[Delivery Date]])))</f>
        <v>1</v>
      </c>
      <c r="V20" s="21"/>
      <c r="W20" s="39"/>
      <c r="X20" s="40"/>
      <c r="Y20" s="56"/>
      <c r="Z20" s="56"/>
    </row>
    <row r="21" spans="3:26" ht="14.4" x14ac:dyDescent="0.3">
      <c r="C21" t="str">
        <f>_xlfn.XLOOKUP(Table325[[#This Row],[Customer]],'Top 300'!C:C,'Top 300'!A:A,"0",2,1)</f>
        <v>0</v>
      </c>
      <c r="D21" s="30" t="str">
        <f>_xlfn.XLOOKUP(Table325[[#This Row],[File Name]],'Analyse 2 Detail 02-03'!A:A,'Analyse 2 Detail 02-03'!R:R,"Not Found",0,1)</f>
        <v>Essity Netherlands B.V.</v>
      </c>
      <c r="E21" s="2" t="s">
        <v>167</v>
      </c>
      <c r="F21" s="64" t="s">
        <v>9</v>
      </c>
      <c r="G21" s="71">
        <v>0</v>
      </c>
      <c r="H21" s="9">
        <f>IF($F21="unclassified","N/A",(_xlfn.XLOOKUP($E21,Sheet2!$A:$A,Sheet2!Q:Q,"N/A",0,1)))</f>
        <v>1</v>
      </c>
      <c r="I21" s="9">
        <f>IF($F21="unclassified","N/A",(_xlfn.XLOOKUP($E21,Sheet2!$A:$A,Sheet2!R:R,"N/A",0,1)))</f>
        <v>1</v>
      </c>
      <c r="J21" s="9">
        <f>IF($F21="unclassified","N/A",(_xlfn.XLOOKUP($E21,Sheet2!$A:$A,Sheet2!S:S,"N/A",0,1)))</f>
        <v>1</v>
      </c>
      <c r="K21" s="9">
        <f>IF($F21="unclassified","N/A",(_xlfn.XLOOKUP($E21,Sheet2!$A:$A,Sheet2!T:T,"N/A",0,1)))</f>
        <v>1</v>
      </c>
      <c r="L21" s="9">
        <f>IF($F21="unclassified","N/A",(_xlfn.XLOOKUP($E21,Sheet2!$A:$A,Sheet2!U:U,"N/A",0,1)))</f>
        <v>1</v>
      </c>
      <c r="M21" s="9">
        <f>IF($F21="unclassified","N/A",(_xlfn.XLOOKUP($E21,Sheet2!$A:$A,Sheet2!V:V,"N/A",0,1)))</f>
        <v>1</v>
      </c>
      <c r="N21" s="25"/>
      <c r="O21" s="25">
        <f>IF($F21="unclassified","N/A",(_xlfn.XLOOKUP($E21,Sheet2!$A:$A,Sheet2!W:W,"N/A",0,1)))</f>
        <v>1</v>
      </c>
      <c r="P21" s="9">
        <f>IF($F21="unclassified","N/A",(_xlfn.XLOOKUP($E21,Sheet2!$A:$A,Sheet2!X:X,"N/A",0,1)))</f>
        <v>1</v>
      </c>
      <c r="Q21" s="9">
        <f>IF($F21="unclassified","N/A",(_xlfn.XLOOKUP($E21,Sheet2!$A:$A,Sheet2!Y:Y,"N/A",0,1)))</f>
        <v>1</v>
      </c>
      <c r="R21" s="9">
        <f>IF($F21="unclassified","N/A",(_xlfn.XLOOKUP($E21,Sheet2!$A:$A,Sheet2!Z:Z,"N/A",0,1)))</f>
        <v>1</v>
      </c>
      <c r="S21" s="9">
        <f>IF($F21="unclassified","N/A",(_xlfn.XLOOKUP($E21,Sheet2!$A:$A,Sheet2!AA:AA,"N/A",0,1)))</f>
        <v>1</v>
      </c>
      <c r="T21" s="25">
        <f>IF($F21="unclassified","N/A",(_xlfn.XLOOKUP($E21,Sheet2!$A:$A,Sheet2!AB:AB,"N/A",0,1)))</f>
        <v>1</v>
      </c>
      <c r="U21" s="11">
        <f>IF($F21="unclassified","N/A",(AVERAGE(Table325[[#This Row],[PO nr]:[Delivery Date]])))</f>
        <v>1</v>
      </c>
      <c r="V21" s="21"/>
      <c r="W21" s="39"/>
      <c r="X21" s="39"/>
      <c r="Y21" s="21"/>
      <c r="Z21" s="21"/>
    </row>
    <row r="22" spans="3:26" s="52" customFormat="1" ht="28.2" customHeight="1" x14ac:dyDescent="0.3">
      <c r="C22" t="str">
        <f>_xlfn.XLOOKUP(Table325[[#This Row],[Customer]],'Top 300'!C:C,'Top 300'!A:A,"0",2,1)</f>
        <v>0</v>
      </c>
      <c r="D22" s="43" t="str">
        <f>_xlfn.XLOOKUP(Table325[[#This Row],[File Name]],'Analyse 2 Detail 02-03'!A:A,'Analyse 2 Detail 02-03'!R:R,"Not Found",0,1)</f>
        <v>Essity Netherlands B.V.</v>
      </c>
      <c r="E22" s="2" t="s">
        <v>144</v>
      </c>
      <c r="F22" s="64" t="s">
        <v>9</v>
      </c>
      <c r="G22" s="71">
        <v>1</v>
      </c>
      <c r="H22" s="25">
        <f>IF($F22="unclassified","N/A",(_xlfn.XLOOKUP($E22,Sheet2!$A:$A,Sheet2!Q:Q,"N/A",0,1)))</f>
        <v>1</v>
      </c>
      <c r="I22" s="25">
        <f>IF($F22="unclassified","N/A",(_xlfn.XLOOKUP($E22,Sheet2!$A:$A,Sheet2!R:R,"N/A",0,1)))</f>
        <v>1</v>
      </c>
      <c r="J22" s="25">
        <f>IF($F22="unclassified","N/A",(_xlfn.XLOOKUP($E22,Sheet2!$A:$A,Sheet2!S:S,"N/A",0,1)))</f>
        <v>1</v>
      </c>
      <c r="K22" s="25">
        <f>IF($F22="unclassified","N/A",(_xlfn.XLOOKUP($E22,Sheet2!$A:$A,Sheet2!T:T,"N/A",0,1)))</f>
        <v>1</v>
      </c>
      <c r="L22" s="25">
        <f>IF($F22="unclassified","N/A",(_xlfn.XLOOKUP($E22,Sheet2!$A:$A,Sheet2!U:U,"N/A",0,1)))</f>
        <v>1</v>
      </c>
      <c r="M22" s="25">
        <f>IF($F22="unclassified","N/A",(_xlfn.XLOOKUP($E22,Sheet2!$A:$A,Sheet2!V:V,"N/A",0,1)))</f>
        <v>1</v>
      </c>
      <c r="N22" s="25"/>
      <c r="O22" s="25">
        <f>IF($F22="unclassified","N/A",(_xlfn.XLOOKUP($E22,Sheet2!$A:$A,Sheet2!W:W,"N/A",0,1)))</f>
        <v>1</v>
      </c>
      <c r="P22" s="25">
        <f>IF($F22="unclassified","N/A",(_xlfn.XLOOKUP($E22,Sheet2!$A:$A,Sheet2!X:X,"N/A",0,1)))</f>
        <v>1</v>
      </c>
      <c r="Q22" s="25">
        <f>IF($F22="unclassified","N/A",(_xlfn.XLOOKUP($E22,Sheet2!$A:$A,Sheet2!Y:Y,"N/A",0,1)))</f>
        <v>1</v>
      </c>
      <c r="R22" s="25">
        <f>IF($F22="unclassified","N/A",(_xlfn.XLOOKUP($E22,Sheet2!$A:$A,Sheet2!Z:Z,"N/A",0,1)))</f>
        <v>1</v>
      </c>
      <c r="S22" s="25">
        <f>IF($F22="unclassified","N/A",(_xlfn.XLOOKUP($E22,Sheet2!$A:$A,Sheet2!AA:AA,"N/A",0,1)))</f>
        <v>1</v>
      </c>
      <c r="T22" s="25">
        <f>IF($F22="unclassified","N/A",(_xlfn.XLOOKUP($E22,Sheet2!$A:$A,Sheet2!AB:AB,"N/A",0,1)))</f>
        <v>0</v>
      </c>
      <c r="U22" s="11">
        <f>IF($F22="unclassified","N/A",(AVERAGE(Table325[[#This Row],[PO nr]:[Delivery Date]])))</f>
        <v>0.91666666666666663</v>
      </c>
      <c r="V22" s="84" t="s">
        <v>199</v>
      </c>
      <c r="W22" t="s">
        <v>200</v>
      </c>
      <c r="X22" s="51"/>
      <c r="Y22" s="58"/>
      <c r="Z22" s="58"/>
    </row>
    <row r="23" spans="3:26" ht="14.4" x14ac:dyDescent="0.3">
      <c r="C23" t="str">
        <f>_xlfn.XLOOKUP(Table325[[#This Row],[Customer]],'Top 300'!C:C,'Top 300'!A:A,"0",2,1)</f>
        <v>0</v>
      </c>
      <c r="D23" s="30" t="str">
        <f>_xlfn.XLOOKUP(Table325[[#This Row],[File Name]],'Analyse 2 Detail 02-03'!A:A,'Analyse 2 Detail 02-03'!R:R,"Not Found",0,1)</f>
        <v>Essity Netherlands B.V.</v>
      </c>
      <c r="E23" s="2" t="s">
        <v>163</v>
      </c>
      <c r="F23" s="64" t="s">
        <v>9</v>
      </c>
      <c r="G23" s="71">
        <v>1</v>
      </c>
      <c r="H23" s="25">
        <f>IF($F23="unclassified","N/A",(_xlfn.XLOOKUP($E23,Sheet2!$A:$A,Sheet2!Q:Q,"N/A",0,1)))</f>
        <v>1</v>
      </c>
      <c r="I23" s="25">
        <f>IF($F23="unclassified","N/A",(_xlfn.XLOOKUP($E23,Sheet2!$A:$A,Sheet2!R:R,"N/A",0,1)))</f>
        <v>1</v>
      </c>
      <c r="J23" s="25">
        <f>IF($F23="unclassified","N/A",(_xlfn.XLOOKUP($E23,Sheet2!$A:$A,Sheet2!S:S,"N/A",0,1)))</f>
        <v>1</v>
      </c>
      <c r="K23" s="25">
        <f>IF($F23="unclassified","N/A",(_xlfn.XLOOKUP($E23,Sheet2!$A:$A,Sheet2!T:T,"N/A",0,1)))</f>
        <v>1</v>
      </c>
      <c r="L23" s="25">
        <f>IF($F23="unclassified","N/A",(_xlfn.XLOOKUP($E23,Sheet2!$A:$A,Sheet2!U:U,"N/A",0,1)))</f>
        <v>1</v>
      </c>
      <c r="M23" s="25">
        <f>IF($F23="unclassified","N/A",(_xlfn.XLOOKUP($E23,Sheet2!$A:$A,Sheet2!V:V,"N/A",0,1)))</f>
        <v>1</v>
      </c>
      <c r="N23" s="25"/>
      <c r="O23" s="25">
        <f>IF($F23="unclassified","N/A",(_xlfn.XLOOKUP($E23,Sheet2!$A:$A,Sheet2!W:W,"N/A",0,1)))</f>
        <v>1</v>
      </c>
      <c r="P23" s="25">
        <f>IF($F23="unclassified","N/A",(_xlfn.XLOOKUP($E23,Sheet2!$A:$A,Sheet2!X:X,"N/A",0,1)))</f>
        <v>1</v>
      </c>
      <c r="Q23" s="25">
        <f>IF($F23="unclassified","N/A",(_xlfn.XLOOKUP($E23,Sheet2!$A:$A,Sheet2!Y:Y,"N/A",0,1)))</f>
        <v>1</v>
      </c>
      <c r="R23" s="25">
        <f>IF($F23="unclassified","N/A",(_xlfn.XLOOKUP($E23,Sheet2!$A:$A,Sheet2!Z:Z,"N/A",0,1)))</f>
        <v>1</v>
      </c>
      <c r="S23" s="25">
        <f>IF($F23="unclassified","N/A",(_xlfn.XLOOKUP($E23,Sheet2!$A:$A,Sheet2!AA:AA,"N/A",0,1)))</f>
        <v>1</v>
      </c>
      <c r="T23" s="25">
        <f>IF($F23="unclassified","N/A",(_xlfn.XLOOKUP($E23,Sheet2!$A:$A,Sheet2!AB:AB,"N/A",0,1)))</f>
        <v>0</v>
      </c>
      <c r="U23" s="11">
        <f>IF($F23="unclassified","N/A",(AVERAGE(Table325[[#This Row],[PO nr]:[Delivery Date]])))</f>
        <v>0.91666666666666663</v>
      </c>
      <c r="V23" s="84" t="s">
        <v>199</v>
      </c>
      <c r="W23" t="s">
        <v>200</v>
      </c>
      <c r="X23" s="41"/>
      <c r="Y23" s="55"/>
      <c r="Z23" s="55"/>
    </row>
    <row r="24" spans="3:26" ht="14.4" x14ac:dyDescent="0.3">
      <c r="C24" t="str">
        <f>_xlfn.XLOOKUP(Table325[[#This Row],[Customer]],'Top 300'!C:C,'Top 300'!A:A,"0",2,1)</f>
        <v>0</v>
      </c>
      <c r="D24" s="30" t="str">
        <f>_xlfn.XLOOKUP(Table325[[#This Row],[File Name]],'Analyse 2 Detail 02-03'!A:A,'Analyse 2 Detail 02-03'!R:R,"Not Found",0,1)</f>
        <v>Essity Netherlands B.V.</v>
      </c>
      <c r="E24" s="2" t="s">
        <v>159</v>
      </c>
      <c r="F24" s="64" t="s">
        <v>9</v>
      </c>
      <c r="G24" s="71">
        <v>1</v>
      </c>
      <c r="H24" s="9">
        <f>IF($F24="unclassified","N/A",(_xlfn.XLOOKUP($E24,Sheet2!$A:$A,Sheet2!Q:Q,"N/A",0,1)))</f>
        <v>1</v>
      </c>
      <c r="I24" s="9">
        <f>IF($F24="unclassified","N/A",(_xlfn.XLOOKUP($E24,Sheet2!$A:$A,Sheet2!R:R,"N/A",0,1)))</f>
        <v>1</v>
      </c>
      <c r="J24" s="9">
        <f>IF($F24="unclassified","N/A",(_xlfn.XLOOKUP($E24,Sheet2!$A:$A,Sheet2!S:S,"N/A",0,1)))</f>
        <v>1</v>
      </c>
      <c r="K24" s="9">
        <f>IF($F24="unclassified","N/A",(_xlfn.XLOOKUP($E24,Sheet2!$A:$A,Sheet2!T:T,"N/A",0,1)))</f>
        <v>1</v>
      </c>
      <c r="L24" s="9">
        <f>IF($F24="unclassified","N/A",(_xlfn.XLOOKUP($E24,Sheet2!$A:$A,Sheet2!U:U,"N/A",0,1)))</f>
        <v>1</v>
      </c>
      <c r="M24" s="9">
        <f>IF($F24="unclassified","N/A",(_xlfn.XLOOKUP($E24,Sheet2!$A:$A,Sheet2!V:V,"N/A",0,1)))</f>
        <v>1</v>
      </c>
      <c r="N24" s="25"/>
      <c r="O24" s="9">
        <f>IF($F24="unclassified","N/A",(_xlfn.XLOOKUP($E24,Sheet2!$A:$A,Sheet2!W:W,"N/A",0,1)))</f>
        <v>1</v>
      </c>
      <c r="P24" s="9">
        <f>IF($F24="unclassified","N/A",(_xlfn.XLOOKUP($E24,Sheet2!$A:$A,Sheet2!X:X,"N/A",0,1)))</f>
        <v>1</v>
      </c>
      <c r="Q24" s="9">
        <f>IF($F24="unclassified","N/A",(_xlfn.XLOOKUP($E24,Sheet2!$A:$A,Sheet2!Y:Y,"N/A",0,1)))</f>
        <v>1</v>
      </c>
      <c r="R24" s="9">
        <f>IF($F24="unclassified","N/A",(_xlfn.XLOOKUP($E24,Sheet2!$A:$A,Sheet2!Z:Z,"N/A",0,1)))</f>
        <v>1</v>
      </c>
      <c r="S24" s="9">
        <f>IF($F24="unclassified","N/A",(_xlfn.XLOOKUP($E24,Sheet2!$A:$A,Sheet2!AA:AA,"N/A",0,1)))</f>
        <v>1</v>
      </c>
      <c r="T24" s="9">
        <f>IF($F24="unclassified","N/A",(_xlfn.XLOOKUP($E24,Sheet2!$A:$A,Sheet2!AB:AB,"N/A",0,1)))</f>
        <v>0</v>
      </c>
      <c r="U24" s="11">
        <f>IF($F24="unclassified","N/A",(AVERAGE(Table325[[#This Row],[PO nr]:[Delivery Date]])))</f>
        <v>0.91666666666666663</v>
      </c>
      <c r="V24" s="84" t="s">
        <v>199</v>
      </c>
      <c r="W24" t="s">
        <v>200</v>
      </c>
      <c r="X24" s="39"/>
      <c r="Y24" s="21"/>
      <c r="Z24" s="21"/>
    </row>
    <row r="25" spans="3:26" ht="14.4" x14ac:dyDescent="0.3">
      <c r="C25" t="str">
        <f>_xlfn.XLOOKUP(Table325[[#This Row],[Customer]],'Top 300'!C:C,'Top 300'!A:A,"0",2,1)</f>
        <v>X</v>
      </c>
      <c r="D25" s="30" t="str">
        <f>_xlfn.XLOOKUP(Table325[[#This Row],[File Name]],'Analyse 2 Detail 02-03'!A:A,'Analyse 2 Detail 02-03'!R:R,"Not Found",0,1)</f>
        <v>Becton Dickinson BV</v>
      </c>
      <c r="E25" s="2" t="s">
        <v>185</v>
      </c>
      <c r="F25" s="64" t="s">
        <v>9</v>
      </c>
      <c r="G25" s="71">
        <v>0</v>
      </c>
      <c r="H25" s="9">
        <f>IF($F25="unclassified","N/A",(_xlfn.XLOOKUP($E25,Sheet2!$A:$A,Sheet2!Q:Q,"N/A",0,1)))</f>
        <v>1</v>
      </c>
      <c r="I25" s="9">
        <f>IF($F25="unclassified","N/A",(_xlfn.XLOOKUP($E25,Sheet2!$A:$A,Sheet2!R:R,"N/A",0,1)))</f>
        <v>1</v>
      </c>
      <c r="J25" s="9">
        <f>IF($F25="unclassified","N/A",(_xlfn.XLOOKUP($E25,Sheet2!$A:$A,Sheet2!S:S,"N/A",0,1)))</f>
        <v>1</v>
      </c>
      <c r="K25" s="9">
        <f>IF($F25="unclassified","N/A",(_xlfn.XLOOKUP($E25,Sheet2!$A:$A,Sheet2!T:T,"N/A",0,1)))</f>
        <v>1</v>
      </c>
      <c r="L25" s="9">
        <f>IF($F25="unclassified","N/A",(_xlfn.XLOOKUP($E25,Sheet2!$A:$A,Sheet2!U:U,"N/A",0,1)))</f>
        <v>1</v>
      </c>
      <c r="M25" s="9">
        <f>IF($F25="unclassified","N/A",(_xlfn.XLOOKUP($E25,Sheet2!$A:$A,Sheet2!V:V,"N/A",0,1)))</f>
        <v>1</v>
      </c>
      <c r="N25" s="25"/>
      <c r="O25" s="9">
        <f>IF($F25="unclassified","N/A",(_xlfn.XLOOKUP($E25,Sheet2!$A:$A,Sheet2!W:W,"N/A",0,1)))</f>
        <v>1</v>
      </c>
      <c r="P25" s="9">
        <f>IF($F25="unclassified","N/A",(_xlfn.XLOOKUP($E25,Sheet2!$A:$A,Sheet2!X:X,"N/A",0,1)))</f>
        <v>1</v>
      </c>
      <c r="Q25" s="9">
        <f>IF($F25="unclassified","N/A",(_xlfn.XLOOKUP($E25,Sheet2!$A:$A,Sheet2!Y:Y,"N/A",0,1)))</f>
        <v>1</v>
      </c>
      <c r="R25" s="9">
        <f>IF($F25="unclassified","N/A",(_xlfn.XLOOKUP($E25,Sheet2!$A:$A,Sheet2!Z:Z,"N/A",0,1)))</f>
        <v>1</v>
      </c>
      <c r="S25" s="9">
        <f>IF($F25="unclassified","N/A",(_xlfn.XLOOKUP($E25,Sheet2!$A:$A,Sheet2!AA:AA,"N/A",0,1)))</f>
        <v>1</v>
      </c>
      <c r="T25" s="9">
        <f>IF($F25="unclassified","N/A",(_xlfn.XLOOKUP($E25,Sheet2!$A:$A,Sheet2!AB:AB,"N/A",0,1)))</f>
        <v>1</v>
      </c>
      <c r="U25" s="11">
        <f>IF($F25="unclassified","N/A",(AVERAGE(Table325[[#This Row],[PO nr]:[Delivery Date]])))</f>
        <v>1</v>
      </c>
      <c r="V25" s="21"/>
      <c r="W25" s="39"/>
      <c r="X25" s="41"/>
      <c r="Y25" s="55"/>
      <c r="Z25" s="56"/>
    </row>
    <row r="26" spans="3:26" ht="14.4" x14ac:dyDescent="0.3">
      <c r="C26" t="str">
        <f>_xlfn.XLOOKUP(Table325[[#This Row],[Customer]],'Top 300'!C:C,'Top 300'!A:A,"0",2,1)</f>
        <v>X</v>
      </c>
      <c r="D26" s="30" t="str">
        <f>_xlfn.XLOOKUP(Table325[[#This Row],[File Name]],'Analyse 2 Detail 02-03'!A:A,'Analyse 2 Detail 02-03'!R:R,"Not Found",0,1)</f>
        <v>Becton Dickinson BV</v>
      </c>
      <c r="E26" s="2" t="s">
        <v>172</v>
      </c>
      <c r="F26" s="64" t="s">
        <v>9</v>
      </c>
      <c r="G26" s="71">
        <v>0</v>
      </c>
      <c r="H26" s="9">
        <f>IF($F26="unclassified","N/A",(_xlfn.XLOOKUP($E26,Sheet2!$A:$A,Sheet2!Q:Q,"N/A",0,1)))</f>
        <v>1</v>
      </c>
      <c r="I26" s="9">
        <f>IF($F26="unclassified","N/A",(_xlfn.XLOOKUP($E26,Sheet2!$A:$A,Sheet2!R:R,"N/A",0,1)))</f>
        <v>1</v>
      </c>
      <c r="J26" s="9">
        <f>IF($F26="unclassified","N/A",(_xlfn.XLOOKUP($E26,Sheet2!$A:$A,Sheet2!S:S,"N/A",0,1)))</f>
        <v>1</v>
      </c>
      <c r="K26" s="9">
        <f>IF($F26="unclassified","N/A",(_xlfn.XLOOKUP($E26,Sheet2!$A:$A,Sheet2!T:T,"N/A",0,1)))</f>
        <v>1</v>
      </c>
      <c r="L26" s="9">
        <f>IF($F26="unclassified","N/A",(_xlfn.XLOOKUP($E26,Sheet2!$A:$A,Sheet2!U:U,"N/A",0,1)))</f>
        <v>1</v>
      </c>
      <c r="M26" s="9">
        <f>IF($F26="unclassified","N/A",(_xlfn.XLOOKUP($E26,Sheet2!$A:$A,Sheet2!V:V,"N/A",0,1)))</f>
        <v>1</v>
      </c>
      <c r="N26" s="25"/>
      <c r="O26" s="9">
        <f>IF($F26="unclassified","N/A",(_xlfn.XLOOKUP($E26,Sheet2!$A:$A,Sheet2!W:W,"N/A",0,1)))</f>
        <v>1</v>
      </c>
      <c r="P26" s="9">
        <f>IF($F26="unclassified","N/A",(_xlfn.XLOOKUP($E26,Sheet2!$A:$A,Sheet2!X:X,"N/A",0,1)))</f>
        <v>1</v>
      </c>
      <c r="Q26" s="9">
        <f>IF($F26="unclassified","N/A",(_xlfn.XLOOKUP($E26,Sheet2!$A:$A,Sheet2!Y:Y,"N/A",0,1)))</f>
        <v>1</v>
      </c>
      <c r="R26" s="9">
        <f>IF($F26="unclassified","N/A",(_xlfn.XLOOKUP($E26,Sheet2!$A:$A,Sheet2!Z:Z,"N/A",0,1)))</f>
        <v>0</v>
      </c>
      <c r="S26" s="9">
        <f>IF($F26="unclassified","N/A",(_xlfn.XLOOKUP($E26,Sheet2!$A:$A,Sheet2!AA:AA,"N/A",0,1)))</f>
        <v>1</v>
      </c>
      <c r="T26" s="9">
        <f>IF($F26="unclassified","N/A",(_xlfn.XLOOKUP($E26,Sheet2!$A:$A,Sheet2!AB:AB,"N/A",0,1)))</f>
        <v>1</v>
      </c>
      <c r="U26" s="11">
        <f>IF($F26="unclassified","N/A",(AVERAGE(Table325[[#This Row],[PO nr]:[Delivery Date]])))</f>
        <v>0.91666666666666663</v>
      </c>
      <c r="V26" s="21" t="s">
        <v>201</v>
      </c>
      <c r="W26" s="39"/>
      <c r="X26" s="39"/>
      <c r="Y26" s="21"/>
      <c r="Z26" s="21"/>
    </row>
    <row r="27" spans="3:26" ht="14.4" x14ac:dyDescent="0.3">
      <c r="C27" t="str">
        <f>_xlfn.XLOOKUP(Table325[[#This Row],[Customer]],'Top 300'!C:C,'Top 300'!A:A,"0",2,1)</f>
        <v>X</v>
      </c>
      <c r="D27" s="30" t="str">
        <f>_xlfn.XLOOKUP(Table325[[#This Row],[File Name]],'Analyse 2 Detail 02-03'!A:A,'Analyse 2 Detail 02-03'!R:R,"Not Found",0,1)</f>
        <v>Becton Dickinson BV</v>
      </c>
      <c r="E27" s="2" t="s">
        <v>152</v>
      </c>
      <c r="F27" s="64" t="s">
        <v>9</v>
      </c>
      <c r="G27" s="71">
        <v>2</v>
      </c>
      <c r="H27" s="9">
        <f>IF($F27="unclassified","N/A",(_xlfn.XLOOKUP($E27,Sheet2!$A:$A,Sheet2!Q:Q,"N/A",0,1)))</f>
        <v>1</v>
      </c>
      <c r="I27" s="9">
        <f>IF($F27="unclassified","N/A",(_xlfn.XLOOKUP($E27,Sheet2!$A:$A,Sheet2!R:R,"N/A",0,1)))</f>
        <v>1</v>
      </c>
      <c r="J27" s="9">
        <f>IF($F27="unclassified","N/A",(_xlfn.XLOOKUP($E27,Sheet2!$A:$A,Sheet2!S:S,"N/A",0,1)))</f>
        <v>1</v>
      </c>
      <c r="K27" s="9">
        <f>IF($F27="unclassified","N/A",(_xlfn.XLOOKUP($E27,Sheet2!$A:$A,Sheet2!T:T,"N/A",0,1)))</f>
        <v>1</v>
      </c>
      <c r="L27" s="9">
        <f>IF($F27="unclassified","N/A",(_xlfn.XLOOKUP($E27,Sheet2!$A:$A,Sheet2!U:U,"N/A",0,1)))</f>
        <v>1</v>
      </c>
      <c r="M27" s="9">
        <f>IF($F27="unclassified","N/A",(_xlfn.XLOOKUP($E27,Sheet2!$A:$A,Sheet2!V:V,"N/A",0,1)))</f>
        <v>1</v>
      </c>
      <c r="N27" s="25"/>
      <c r="O27" s="9">
        <f>IF($F27="unclassified","N/A",(_xlfn.XLOOKUP($E27,Sheet2!$A:$A,Sheet2!W:W,"N/A",0,1)))</f>
        <v>1</v>
      </c>
      <c r="P27" s="9">
        <f>IF($F27="unclassified","N/A",(_xlfn.XLOOKUP($E27,Sheet2!$A:$A,Sheet2!X:X,"N/A",0,1)))</f>
        <v>1</v>
      </c>
      <c r="Q27" s="9">
        <f>IF($F27="unclassified","N/A",(_xlfn.XLOOKUP($E27,Sheet2!$A:$A,Sheet2!Y:Y,"N/A",0,1)))</f>
        <v>1</v>
      </c>
      <c r="R27" s="9">
        <f>IF($F27="unclassified","N/A",(_xlfn.XLOOKUP($E27,Sheet2!$A:$A,Sheet2!Z:Z,"N/A",0,1)))</f>
        <v>0</v>
      </c>
      <c r="S27" s="9">
        <f>IF($F27="unclassified","N/A",(_xlfn.XLOOKUP($E27,Sheet2!$A:$A,Sheet2!AA:AA,"N/A",0,1)))</f>
        <v>1</v>
      </c>
      <c r="T27" s="9">
        <f>IF($F27="unclassified","N/A",(_xlfn.XLOOKUP($E27,Sheet2!$A:$A,Sheet2!AB:AB,"N/A",0,1)))</f>
        <v>1</v>
      </c>
      <c r="U27" s="11">
        <f>IF($F27="unclassified","N/A",(AVERAGE(Table325[[#This Row],[PO nr]:[Delivery Date]])))</f>
        <v>0.91666666666666663</v>
      </c>
      <c r="V27" s="21" t="s">
        <v>201</v>
      </c>
      <c r="W27" s="39" t="s">
        <v>202</v>
      </c>
      <c r="X27" s="39" t="s">
        <v>2332</v>
      </c>
      <c r="Y27" s="21"/>
      <c r="Z27" s="21"/>
    </row>
    <row r="28" spans="3:26" ht="57.6" x14ac:dyDescent="0.3">
      <c r="C28" t="str">
        <f>_xlfn.XLOOKUP(Table325[[#This Row],[Customer]],'Top 300'!C:C,'Top 300'!A:A,"0",2,1)</f>
        <v>0</v>
      </c>
      <c r="D28" s="30" t="str">
        <f>_xlfn.XLOOKUP(Table325[[#This Row],[File Name]],'Analyse 2 Detail 02-03'!A:A,'Analyse 2 Detail 02-03'!R:R,"Not Found",0,1)</f>
        <v>Medline Int'l Belgium BV</v>
      </c>
      <c r="E28" s="2" t="s">
        <v>142</v>
      </c>
      <c r="F28" s="64" t="s">
        <v>9</v>
      </c>
      <c r="G28" s="71">
        <v>2</v>
      </c>
      <c r="H28" s="25">
        <f>IF($F28="unclassified","N/A",(_xlfn.XLOOKUP($E28,Sheet2!$A:$A,Sheet2!Q:Q,"N/A",0,1)))</f>
        <v>1</v>
      </c>
      <c r="I28" s="25">
        <f>IF($F28="unclassified","N/A",(_xlfn.XLOOKUP($E28,Sheet2!$A:$A,Sheet2!R:R,"N/A",0,1)))</f>
        <v>1</v>
      </c>
      <c r="J28" s="25">
        <f>IF($F28="unclassified","N/A",(_xlfn.XLOOKUP($E28,Sheet2!$A:$A,Sheet2!S:S,"N/A",0,1)))</f>
        <v>1</v>
      </c>
      <c r="K28" s="25">
        <f>IF($F28="unclassified","N/A",(_xlfn.XLOOKUP($E28,Sheet2!$A:$A,Sheet2!T:T,"N/A",0,1)))</f>
        <v>1</v>
      </c>
      <c r="L28" s="25">
        <f>IF($F28="unclassified","N/A",(_xlfn.XLOOKUP($E28,Sheet2!$A:$A,Sheet2!U:U,"N/A",0,1)))</f>
        <v>1</v>
      </c>
      <c r="M28" s="9">
        <f>IF($F28="unclassified","N/A",(_xlfn.XLOOKUP($E28,Sheet2!$A:$A,Sheet2!V:V,"N/A",0,1)))</f>
        <v>1</v>
      </c>
      <c r="N28" s="25"/>
      <c r="O28" s="25">
        <f>IF($F28="unclassified","N/A",(_xlfn.XLOOKUP($E28,Sheet2!$A:$A,Sheet2!W:W,"N/A",0,1)))</f>
        <v>1</v>
      </c>
      <c r="P28" s="25">
        <f>IF($F28="unclassified","N/A",(_xlfn.XLOOKUP($E28,Sheet2!$A:$A,Sheet2!X:X,"N/A",0,1)))</f>
        <v>0</v>
      </c>
      <c r="Q28" s="25">
        <f>IF($F28="unclassified","N/A",(_xlfn.XLOOKUP($E28,Sheet2!$A:$A,Sheet2!Y:Y,"N/A",0,1)))</f>
        <v>1</v>
      </c>
      <c r="R28" s="25">
        <f>IF($F28="unclassified","N/A",(_xlfn.XLOOKUP($E28,Sheet2!$A:$A,Sheet2!Z:Z,"N/A",0,1)))</f>
        <v>0</v>
      </c>
      <c r="S28" s="25">
        <f>IF($F28="unclassified","N/A",(_xlfn.XLOOKUP($E28,Sheet2!$A:$A,Sheet2!AA:AA,"N/A",0,1)))</f>
        <v>1</v>
      </c>
      <c r="T28" s="25">
        <f>IF($F28="unclassified","N/A",(_xlfn.XLOOKUP($E28,Sheet2!$A:$A,Sheet2!AB:AB,"N/A",0,1)))</f>
        <v>1</v>
      </c>
      <c r="U28" s="11">
        <f>IF($F28="unclassified","N/A",(AVERAGE(Table325[[#This Row],[PO nr]:[Delivery Date]])))</f>
        <v>0.83333333333333337</v>
      </c>
      <c r="V28" s="21" t="s">
        <v>203</v>
      </c>
      <c r="W28" s="21" t="s">
        <v>204</v>
      </c>
      <c r="X28" s="50" t="s">
        <v>2334</v>
      </c>
      <c r="Y28" s="21"/>
      <c r="Z28" s="21"/>
    </row>
    <row r="29" spans="3:26" ht="15" customHeight="1" x14ac:dyDescent="0.3">
      <c r="C29" t="str">
        <f>_xlfn.XLOOKUP(Table325[[#This Row],[Customer]],'Top 300'!C:C,'Top 300'!A:A,"0",2,1)</f>
        <v>0</v>
      </c>
      <c r="D29" s="30" t="str">
        <f>_xlfn.XLOOKUP(Table325[[#This Row],[File Name]],'Analyse 2 Detail 02-03'!A:A,'Analyse 2 Detail 02-03'!R:R,"Not Found",0,1)</f>
        <v>VYGON NEDERLAND B.V.</v>
      </c>
      <c r="E29" s="2" t="s">
        <v>121</v>
      </c>
      <c r="F29" s="64" t="s">
        <v>11</v>
      </c>
      <c r="G29" s="71">
        <v>0</v>
      </c>
      <c r="H29" s="25" t="str">
        <f>IF($F29="unclassified","N/A",(_xlfn.XLOOKUP($E29,Sheet2!$A:$A,Sheet2!Q:Q,"N/A",0,1)))</f>
        <v>N/A</v>
      </c>
      <c r="I29" s="25" t="str">
        <f>IF($F29="unclassified","N/A",(_xlfn.XLOOKUP($E29,Sheet2!$A:$A,Sheet2!R:R,"N/A",0,1)))</f>
        <v>N/A</v>
      </c>
      <c r="J29" s="25" t="str">
        <f>IF($F29="unclassified","N/A",(_xlfn.XLOOKUP($E29,Sheet2!$A:$A,Sheet2!S:S,"N/A",0,1)))</f>
        <v>N/A</v>
      </c>
      <c r="K29" s="25" t="str">
        <f>IF($F29="unclassified","N/A",(_xlfn.XLOOKUP($E29,Sheet2!$A:$A,Sheet2!T:T,"N/A",0,1)))</f>
        <v>N/A</v>
      </c>
      <c r="L29" s="25" t="str">
        <f>IF($F29="unclassified","N/A",(_xlfn.XLOOKUP($E29,Sheet2!$A:$A,Sheet2!U:U,"N/A",0,1)))</f>
        <v>N/A</v>
      </c>
      <c r="M29" s="9" t="str">
        <f>IF($F29="unclassified","N/A",(_xlfn.XLOOKUP($E29,Sheet2!$A:$A,Sheet2!V:V,"N/A",0,1)))</f>
        <v>N/A</v>
      </c>
      <c r="N29" s="25"/>
      <c r="O29" s="25" t="str">
        <f>IF($F29="unclassified","N/A",(_xlfn.XLOOKUP($E29,Sheet2!$A:$A,Sheet2!W:W,"N/A",0,1)))</f>
        <v>N/A</v>
      </c>
      <c r="P29" s="25" t="str">
        <f>IF($F29="unclassified","N/A",(_xlfn.XLOOKUP($E29,Sheet2!$A:$A,Sheet2!X:X,"N/A",0,1)))</f>
        <v>N/A</v>
      </c>
      <c r="Q29" s="25" t="str">
        <f>IF($F29="unclassified","N/A",(_xlfn.XLOOKUP($E29,Sheet2!$A:$A,Sheet2!Y:Y,"N/A",0,1)))</f>
        <v>N/A</v>
      </c>
      <c r="R29" s="25" t="str">
        <f>IF($F29="unclassified","N/A",(_xlfn.XLOOKUP($E29,Sheet2!$A:$A,Sheet2!Z:Z,"N/A",0,1)))</f>
        <v>N/A</v>
      </c>
      <c r="S29" s="25" t="str">
        <f>IF($F29="unclassified","N/A",(_xlfn.XLOOKUP($E29,Sheet2!$A:$A,Sheet2!AA:AA,"N/A",0,1)))</f>
        <v>N/A</v>
      </c>
      <c r="T29" s="25" t="str">
        <f>IF($F29="unclassified","N/A",(_xlfn.XLOOKUP($E29,Sheet2!$A:$A,Sheet2!AB:AB,"N/A",0,1)))</f>
        <v>N/A</v>
      </c>
      <c r="U29" s="11" t="str">
        <f>IF($F29="unclassified","N/A",(AVERAGE(Table325[[#This Row],[PO nr]:[Delivery Date]])))</f>
        <v>N/A</v>
      </c>
      <c r="V29" s="21"/>
      <c r="W29" s="21"/>
      <c r="X29" s="21"/>
      <c r="Y29" s="21"/>
      <c r="Z29" s="21"/>
    </row>
    <row r="30" spans="3:26" ht="15" customHeight="1" x14ac:dyDescent="0.3">
      <c r="C30" t="str">
        <f>_xlfn.XLOOKUP(Table325[[#This Row],[Customer]],'Top 300'!C:C,'Top 300'!A:A,"0",2,1)</f>
        <v>0</v>
      </c>
      <c r="D30" s="30" t="str">
        <f>_xlfn.XLOOKUP(Table325[[#This Row],[File Name]],'Analyse 2 Detail 02-03'!A:A,'Analyse 2 Detail 02-03'!R:R,"Not Found",0,1)</f>
        <v>VYGON NEDERLAND B.V.</v>
      </c>
      <c r="E30" s="2" t="s">
        <v>121</v>
      </c>
      <c r="F30" s="64" t="s">
        <v>11</v>
      </c>
      <c r="G30" s="71">
        <v>0</v>
      </c>
      <c r="H30" s="25" t="str">
        <f>IF($F30="unclassified","N/A",(_xlfn.XLOOKUP($E30,Sheet2!$A:$A,Sheet2!Q:Q,"N/A",0,1)))</f>
        <v>N/A</v>
      </c>
      <c r="I30" s="25" t="str">
        <f>IF($F30="unclassified","N/A",(_xlfn.XLOOKUP($E30,Sheet2!$A:$A,Sheet2!R:R,"N/A",0,1)))</f>
        <v>N/A</v>
      </c>
      <c r="J30" s="25" t="str">
        <f>IF($F30="unclassified","N/A",(_xlfn.XLOOKUP($E30,Sheet2!$A:$A,Sheet2!S:S,"N/A",0,1)))</f>
        <v>N/A</v>
      </c>
      <c r="K30" s="25" t="str">
        <f>IF($F30="unclassified","N/A",(_xlfn.XLOOKUP($E30,Sheet2!$A:$A,Sheet2!T:T,"N/A",0,1)))</f>
        <v>N/A</v>
      </c>
      <c r="L30" s="25" t="str">
        <f>IF($F30="unclassified","N/A",(_xlfn.XLOOKUP($E30,Sheet2!$A:$A,Sheet2!U:U,"N/A",0,1)))</f>
        <v>N/A</v>
      </c>
      <c r="M30" s="9" t="str">
        <f>IF($F30="unclassified","N/A",(_xlfn.XLOOKUP($E30,Sheet2!$A:$A,Sheet2!V:V,"N/A",0,1)))</f>
        <v>N/A</v>
      </c>
      <c r="N30" s="25"/>
      <c r="O30" s="25" t="str">
        <f>IF($F30="unclassified","N/A",(_xlfn.XLOOKUP($E30,Sheet2!$A:$A,Sheet2!W:W,"N/A",0,1)))</f>
        <v>N/A</v>
      </c>
      <c r="P30" s="25" t="str">
        <f>IF($F30="unclassified","N/A",(_xlfn.XLOOKUP($E30,Sheet2!$A:$A,Sheet2!X:X,"N/A",0,1)))</f>
        <v>N/A</v>
      </c>
      <c r="Q30" s="25" t="str">
        <f>IF($F30="unclassified","N/A",(_xlfn.XLOOKUP($E30,Sheet2!$A:$A,Sheet2!Y:Y,"N/A",0,1)))</f>
        <v>N/A</v>
      </c>
      <c r="R30" s="25" t="str">
        <f>IF($F30="unclassified","N/A",(_xlfn.XLOOKUP($E30,Sheet2!$A:$A,Sheet2!Z:Z,"N/A",0,1)))</f>
        <v>N/A</v>
      </c>
      <c r="S30" s="25" t="str">
        <f>IF($F30="unclassified","N/A",(_xlfn.XLOOKUP($E30,Sheet2!$A:$A,Sheet2!AA:AA,"N/A",0,1)))</f>
        <v>N/A</v>
      </c>
      <c r="T30" s="25" t="str">
        <f>IF($F30="unclassified","N/A",(_xlfn.XLOOKUP($E30,Sheet2!$A:$A,Sheet2!AB:AB,"N/A",0,1)))</f>
        <v>N/A</v>
      </c>
      <c r="U30" s="11" t="str">
        <f>IF($F30="unclassified","N/A",(AVERAGE(Table325[[#This Row],[PO nr]:[Delivery Date]])))</f>
        <v>N/A</v>
      </c>
      <c r="V30" s="21"/>
      <c r="W30" s="21"/>
      <c r="X30" s="21"/>
      <c r="Y30" s="21"/>
      <c r="Z30" s="21"/>
    </row>
    <row r="31" spans="3:26" ht="57.6" x14ac:dyDescent="0.3">
      <c r="C31" t="str">
        <f>_xlfn.XLOOKUP(Table325[[#This Row],[Customer]],'Top 300'!C:C,'Top 300'!A:A,"0",2,1)</f>
        <v>0</v>
      </c>
      <c r="D31" s="30" t="str">
        <f>_xlfn.XLOOKUP(Table325[[#This Row],[File Name]],'Analyse 2 Detail 02-03'!A:A,'Analyse 2 Detail 02-03'!R:R,"Not Found",0,1)</f>
        <v>VYGON NEDERLAND B.V.</v>
      </c>
      <c r="E31" s="2" t="s">
        <v>121</v>
      </c>
      <c r="F31" s="64" t="s">
        <v>9</v>
      </c>
      <c r="G31" s="71">
        <v>3</v>
      </c>
      <c r="H31" s="25">
        <f>IF($F31="unclassified","N/A",(_xlfn.XLOOKUP($E31,Sheet2!$A:$A,Sheet2!Q:Q,"N/A",0,1)))</f>
        <v>1</v>
      </c>
      <c r="I31" s="25">
        <f>IF($F31="unclassified","N/A",(_xlfn.XLOOKUP($E31,Sheet2!$A:$A,Sheet2!R:R,"N/A",0,1)))</f>
        <v>1</v>
      </c>
      <c r="J31" s="25">
        <f>IF($F31="unclassified","N/A",(_xlfn.XLOOKUP($E31,Sheet2!$A:$A,Sheet2!S:S,"N/A",0,1)))</f>
        <v>1</v>
      </c>
      <c r="K31" s="25">
        <f>IF($F31="unclassified","N/A",(_xlfn.XLOOKUP($E31,Sheet2!$A:$A,Sheet2!T:T,"N/A",0,1)))</f>
        <v>1</v>
      </c>
      <c r="L31" s="25">
        <f>IF($F31="unclassified","N/A",(_xlfn.XLOOKUP($E31,Sheet2!$A:$A,Sheet2!U:U,"N/A",0,1)))</f>
        <v>1</v>
      </c>
      <c r="M31" s="9">
        <f>IF($F31="unclassified","N/A",(_xlfn.XLOOKUP($E31,Sheet2!$A:$A,Sheet2!V:V,"N/A",0,1)))</f>
        <v>0</v>
      </c>
      <c r="N31" s="25"/>
      <c r="O31" s="25">
        <f>IF($F31="unclassified","N/A",(_xlfn.XLOOKUP($E31,Sheet2!$A:$A,Sheet2!W:W,"N/A",0,1)))</f>
        <v>1</v>
      </c>
      <c r="P31" s="25">
        <f>IF($F31="unclassified","N/A",(_xlfn.XLOOKUP($E31,Sheet2!$A:$A,Sheet2!X:X,"N/A",0,1)))</f>
        <v>1</v>
      </c>
      <c r="Q31" s="25">
        <f>IF($F31="unclassified","N/A",(_xlfn.XLOOKUP($E31,Sheet2!$A:$A,Sheet2!Y:Y,"N/A",0,1)))</f>
        <v>1</v>
      </c>
      <c r="R31" s="25">
        <f>IF($F31="unclassified","N/A",(_xlfn.XLOOKUP($E31,Sheet2!$A:$A,Sheet2!Z:Z,"N/A",0,1)))</f>
        <v>0</v>
      </c>
      <c r="S31" s="25">
        <f>IF($F31="unclassified","N/A",(_xlfn.XLOOKUP($E31,Sheet2!$A:$A,Sheet2!AA:AA,"N/A",0,1)))</f>
        <v>0</v>
      </c>
      <c r="T31" s="25">
        <f>IF($F31="unclassified","N/A",(_xlfn.XLOOKUP($E31,Sheet2!$A:$A,Sheet2!AB:AB,"N/A",0,1)))</f>
        <v>1</v>
      </c>
      <c r="U31" s="11">
        <f>IF($F31="unclassified","N/A",(AVERAGE(Table325[[#This Row],[PO nr]:[Delivery Date]])))</f>
        <v>0.75</v>
      </c>
      <c r="V31" s="84" t="s">
        <v>205</v>
      </c>
      <c r="W31" s="21" t="s">
        <v>206</v>
      </c>
      <c r="X31" s="50" t="s">
        <v>2335</v>
      </c>
      <c r="Y31" s="21"/>
      <c r="Z31" s="21"/>
    </row>
    <row r="32" spans="3:26" ht="15" customHeight="1" x14ac:dyDescent="0.3">
      <c r="C32" t="str">
        <f>_xlfn.XLOOKUP(Table325[[#This Row],[Customer]],'Top 300'!C:C,'Top 300'!A:A,"0",2,1)</f>
        <v>0</v>
      </c>
      <c r="D32" s="30" t="str">
        <f>_xlfn.XLOOKUP(Table325[[#This Row],[File Name]],'Analyse 2 Detail 02-03'!A:A,'Analyse 2 Detail 02-03'!R:R,"Not Found",0,1)</f>
        <v>King Belgium SA/NV</v>
      </c>
      <c r="E32" s="2" t="s">
        <v>181</v>
      </c>
      <c r="F32" s="64" t="s">
        <v>9</v>
      </c>
      <c r="G32" s="71">
        <v>0</v>
      </c>
      <c r="H32" s="25">
        <f>IF($F32="unclassified","N/A",(_xlfn.XLOOKUP($E32,Sheet2!$A:$A,Sheet2!Q:Q,"N/A",0,1)))</f>
        <v>1</v>
      </c>
      <c r="I32" s="25">
        <f>IF($F32="unclassified","N/A",(_xlfn.XLOOKUP($E32,Sheet2!$A:$A,Sheet2!R:R,"N/A",0,1)))</f>
        <v>1</v>
      </c>
      <c r="J32" s="25">
        <f>IF($F32="unclassified","N/A",(_xlfn.XLOOKUP($E32,Sheet2!$A:$A,Sheet2!S:S,"N/A",0,1)))</f>
        <v>1</v>
      </c>
      <c r="K32" s="25">
        <f>IF($F32="unclassified","N/A",(_xlfn.XLOOKUP($E32,Sheet2!$A:$A,Sheet2!T:T,"N/A",0,1)))</f>
        <v>1</v>
      </c>
      <c r="L32" s="25">
        <f>IF($F32="unclassified","N/A",(_xlfn.XLOOKUP($E32,Sheet2!$A:$A,Sheet2!U:U,"N/A",0,1)))</f>
        <v>1</v>
      </c>
      <c r="M32" s="9">
        <f>IF($F32="unclassified","N/A",(_xlfn.XLOOKUP($E32,Sheet2!$A:$A,Sheet2!V:V,"N/A",0,1)))</f>
        <v>1</v>
      </c>
      <c r="N32" s="25"/>
      <c r="O32" s="25">
        <f>IF($F32="unclassified","N/A",(_xlfn.XLOOKUP($E32,Sheet2!$A:$A,Sheet2!W:W,"N/A",0,1)))</f>
        <v>1</v>
      </c>
      <c r="P32" s="25">
        <f>IF($F32="unclassified","N/A",(_xlfn.XLOOKUP($E32,Sheet2!$A:$A,Sheet2!X:X,"N/A",0,1)))</f>
        <v>1</v>
      </c>
      <c r="Q32" s="25">
        <f>IF($F32="unclassified","N/A",(_xlfn.XLOOKUP($E32,Sheet2!$A:$A,Sheet2!Y:Y,"N/A",0,1)))</f>
        <v>1</v>
      </c>
      <c r="R32" s="25">
        <f>IF($F32="unclassified","N/A",(_xlfn.XLOOKUP($E32,Sheet2!$A:$A,Sheet2!Z:Z,"N/A",0,1)))</f>
        <v>1</v>
      </c>
      <c r="S32" s="25">
        <f>IF($F32="unclassified","N/A",(_xlfn.XLOOKUP($E32,Sheet2!$A:$A,Sheet2!AA:AA,"N/A",0,1)))</f>
        <v>1</v>
      </c>
      <c r="T32" s="25">
        <f>IF($F32="unclassified","N/A",(_xlfn.XLOOKUP($E32,Sheet2!$A:$A,Sheet2!AB:AB,"N/A",0,1)))</f>
        <v>1</v>
      </c>
      <c r="U32" s="11">
        <f>IF($F32="unclassified","N/A",(AVERAGE(Table325[[#This Row],[PO nr]:[Delivery Date]])))</f>
        <v>1</v>
      </c>
      <c r="V32" s="21"/>
      <c r="W32" s="21"/>
      <c r="X32" s="21"/>
      <c r="Y32" s="21"/>
      <c r="Z32" s="21"/>
    </row>
    <row r="33" spans="3:26" ht="15" customHeight="1" x14ac:dyDescent="0.3">
      <c r="C33" t="str">
        <f>_xlfn.XLOOKUP(Table325[[#This Row],[Customer]],'Top 300'!C:C,'Top 300'!A:A,"0",2,1)</f>
        <v>0</v>
      </c>
      <c r="D33" s="30" t="str">
        <f>_xlfn.XLOOKUP(Table325[[#This Row],[File Name]],'Analyse 2 Detail 02-03'!A:A,'Analyse 2 Detail 02-03'!R:R,"Not Found",0,1)</f>
        <v>King Belgium SA/NV</v>
      </c>
      <c r="E33" s="2" t="s">
        <v>120</v>
      </c>
      <c r="F33" s="64" t="s">
        <v>9</v>
      </c>
      <c r="G33" s="71">
        <v>0</v>
      </c>
      <c r="H33" s="25">
        <f>IF($F33="unclassified","N/A",(_xlfn.XLOOKUP($E33,Sheet2!$A:$A,Sheet2!Q:Q,"N/A",0,1)))</f>
        <v>1</v>
      </c>
      <c r="I33" s="25">
        <f>IF($F33="unclassified","N/A",(_xlfn.XLOOKUP($E33,Sheet2!$A:$A,Sheet2!R:R,"N/A",0,1)))</f>
        <v>1</v>
      </c>
      <c r="J33" s="25">
        <f>IF($F33="unclassified","N/A",(_xlfn.XLOOKUP($E33,Sheet2!$A:$A,Sheet2!S:S,"N/A",0,1)))</f>
        <v>1</v>
      </c>
      <c r="K33" s="25">
        <f>IF($F33="unclassified","N/A",(_xlfn.XLOOKUP($E33,Sheet2!$A:$A,Sheet2!T:T,"N/A",0,1)))</f>
        <v>1</v>
      </c>
      <c r="L33" s="25">
        <f>IF($F33="unclassified","N/A",(_xlfn.XLOOKUP($E33,Sheet2!$A:$A,Sheet2!U:U,"N/A",0,1)))</f>
        <v>1</v>
      </c>
      <c r="M33" s="9">
        <f>IF($F33="unclassified","N/A",(_xlfn.XLOOKUP($E33,Sheet2!$A:$A,Sheet2!V:V,"N/A",0,1)))</f>
        <v>1</v>
      </c>
      <c r="N33" s="25"/>
      <c r="O33" s="25">
        <f>IF($F33="unclassified","N/A",(_xlfn.XLOOKUP($E33,Sheet2!$A:$A,Sheet2!W:W,"N/A",0,1)))</f>
        <v>1</v>
      </c>
      <c r="P33" s="25">
        <f>IF($F33="unclassified","N/A",(_xlfn.XLOOKUP($E33,Sheet2!$A:$A,Sheet2!X:X,"N/A",0,1)))</f>
        <v>1</v>
      </c>
      <c r="Q33" s="25">
        <f>IF($F33="unclassified","N/A",(_xlfn.XLOOKUP($E33,Sheet2!$A:$A,Sheet2!Y:Y,"N/A",0,1)))</f>
        <v>1</v>
      </c>
      <c r="R33" s="25">
        <f>IF($F33="unclassified","N/A",(_xlfn.XLOOKUP($E33,Sheet2!$A:$A,Sheet2!Z:Z,"N/A",0,1)))</f>
        <v>1</v>
      </c>
      <c r="S33" s="25">
        <f>IF($F33="unclassified","N/A",(_xlfn.XLOOKUP($E33,Sheet2!$A:$A,Sheet2!AA:AA,"N/A",0,1)))</f>
        <v>1</v>
      </c>
      <c r="T33" s="25">
        <f>IF($F33="unclassified","N/A",(_xlfn.XLOOKUP($E33,Sheet2!$A:$A,Sheet2!AB:AB,"N/A",0,1)))</f>
        <v>1</v>
      </c>
      <c r="U33" s="11">
        <f>IF($F33="unclassified","N/A",(AVERAGE(Table325[[#This Row],[PO nr]:[Delivery Date]])))</f>
        <v>1</v>
      </c>
      <c r="V33" s="21"/>
      <c r="W33" s="21"/>
      <c r="X33" s="21"/>
      <c r="Y33" s="21"/>
      <c r="Z33" s="21"/>
    </row>
    <row r="34" spans="3:26" ht="15" customHeight="1" x14ac:dyDescent="0.3">
      <c r="C34" t="str">
        <f>_xlfn.XLOOKUP(Table325[[#This Row],[Customer]],'Top 300'!C:C,'Top 300'!A:A,"0",2,1)</f>
        <v>0</v>
      </c>
      <c r="D34" s="30" t="str">
        <f>_xlfn.XLOOKUP(Table325[[#This Row],[File Name]],'Analyse 2 Detail 02-03'!A:A,'Analyse 2 Detail 02-03'!R:R,"Not Found",0,1)</f>
        <v>King Belgium SA/NV</v>
      </c>
      <c r="E34" s="2" t="s">
        <v>145</v>
      </c>
      <c r="F34" s="64" t="s">
        <v>9</v>
      </c>
      <c r="G34" s="71">
        <v>0</v>
      </c>
      <c r="H34" s="25">
        <f>IF($F34="unclassified","N/A",(_xlfn.XLOOKUP($E34,Sheet2!$A:$A,Sheet2!Q:Q,"N/A",0,1)))</f>
        <v>1</v>
      </c>
      <c r="I34" s="25">
        <f>IF($F34="unclassified","N/A",(_xlfn.XLOOKUP($E34,Sheet2!$A:$A,Sheet2!R:R,"N/A",0,1)))</f>
        <v>1</v>
      </c>
      <c r="J34" s="25">
        <f>IF($F34="unclassified","N/A",(_xlfn.XLOOKUP($E34,Sheet2!$A:$A,Sheet2!S:S,"N/A",0,1)))</f>
        <v>1</v>
      </c>
      <c r="K34" s="25">
        <f>IF($F34="unclassified","N/A",(_xlfn.XLOOKUP($E34,Sheet2!$A:$A,Sheet2!T:T,"N/A",0,1)))</f>
        <v>1</v>
      </c>
      <c r="L34" s="25">
        <f>IF($F34="unclassified","N/A",(_xlfn.XLOOKUP($E34,Sheet2!$A:$A,Sheet2!U:U,"N/A",0,1)))</f>
        <v>1</v>
      </c>
      <c r="M34" s="9">
        <f>IF($F34="unclassified","N/A",(_xlfn.XLOOKUP($E34,Sheet2!$A:$A,Sheet2!V:V,"N/A",0,1)))</f>
        <v>1</v>
      </c>
      <c r="N34" s="25"/>
      <c r="O34" s="25">
        <f>IF($F34="unclassified","N/A",(_xlfn.XLOOKUP($E34,Sheet2!$A:$A,Sheet2!W:W,"N/A",0,1)))</f>
        <v>1</v>
      </c>
      <c r="P34" s="25">
        <f>IF($F34="unclassified","N/A",(_xlfn.XLOOKUP($E34,Sheet2!$A:$A,Sheet2!X:X,"N/A",0,1)))</f>
        <v>1</v>
      </c>
      <c r="Q34" s="25">
        <f>IF($F34="unclassified","N/A",(_xlfn.XLOOKUP($E34,Sheet2!$A:$A,Sheet2!Y:Y,"N/A",0,1)))</f>
        <v>1</v>
      </c>
      <c r="R34" s="25">
        <f>IF($F34="unclassified","N/A",(_xlfn.XLOOKUP($E34,Sheet2!$A:$A,Sheet2!Z:Z,"N/A",0,1)))</f>
        <v>1</v>
      </c>
      <c r="S34" s="25">
        <f>IF($F34="unclassified","N/A",(_xlfn.XLOOKUP($E34,Sheet2!$A:$A,Sheet2!AA:AA,"N/A",0,1)))</f>
        <v>1</v>
      </c>
      <c r="T34" s="25">
        <f>IF($F34="unclassified","N/A",(_xlfn.XLOOKUP($E34,Sheet2!$A:$A,Sheet2!AB:AB,"N/A",0,1)))</f>
        <v>1</v>
      </c>
      <c r="U34" s="11">
        <f>IF($F34="unclassified","N/A",(AVERAGE(Table325[[#This Row],[PO nr]:[Delivery Date]])))</f>
        <v>1</v>
      </c>
      <c r="V34" s="21"/>
      <c r="W34" s="21"/>
      <c r="X34" s="21"/>
      <c r="Y34" s="21"/>
      <c r="Z34" s="21"/>
    </row>
    <row r="35" spans="3:26" ht="15" customHeight="1" x14ac:dyDescent="0.3">
      <c r="C35" t="str">
        <f>_xlfn.XLOOKUP(Table325[[#This Row],[Customer]],'Top 300'!C:C,'Top 300'!A:A,"0",2,1)</f>
        <v>0</v>
      </c>
      <c r="D35" s="30" t="str">
        <f>_xlfn.XLOOKUP(Table325[[#This Row],[File Name]],'Analyse 2 Detail 02-03'!A:A,'Analyse 2 Detail 02-03'!R:R,"Not Found",0,1)</f>
        <v>King Belgium SA/NV</v>
      </c>
      <c r="E35" s="2" t="s">
        <v>182</v>
      </c>
      <c r="F35" s="64" t="s">
        <v>9</v>
      </c>
      <c r="G35" s="71">
        <v>0</v>
      </c>
      <c r="H35" s="25">
        <f>IF($F35="unclassified","N/A",(_xlfn.XLOOKUP($E35,Sheet2!$A:$A,Sheet2!Q:Q,"N/A",0,1)))</f>
        <v>1</v>
      </c>
      <c r="I35" s="25">
        <f>IF($F35="unclassified","N/A",(_xlfn.XLOOKUP($E35,Sheet2!$A:$A,Sheet2!R:R,"N/A",0,1)))</f>
        <v>1</v>
      </c>
      <c r="J35" s="25">
        <f>IF($F35="unclassified","N/A",(_xlfn.XLOOKUP($E35,Sheet2!$A:$A,Sheet2!S:S,"N/A",0,1)))</f>
        <v>1</v>
      </c>
      <c r="K35" s="25">
        <f>IF($F35="unclassified","N/A",(_xlfn.XLOOKUP($E35,Sheet2!$A:$A,Sheet2!T:T,"N/A",0,1)))</f>
        <v>1</v>
      </c>
      <c r="L35" s="25">
        <f>IF($F35="unclassified","N/A",(_xlfn.XLOOKUP($E35,Sheet2!$A:$A,Sheet2!U:U,"N/A",0,1)))</f>
        <v>1</v>
      </c>
      <c r="M35" s="9">
        <f>IF($F35="unclassified","N/A",(_xlfn.XLOOKUP($E35,Sheet2!$A:$A,Sheet2!V:V,"N/A",0,1)))</f>
        <v>1</v>
      </c>
      <c r="N35" s="25"/>
      <c r="O35" s="25">
        <f>IF($F35="unclassified","N/A",(_xlfn.XLOOKUP($E35,Sheet2!$A:$A,Sheet2!W:W,"N/A",0,1)))</f>
        <v>1</v>
      </c>
      <c r="P35" s="25">
        <f>IF($F35="unclassified","N/A",(_xlfn.XLOOKUP($E35,Sheet2!$A:$A,Sheet2!X:X,"N/A",0,1)))</f>
        <v>1</v>
      </c>
      <c r="Q35" s="25">
        <f>IF($F35="unclassified","N/A",(_xlfn.XLOOKUP($E35,Sheet2!$A:$A,Sheet2!Y:Y,"N/A",0,1)))</f>
        <v>1</v>
      </c>
      <c r="R35" s="25">
        <f>IF($F35="unclassified","N/A",(_xlfn.XLOOKUP($E35,Sheet2!$A:$A,Sheet2!Z:Z,"N/A",0,1)))</f>
        <v>1</v>
      </c>
      <c r="S35" s="25">
        <f>IF($F35="unclassified","N/A",(_xlfn.XLOOKUP($E35,Sheet2!$A:$A,Sheet2!AA:AA,"N/A",0,1)))</f>
        <v>1</v>
      </c>
      <c r="T35" s="25">
        <f>IF($F35="unclassified","N/A",(_xlfn.XLOOKUP($E35,Sheet2!$A:$A,Sheet2!AB:AB,"N/A",0,1)))</f>
        <v>1</v>
      </c>
      <c r="U35" s="11">
        <f>IF($F35="unclassified","N/A",(AVERAGE(Table325[[#This Row],[PO nr]:[Delivery Date]])))</f>
        <v>1</v>
      </c>
      <c r="V35" s="21"/>
      <c r="W35" s="21"/>
      <c r="X35" s="21"/>
      <c r="Y35" s="21"/>
      <c r="Z35" s="21"/>
    </row>
    <row r="36" spans="3:26" ht="15" customHeight="1" x14ac:dyDescent="0.3">
      <c r="C36" t="str">
        <f>_xlfn.XLOOKUP(Table325[[#This Row],[Customer]],'Top 300'!C:C,'Top 300'!A:A,"0",2,1)</f>
        <v>0</v>
      </c>
      <c r="D36" s="30" t="str">
        <f>_xlfn.XLOOKUP(Table325[[#This Row],[File Name]],'Analyse 2 Detail 02-03'!A:A,'Analyse 2 Detail 02-03'!R:R,"Not Found",0,1)</f>
        <v>King Belgium SA/NV</v>
      </c>
      <c r="E36" s="2" t="s">
        <v>151</v>
      </c>
      <c r="F36" s="64" t="s">
        <v>9</v>
      </c>
      <c r="G36" s="71">
        <v>1</v>
      </c>
      <c r="H36" s="25">
        <f>IF($F36="unclassified","N/A",(_xlfn.XLOOKUP($E36,Sheet2!$A:$A,Sheet2!Q:Q,"N/A",0,1)))</f>
        <v>1</v>
      </c>
      <c r="I36" s="25">
        <f>IF($F36="unclassified","N/A",(_xlfn.XLOOKUP($E36,Sheet2!$A:$A,Sheet2!R:R,"N/A",0,1)))</f>
        <v>1</v>
      </c>
      <c r="J36" s="25">
        <f>IF($F36="unclassified","N/A",(_xlfn.XLOOKUP($E36,Sheet2!$A:$A,Sheet2!S:S,"N/A",0,1)))</f>
        <v>1</v>
      </c>
      <c r="K36" s="25">
        <f>IF($F36="unclassified","N/A",(_xlfn.XLOOKUP($E36,Sheet2!$A:$A,Sheet2!T:T,"N/A",0,1)))</f>
        <v>1</v>
      </c>
      <c r="L36" s="25">
        <f>IF($F36="unclassified","N/A",(_xlfn.XLOOKUP($E36,Sheet2!$A:$A,Sheet2!U:U,"N/A",0,1)))</f>
        <v>1</v>
      </c>
      <c r="M36" s="9">
        <f>IF($F36="unclassified","N/A",(_xlfn.XLOOKUP($E36,Sheet2!$A:$A,Sheet2!V:V,"N/A",0,1)))</f>
        <v>1</v>
      </c>
      <c r="N36" s="25"/>
      <c r="O36" s="25">
        <f>IF($F36="unclassified","N/A",(_xlfn.XLOOKUP($E36,Sheet2!$A:$A,Sheet2!W:W,"N/A",0,1)))</f>
        <v>1</v>
      </c>
      <c r="P36" s="25">
        <f>IF($F36="unclassified","N/A",(_xlfn.XLOOKUP($E36,Sheet2!$A:$A,Sheet2!X:X,"N/A",0,1)))</f>
        <v>1</v>
      </c>
      <c r="Q36" s="25">
        <f>IF($F36="unclassified","N/A",(_xlfn.XLOOKUP($E36,Sheet2!$A:$A,Sheet2!Y:Y,"N/A",0,1)))</f>
        <v>1</v>
      </c>
      <c r="R36" s="25">
        <f>IF($F36="unclassified","N/A",(_xlfn.XLOOKUP($E36,Sheet2!$A:$A,Sheet2!Z:Z,"N/A",0,1)))</f>
        <v>1</v>
      </c>
      <c r="S36" s="25">
        <f>IF($F36="unclassified","N/A",(_xlfn.XLOOKUP($E36,Sheet2!$A:$A,Sheet2!AA:AA,"N/A",0,1)))</f>
        <v>1</v>
      </c>
      <c r="T36" s="25">
        <f>IF($F36="unclassified","N/A",(_xlfn.XLOOKUP($E36,Sheet2!$A:$A,Sheet2!AB:AB,"N/A",0,1)))</f>
        <v>1</v>
      </c>
      <c r="U36" s="11">
        <f>IF($F36="unclassified","N/A",(AVERAGE(Table325[[#This Row],[PO nr]:[Delivery Date]])))</f>
        <v>1</v>
      </c>
      <c r="V36" s="21" t="s">
        <v>207</v>
      </c>
      <c r="W36" s="21"/>
      <c r="X36" s="21" t="s">
        <v>2324</v>
      </c>
      <c r="Y36" s="21"/>
      <c r="Z36" s="21"/>
    </row>
    <row r="37" spans="3:26" ht="15" customHeight="1" x14ac:dyDescent="0.3">
      <c r="C37" t="str">
        <f>_xlfn.XLOOKUP(Table325[[#This Row],[Customer]],'Top 300'!C:C,'Top 300'!A:A,"0",2,1)</f>
        <v>0</v>
      </c>
      <c r="D37" s="30" t="str">
        <f>_xlfn.XLOOKUP(Table325[[#This Row],[File Name]],'Analyse 2 Detail 02-03'!A:A,'Analyse 2 Detail 02-03'!R:R,"Not Found",0,1)</f>
        <v>King Belgium SA/NV</v>
      </c>
      <c r="E37" s="2" t="s">
        <v>171</v>
      </c>
      <c r="F37" s="64" t="s">
        <v>9</v>
      </c>
      <c r="G37" s="71">
        <v>0</v>
      </c>
      <c r="H37" s="25">
        <f>IF($F37="unclassified","N/A",(_xlfn.XLOOKUP($E37,Sheet2!$A:$A,Sheet2!Q:Q,"N/A",0,1)))</f>
        <v>1</v>
      </c>
      <c r="I37" s="25">
        <f>IF($F37="unclassified","N/A",(_xlfn.XLOOKUP($E37,Sheet2!$A:$A,Sheet2!R:R,"N/A",0,1)))</f>
        <v>1</v>
      </c>
      <c r="J37" s="25">
        <f>IF($F37="unclassified","N/A",(_xlfn.XLOOKUP($E37,Sheet2!$A:$A,Sheet2!S:S,"N/A",0,1)))</f>
        <v>1</v>
      </c>
      <c r="K37" s="25">
        <f>IF($F37="unclassified","N/A",(_xlfn.XLOOKUP($E37,Sheet2!$A:$A,Sheet2!T:T,"N/A",0,1)))</f>
        <v>1</v>
      </c>
      <c r="L37" s="25">
        <f>IF($F37="unclassified","N/A",(_xlfn.XLOOKUP($E37,Sheet2!$A:$A,Sheet2!U:U,"N/A",0,1)))</f>
        <v>1</v>
      </c>
      <c r="M37" s="9">
        <f>IF($F37="unclassified","N/A",(_xlfn.XLOOKUP($E37,Sheet2!$A:$A,Sheet2!V:V,"N/A",0,1)))</f>
        <v>1</v>
      </c>
      <c r="N37" s="25"/>
      <c r="O37" s="25">
        <f>IF($F37="unclassified","N/A",(_xlfn.XLOOKUP($E37,Sheet2!$A:$A,Sheet2!W:W,"N/A",0,1)))</f>
        <v>1</v>
      </c>
      <c r="P37" s="25">
        <f>IF($F37="unclassified","N/A",(_xlfn.XLOOKUP($E37,Sheet2!$A:$A,Sheet2!X:X,"N/A",0,1)))</f>
        <v>1</v>
      </c>
      <c r="Q37" s="25">
        <f>IF($F37="unclassified","N/A",(_xlfn.XLOOKUP($E37,Sheet2!$A:$A,Sheet2!Y:Y,"N/A",0,1)))</f>
        <v>1</v>
      </c>
      <c r="R37" s="25">
        <f>IF($F37="unclassified","N/A",(_xlfn.XLOOKUP($E37,Sheet2!$A:$A,Sheet2!Z:Z,"N/A",0,1)))</f>
        <v>1</v>
      </c>
      <c r="S37" s="25">
        <f>IF($F37="unclassified","N/A",(_xlfn.XLOOKUP($E37,Sheet2!$A:$A,Sheet2!AA:AA,"N/A",0,1)))</f>
        <v>1</v>
      </c>
      <c r="T37" s="25">
        <f>IF($F37="unclassified","N/A",(_xlfn.XLOOKUP($E37,Sheet2!$A:$A,Sheet2!AB:AB,"N/A",0,1)))</f>
        <v>1</v>
      </c>
      <c r="U37" s="11">
        <f>IF($F37="unclassified","N/A",(AVERAGE(Table325[[#This Row],[PO nr]:[Delivery Date]])))</f>
        <v>1</v>
      </c>
      <c r="V37" s="21"/>
      <c r="W37" s="21"/>
      <c r="X37" s="21"/>
      <c r="Y37" s="21"/>
      <c r="Z37" s="21"/>
    </row>
    <row r="38" spans="3:26" ht="15" customHeight="1" x14ac:dyDescent="0.3">
      <c r="C38" t="str">
        <f>_xlfn.XLOOKUP(Table325[[#This Row],[Customer]],'Top 300'!C:C,'Top 300'!A:A,"0",2,1)</f>
        <v>0</v>
      </c>
      <c r="D38" s="30" t="str">
        <f>_xlfn.XLOOKUP(Table325[[#This Row],[File Name]],'Analyse 2 Detail 02-03'!A:A,'Analyse 2 Detail 02-03'!R:R,"Not Found",0,1)</f>
        <v>Duomed Belgium NV/SA</v>
      </c>
      <c r="E38" s="2" t="s">
        <v>113</v>
      </c>
      <c r="F38" s="64" t="s">
        <v>9</v>
      </c>
      <c r="G38" s="71">
        <v>0</v>
      </c>
      <c r="H38" s="25">
        <f>IF($F38="unclassified","N/A",(_xlfn.XLOOKUP($E38,Sheet2!$A:$A,Sheet2!Q:Q,"N/A",0,1)))</f>
        <v>1</v>
      </c>
      <c r="I38" s="25">
        <f>IF($F38="unclassified","N/A",(_xlfn.XLOOKUP($E38,Sheet2!$A:$A,Sheet2!R:R,"N/A",0,1)))</f>
        <v>1</v>
      </c>
      <c r="J38" s="25">
        <f>IF($F38="unclassified","N/A",(_xlfn.XLOOKUP($E38,Sheet2!$A:$A,Sheet2!S:S,"N/A",0,1)))</f>
        <v>1</v>
      </c>
      <c r="K38" s="25">
        <f>IF($F38="unclassified","N/A",(_xlfn.XLOOKUP($E38,Sheet2!$A:$A,Sheet2!T:T,"N/A",0,1)))</f>
        <v>1</v>
      </c>
      <c r="L38" s="25">
        <f>IF($F38="unclassified","N/A",(_xlfn.XLOOKUP($E38,Sheet2!$A:$A,Sheet2!U:U,"N/A",0,1)))</f>
        <v>1</v>
      </c>
      <c r="M38" s="9">
        <f>IF($F38="unclassified","N/A",(_xlfn.XLOOKUP($E38,Sheet2!$A:$A,Sheet2!V:V,"N/A",0,1)))</f>
        <v>1</v>
      </c>
      <c r="N38" s="25"/>
      <c r="O38" s="25">
        <f>IF($F38="unclassified","N/A",(_xlfn.XLOOKUP($E38,Sheet2!$A:$A,Sheet2!W:W,"N/A",0,1)))</f>
        <v>1</v>
      </c>
      <c r="P38" s="25">
        <f>IF($F38="unclassified","N/A",(_xlfn.XLOOKUP($E38,Sheet2!$A:$A,Sheet2!X:X,"N/A",0,1)))</f>
        <v>1</v>
      </c>
      <c r="Q38" s="25">
        <f>IF($F38="unclassified","N/A",(_xlfn.XLOOKUP($E38,Sheet2!$A:$A,Sheet2!Y:Y,"N/A",0,1)))</f>
        <v>1</v>
      </c>
      <c r="R38" s="25">
        <f>IF($F38="unclassified","N/A",(_xlfn.XLOOKUP($E38,Sheet2!$A:$A,Sheet2!Z:Z,"N/A",0,1)))</f>
        <v>1</v>
      </c>
      <c r="S38" s="25">
        <f>IF($F38="unclassified","N/A",(_xlfn.XLOOKUP($E38,Sheet2!$A:$A,Sheet2!AA:AA,"N/A",0,1)))</f>
        <v>1</v>
      </c>
      <c r="T38" s="25">
        <f>IF($F38="unclassified","N/A",(_xlfn.XLOOKUP($E38,Sheet2!$A:$A,Sheet2!AB:AB,"N/A",0,1)))</f>
        <v>1</v>
      </c>
      <c r="U38" s="11">
        <f>IF($F38="unclassified","N/A",(AVERAGE(Table325[[#This Row],[PO nr]:[Delivery Date]])))</f>
        <v>1</v>
      </c>
      <c r="V38" s="21"/>
      <c r="W38" s="21"/>
      <c r="X38" s="21"/>
      <c r="Y38" s="21"/>
      <c r="Z38" s="21"/>
    </row>
    <row r="39" spans="3:26" ht="15" customHeight="1" x14ac:dyDescent="0.3">
      <c r="C39" t="str">
        <f>_xlfn.XLOOKUP(Table325[[#This Row],[Customer]],'Top 300'!C:C,'Top 300'!A:A,"0",2,1)</f>
        <v>0</v>
      </c>
      <c r="D39" s="30" t="str">
        <f>_xlfn.XLOOKUP(Table325[[#This Row],[File Name]],'Analyse 2 Detail 02-03'!A:A,'Analyse 2 Detail 02-03'!R:R,"Not Found",0,1)</f>
        <v>King Belgium SA/NV</v>
      </c>
      <c r="E39" s="2" t="s">
        <v>134</v>
      </c>
      <c r="F39" s="64" t="s">
        <v>9</v>
      </c>
      <c r="G39" s="71">
        <v>0</v>
      </c>
      <c r="H39" s="25">
        <f>IF($F39="unclassified","N/A",(_xlfn.XLOOKUP($E39,Sheet2!$A:$A,Sheet2!Q:Q,"N/A",0,1)))</f>
        <v>1</v>
      </c>
      <c r="I39" s="25">
        <f>IF($F39="unclassified","N/A",(_xlfn.XLOOKUP($E39,Sheet2!$A:$A,Sheet2!R:R,"N/A",0,1)))</f>
        <v>1</v>
      </c>
      <c r="J39" s="25">
        <f>IF($F39="unclassified","N/A",(_xlfn.XLOOKUP($E39,Sheet2!$A:$A,Sheet2!S:S,"N/A",0,1)))</f>
        <v>1</v>
      </c>
      <c r="K39" s="25">
        <f>IF($F39="unclassified","N/A",(_xlfn.XLOOKUP($E39,Sheet2!$A:$A,Sheet2!T:T,"N/A",0,1)))</f>
        <v>1</v>
      </c>
      <c r="L39" s="25">
        <f>IF($F39="unclassified","N/A",(_xlfn.XLOOKUP($E39,Sheet2!$A:$A,Sheet2!U:U,"N/A",0,1)))</f>
        <v>1</v>
      </c>
      <c r="M39" s="9">
        <f>IF($F39="unclassified","N/A",(_xlfn.XLOOKUP($E39,Sheet2!$A:$A,Sheet2!V:V,"N/A",0,1)))</f>
        <v>1</v>
      </c>
      <c r="N39" s="25"/>
      <c r="O39" s="25">
        <f>IF($F39="unclassified","N/A",(_xlfn.XLOOKUP($E39,Sheet2!$A:$A,Sheet2!W:W,"N/A",0,1)))</f>
        <v>1</v>
      </c>
      <c r="P39" s="25">
        <f>IF($F39="unclassified","N/A",(_xlfn.XLOOKUP($E39,Sheet2!$A:$A,Sheet2!X:X,"N/A",0,1)))</f>
        <v>1</v>
      </c>
      <c r="Q39" s="25">
        <f>IF($F39="unclassified","N/A",(_xlfn.XLOOKUP($E39,Sheet2!$A:$A,Sheet2!Y:Y,"N/A",0,1)))</f>
        <v>1</v>
      </c>
      <c r="R39" s="25">
        <f>IF($F39="unclassified","N/A",(_xlfn.XLOOKUP($E39,Sheet2!$A:$A,Sheet2!Z:Z,"N/A",0,1)))</f>
        <v>1</v>
      </c>
      <c r="S39" s="25">
        <f>IF($F39="unclassified","N/A",(_xlfn.XLOOKUP($E39,Sheet2!$A:$A,Sheet2!AA:AA,"N/A",0,1)))</f>
        <v>1</v>
      </c>
      <c r="T39" s="25">
        <f>IF($F39="unclassified","N/A",(_xlfn.XLOOKUP($E39,Sheet2!$A:$A,Sheet2!AB:AB,"N/A",0,1)))</f>
        <v>1</v>
      </c>
      <c r="U39" s="11">
        <f>IF($F39="unclassified","N/A",(AVERAGE(Table325[[#This Row],[PO nr]:[Delivery Date]])))</f>
        <v>1</v>
      </c>
      <c r="V39" s="21"/>
      <c r="W39" s="21"/>
      <c r="X39" s="21"/>
      <c r="Y39" s="21"/>
      <c r="Z39" s="21"/>
    </row>
    <row r="40" spans="3:26" ht="15" customHeight="1" x14ac:dyDescent="0.3">
      <c r="C40" t="str">
        <f>_xlfn.XLOOKUP(Table325[[#This Row],[Customer]],'Top 300'!C:C,'Top 300'!A:A,"0",2,1)</f>
        <v>0</v>
      </c>
      <c r="D40" s="30">
        <f>_xlfn.XLOOKUP(Table325[[#This Row],[File Name]],'Analyse 2 Detail 02-03'!A:A,'Analyse 2 Detail 02-03'!R:R,"Not Found",0,1)</f>
        <v>0</v>
      </c>
      <c r="E40" s="2" t="s">
        <v>125</v>
      </c>
      <c r="F40" s="64" t="s">
        <v>11</v>
      </c>
      <c r="G40" s="71">
        <v>0</v>
      </c>
      <c r="H40" s="25" t="str">
        <f>IF($F40="unclassified","N/A",(_xlfn.XLOOKUP($E40,Sheet2!$A:$A,Sheet2!Q:Q,"N/A",0,1)))</f>
        <v>N/A</v>
      </c>
      <c r="I40" s="25" t="str">
        <f>IF($F40="unclassified","N/A",(_xlfn.XLOOKUP($E40,Sheet2!$A:$A,Sheet2!R:R,"N/A",0,1)))</f>
        <v>N/A</v>
      </c>
      <c r="J40" s="25" t="str">
        <f>IF($F40="unclassified","N/A",(_xlfn.XLOOKUP($E40,Sheet2!$A:$A,Sheet2!S:S,"N/A",0,1)))</f>
        <v>N/A</v>
      </c>
      <c r="K40" s="25" t="str">
        <f>IF($F40="unclassified","N/A",(_xlfn.XLOOKUP($E40,Sheet2!$A:$A,Sheet2!T:T,"N/A",0,1)))</f>
        <v>N/A</v>
      </c>
      <c r="L40" s="25" t="str">
        <f>IF($F40="unclassified","N/A",(_xlfn.XLOOKUP($E40,Sheet2!$A:$A,Sheet2!U:U,"N/A",0,1)))</f>
        <v>N/A</v>
      </c>
      <c r="M40" s="25" t="str">
        <f>IF($F40="unclassified","N/A",(_xlfn.XLOOKUP($E40,Sheet2!$A:$A,Sheet2!V:V,"N/A",0,1)))</f>
        <v>N/A</v>
      </c>
      <c r="N40" s="25"/>
      <c r="O40" s="25" t="str">
        <f>IF($F40="unclassified","N/A",(_xlfn.XLOOKUP($E40,Sheet2!$A:$A,Sheet2!W:W,"N/A",0,1)))</f>
        <v>N/A</v>
      </c>
      <c r="P40" s="25" t="str">
        <f>IF($F40="unclassified","N/A",(_xlfn.XLOOKUP($E40,Sheet2!$A:$A,Sheet2!X:X,"N/A",0,1)))</f>
        <v>N/A</v>
      </c>
      <c r="Q40" s="25" t="str">
        <f>IF($F40="unclassified","N/A",(_xlfn.XLOOKUP($E40,Sheet2!$A:$A,Sheet2!Y:Y,"N/A",0,1)))</f>
        <v>N/A</v>
      </c>
      <c r="R40" s="25" t="str">
        <f>IF($F40="unclassified","N/A",(_xlfn.XLOOKUP($E40,Sheet2!$A:$A,Sheet2!Z:Z,"N/A",0,1)))</f>
        <v>N/A</v>
      </c>
      <c r="S40" s="25" t="str">
        <f>IF($F40="unclassified","N/A",(_xlfn.XLOOKUP($E40,Sheet2!$A:$A,Sheet2!AA:AA,"N/A",0,1)))</f>
        <v>N/A</v>
      </c>
      <c r="T40" s="25" t="str">
        <f>IF($F40="unclassified","N/A",(_xlfn.XLOOKUP($E40,Sheet2!$A:$A,Sheet2!AB:AB,"N/A",0,1)))</f>
        <v>N/A</v>
      </c>
      <c r="U40" s="11" t="str">
        <f>IF($F40="unclassified","N/A",(AVERAGE(Table325[[#This Row],[PO nr]:[Delivery Date]])))</f>
        <v>N/A</v>
      </c>
      <c r="V40" s="21" t="s">
        <v>1817</v>
      </c>
      <c r="W40" s="21" t="s">
        <v>1814</v>
      </c>
      <c r="X40" s="21"/>
      <c r="Y40" s="21"/>
      <c r="Z40" s="21"/>
    </row>
    <row r="41" spans="3:26" ht="15" customHeight="1" x14ac:dyDescent="0.3">
      <c r="C41" t="str">
        <f>_xlfn.XLOOKUP(Table325[[#This Row],[Customer]],'Top 300'!C:C,'Top 300'!A:A,"0",2,1)</f>
        <v>0</v>
      </c>
      <c r="D41" s="30" t="str">
        <f>_xlfn.XLOOKUP(Table325[[#This Row],[File Name]],'Analyse 2 Detail 02-03'!A:A,'Analyse 2 Detail 02-03'!R:R,"Not Found",0,1)</f>
        <v>Medline International Netherlands B.V.</v>
      </c>
      <c r="E41" s="2" t="s">
        <v>111</v>
      </c>
      <c r="F41" s="64" t="s">
        <v>9</v>
      </c>
      <c r="G41" s="71">
        <v>1</v>
      </c>
      <c r="H41" s="25">
        <f>IF($F41="unclassified","N/A",(_xlfn.XLOOKUP($E41,Sheet2!$A:$A,Sheet2!Q:Q,"N/A",0,1)))</f>
        <v>1</v>
      </c>
      <c r="I41" s="25">
        <f>IF($F41="unclassified","N/A",(_xlfn.XLOOKUP($E41,Sheet2!$A:$A,Sheet2!R:R,"N/A",0,1)))</f>
        <v>1</v>
      </c>
      <c r="J41" s="25">
        <f>IF($F41="unclassified","N/A",(_xlfn.XLOOKUP($E41,Sheet2!$A:$A,Sheet2!S:S,"N/A",0,1)))</f>
        <v>1</v>
      </c>
      <c r="K41" s="25">
        <f>IF($F41="unclassified","N/A",(_xlfn.XLOOKUP($E41,Sheet2!$A:$A,Sheet2!T:T,"N/A",0,1)))</f>
        <v>1</v>
      </c>
      <c r="L41" s="25">
        <f>IF($F41="unclassified","N/A",(_xlfn.XLOOKUP($E41,Sheet2!$A:$A,Sheet2!U:U,"N/A",0,1)))</f>
        <v>1</v>
      </c>
      <c r="M41" s="9">
        <f>IF($F41="unclassified","N/A",(_xlfn.XLOOKUP($E41,Sheet2!$A:$A,Sheet2!V:V,"N/A",0,1)))</f>
        <v>1</v>
      </c>
      <c r="N41" s="25"/>
      <c r="O41" s="25">
        <f>IF($F41="unclassified","N/A",(_xlfn.XLOOKUP($E41,Sheet2!$A:$A,Sheet2!W:W,"N/A",0,1)))</f>
        <v>1</v>
      </c>
      <c r="P41" s="25">
        <f>IF($F41="unclassified","N/A",(_xlfn.XLOOKUP($E41,Sheet2!$A:$A,Sheet2!X:X,"N/A",0,1)))</f>
        <v>1</v>
      </c>
      <c r="Q41" s="25">
        <f>IF($F41="unclassified","N/A",(_xlfn.XLOOKUP($E41,Sheet2!$A:$A,Sheet2!Y:Y,"N/A",0,1)))</f>
        <v>1</v>
      </c>
      <c r="R41" s="25">
        <f>IF($F41="unclassified","N/A",(_xlfn.XLOOKUP($E41,Sheet2!$A:$A,Sheet2!Z:Z,"N/A",0,1)))</f>
        <v>1</v>
      </c>
      <c r="S41" s="25">
        <f>IF($F41="unclassified","N/A",(_xlfn.XLOOKUP($E41,Sheet2!$A:$A,Sheet2!AA:AA,"N/A",0,1)))</f>
        <v>1</v>
      </c>
      <c r="T41" s="25">
        <f>IF($F41="unclassified","N/A",(_xlfn.XLOOKUP($E41,Sheet2!$A:$A,Sheet2!AB:AB,"N/A",0,1)))</f>
        <v>1</v>
      </c>
      <c r="U41" s="11">
        <f>IF($F41="unclassified","N/A",(AVERAGE(Table325[[#This Row],[PO nr]:[Delivery Date]])))</f>
        <v>1</v>
      </c>
      <c r="V41" s="21"/>
      <c r="W41" s="21"/>
      <c r="X41" s="21"/>
      <c r="Y41" s="21"/>
      <c r="Z41" s="21" t="s">
        <v>209</v>
      </c>
    </row>
    <row r="42" spans="3:26" ht="15" customHeight="1" x14ac:dyDescent="0.3">
      <c r="C42" t="str">
        <f>_xlfn.XLOOKUP(Table325[[#This Row],[Customer]],'Top 300'!C:C,'Top 300'!A:A,"0",2,1)</f>
        <v>0</v>
      </c>
      <c r="D42" s="30" t="str">
        <f>_xlfn.XLOOKUP(Table325[[#This Row],[File Name]],'Analyse 2 Detail 02-03'!A:A,'Analyse 2 Detail 02-03'!R:R,"Not Found",0,1)</f>
        <v>N.V. PAUL HARTMANN S.A.</v>
      </c>
      <c r="E42" s="2" t="s">
        <v>133</v>
      </c>
      <c r="F42" s="64" t="s">
        <v>9</v>
      </c>
      <c r="G42" s="71">
        <v>0</v>
      </c>
      <c r="H42" s="25">
        <f>IF($F42="unclassified","N/A",(_xlfn.XLOOKUP($E42,Sheet2!$A:$A,Sheet2!Q:Q,"N/A",0,1)))</f>
        <v>1</v>
      </c>
      <c r="I42" s="25">
        <f>IF($F42="unclassified","N/A",(_xlfn.XLOOKUP($E42,Sheet2!$A:$A,Sheet2!R:R,"N/A",0,1)))</f>
        <v>1</v>
      </c>
      <c r="J42" s="25">
        <f>IF($F42="unclassified","N/A",(_xlfn.XLOOKUP($E42,Sheet2!$A:$A,Sheet2!S:S,"N/A",0,1)))</f>
        <v>1</v>
      </c>
      <c r="K42" s="25">
        <f>IF($F42="unclassified","N/A",(_xlfn.XLOOKUP($E42,Sheet2!$A:$A,Sheet2!T:T,"N/A",0,1)))</f>
        <v>1</v>
      </c>
      <c r="L42" s="25">
        <f>IF($F42="unclassified","N/A",(_xlfn.XLOOKUP($E42,Sheet2!$A:$A,Sheet2!U:U,"N/A",0,1)))</f>
        <v>1</v>
      </c>
      <c r="M42" s="9">
        <f>IF($F42="unclassified","N/A",(_xlfn.XLOOKUP($E42,Sheet2!$A:$A,Sheet2!V:V,"N/A",0,1)))</f>
        <v>1</v>
      </c>
      <c r="N42" s="25"/>
      <c r="O42" s="25">
        <f>IF($F42="unclassified","N/A",(_xlfn.XLOOKUP($E42,Sheet2!$A:$A,Sheet2!W:W,"N/A",0,1)))</f>
        <v>1</v>
      </c>
      <c r="P42" s="25">
        <f>IF($F42="unclassified","N/A",(_xlfn.XLOOKUP($E42,Sheet2!$A:$A,Sheet2!X:X,"N/A",0,1)))</f>
        <v>1</v>
      </c>
      <c r="Q42" s="25">
        <f>IF($F42="unclassified","N/A",(_xlfn.XLOOKUP($E42,Sheet2!$A:$A,Sheet2!Y:Y,"N/A",0,1)))</f>
        <v>1</v>
      </c>
      <c r="R42" s="25">
        <f>IF($F42="unclassified","N/A",(_xlfn.XLOOKUP($E42,Sheet2!$A:$A,Sheet2!Z:Z,"N/A",0,1)))</f>
        <v>1</v>
      </c>
      <c r="S42" s="25">
        <f>IF($F42="unclassified","N/A",(_xlfn.XLOOKUP($E42,Sheet2!$A:$A,Sheet2!AA:AA,"N/A",0,1)))</f>
        <v>1</v>
      </c>
      <c r="T42" s="25">
        <f>IF($F42="unclassified","N/A",(_xlfn.XLOOKUP($E42,Sheet2!$A:$A,Sheet2!AB:AB,"N/A",0,1)))</f>
        <v>1</v>
      </c>
      <c r="U42" s="11">
        <f>IF($F42="unclassified","N/A",(AVERAGE(Table325[[#This Row],[PO nr]:[Delivery Date]])))</f>
        <v>1</v>
      </c>
      <c r="V42" s="21"/>
      <c r="W42" s="21"/>
      <c r="X42" s="21"/>
      <c r="Y42" s="21"/>
      <c r="Z42" s="21"/>
    </row>
    <row r="43" spans="3:26" ht="15" customHeight="1" x14ac:dyDescent="0.3">
      <c r="C43" t="str">
        <f>_xlfn.XLOOKUP(Table325[[#This Row],[Customer]],'Top 300'!C:C,'Top 300'!A:A,"0",2,1)</f>
        <v>0</v>
      </c>
      <c r="D43" s="30" t="str">
        <f>_xlfn.XLOOKUP(Table325[[#This Row],[File Name]],'Analyse 2 Detail 02-03'!A:A,'Analyse 2 Detail 02-03'!R:R,"Not Found",0,1)</f>
        <v>N.V. PAUL HARTMANN S.A.</v>
      </c>
      <c r="E43" s="2" t="s">
        <v>133</v>
      </c>
      <c r="F43" s="64" t="s">
        <v>9</v>
      </c>
      <c r="G43" s="71">
        <v>0</v>
      </c>
      <c r="H43" s="25">
        <f>IF($F43="unclassified","N/A",(_xlfn.XLOOKUP($E43,Sheet2!$A:$A,Sheet2!Q:Q,"N/A",0,1)))</f>
        <v>1</v>
      </c>
      <c r="I43" s="25">
        <f>IF($F43="unclassified","N/A",(_xlfn.XLOOKUP($E43,Sheet2!$A:$A,Sheet2!R:R,"N/A",0,1)))</f>
        <v>1</v>
      </c>
      <c r="J43" s="25">
        <f>IF($F43="unclassified","N/A",(_xlfn.XLOOKUP($E43,Sheet2!$A:$A,Sheet2!S:S,"N/A",0,1)))</f>
        <v>1</v>
      </c>
      <c r="K43" s="25">
        <f>IF($F43="unclassified","N/A",(_xlfn.XLOOKUP($E43,Sheet2!$A:$A,Sheet2!T:T,"N/A",0,1)))</f>
        <v>1</v>
      </c>
      <c r="L43" s="25">
        <f>IF($F43="unclassified","N/A",(_xlfn.XLOOKUP($E43,Sheet2!$A:$A,Sheet2!U:U,"N/A",0,1)))</f>
        <v>1</v>
      </c>
      <c r="M43" s="9">
        <f>IF($F43="unclassified","N/A",(_xlfn.XLOOKUP($E43,Sheet2!$A:$A,Sheet2!V:V,"N/A",0,1)))</f>
        <v>1</v>
      </c>
      <c r="N43" s="25"/>
      <c r="O43" s="25">
        <f>IF($F43="unclassified","N/A",(_xlfn.XLOOKUP($E43,Sheet2!$A:$A,Sheet2!W:W,"N/A",0,1)))</f>
        <v>1</v>
      </c>
      <c r="P43" s="25">
        <f>IF($F43="unclassified","N/A",(_xlfn.XLOOKUP($E43,Sheet2!$A:$A,Sheet2!X:X,"N/A",0,1)))</f>
        <v>1</v>
      </c>
      <c r="Q43" s="25">
        <f>IF($F43="unclassified","N/A",(_xlfn.XLOOKUP($E43,Sheet2!$A:$A,Sheet2!Y:Y,"N/A",0,1)))</f>
        <v>1</v>
      </c>
      <c r="R43" s="25">
        <f>IF($F43="unclassified","N/A",(_xlfn.XLOOKUP($E43,Sheet2!$A:$A,Sheet2!Z:Z,"N/A",0,1)))</f>
        <v>1</v>
      </c>
      <c r="S43" s="25">
        <f>IF($F43="unclassified","N/A",(_xlfn.XLOOKUP($E43,Sheet2!$A:$A,Sheet2!AA:AA,"N/A",0,1)))</f>
        <v>1</v>
      </c>
      <c r="T43" s="25">
        <f>IF($F43="unclassified","N/A",(_xlfn.XLOOKUP($E43,Sheet2!$A:$A,Sheet2!AB:AB,"N/A",0,1)))</f>
        <v>1</v>
      </c>
      <c r="U43" s="11">
        <f>IF($F43="unclassified","N/A",(AVERAGE(Table325[[#This Row],[PO nr]:[Delivery Date]])))</f>
        <v>1</v>
      </c>
      <c r="V43" s="21"/>
      <c r="W43" s="21"/>
      <c r="X43" s="21"/>
      <c r="Y43" s="21"/>
      <c r="Z43" s="21"/>
    </row>
    <row r="44" spans="3:26" ht="15" customHeight="1" x14ac:dyDescent="0.3">
      <c r="C44" t="str">
        <f>_xlfn.XLOOKUP(Table325[[#This Row],[Customer]],'Top 300'!C:C,'Top 300'!A:A,"0",2,1)</f>
        <v>0</v>
      </c>
      <c r="D44" s="30" t="str">
        <f>_xlfn.XLOOKUP(Table325[[#This Row],[File Name]],'Analyse 2 Detail 02-03'!A:A,'Analyse 2 Detail 02-03'!R:R,"Not Found",0,1)</f>
        <v>N.V. PAUL HARTMANN S.A.</v>
      </c>
      <c r="E44" s="2" t="s">
        <v>133</v>
      </c>
      <c r="F44" s="64" t="s">
        <v>9</v>
      </c>
      <c r="G44" s="71">
        <v>0</v>
      </c>
      <c r="H44" s="25">
        <f>IF($F44="unclassified","N/A",(_xlfn.XLOOKUP($E44,Sheet2!$A:$A,Sheet2!Q:Q,"N/A",0,1)))</f>
        <v>1</v>
      </c>
      <c r="I44" s="25">
        <f>IF($F44="unclassified","N/A",(_xlfn.XLOOKUP($E44,Sheet2!$A:$A,Sheet2!R:R,"N/A",0,1)))</f>
        <v>1</v>
      </c>
      <c r="J44" s="25">
        <f>IF($F44="unclassified","N/A",(_xlfn.XLOOKUP($E44,Sheet2!$A:$A,Sheet2!S:S,"N/A",0,1)))</f>
        <v>1</v>
      </c>
      <c r="K44" s="25">
        <f>IF($F44="unclassified","N/A",(_xlfn.XLOOKUP($E44,Sheet2!$A:$A,Sheet2!T:T,"N/A",0,1)))</f>
        <v>1</v>
      </c>
      <c r="L44" s="25">
        <f>IF($F44="unclassified","N/A",(_xlfn.XLOOKUP($E44,Sheet2!$A:$A,Sheet2!U:U,"N/A",0,1)))</f>
        <v>1</v>
      </c>
      <c r="M44" s="9">
        <f>IF($F44="unclassified","N/A",(_xlfn.XLOOKUP($E44,Sheet2!$A:$A,Sheet2!V:V,"N/A",0,1)))</f>
        <v>1</v>
      </c>
      <c r="N44" s="25"/>
      <c r="O44" s="25">
        <f>IF($F44="unclassified","N/A",(_xlfn.XLOOKUP($E44,Sheet2!$A:$A,Sheet2!W:W,"N/A",0,1)))</f>
        <v>1</v>
      </c>
      <c r="P44" s="25">
        <f>IF($F44="unclassified","N/A",(_xlfn.XLOOKUP($E44,Sheet2!$A:$A,Sheet2!X:X,"N/A",0,1)))</f>
        <v>1</v>
      </c>
      <c r="Q44" s="25">
        <f>IF($F44="unclassified","N/A",(_xlfn.XLOOKUP($E44,Sheet2!$A:$A,Sheet2!Y:Y,"N/A",0,1)))</f>
        <v>1</v>
      </c>
      <c r="R44" s="25">
        <f>IF($F44="unclassified","N/A",(_xlfn.XLOOKUP($E44,Sheet2!$A:$A,Sheet2!Z:Z,"N/A",0,1)))</f>
        <v>1</v>
      </c>
      <c r="S44" s="25">
        <f>IF($F44="unclassified","N/A",(_xlfn.XLOOKUP($E44,Sheet2!$A:$A,Sheet2!AA:AA,"N/A",0,1)))</f>
        <v>1</v>
      </c>
      <c r="T44" s="25">
        <f>IF($F44="unclassified","N/A",(_xlfn.XLOOKUP($E44,Sheet2!$A:$A,Sheet2!AB:AB,"N/A",0,1)))</f>
        <v>1</v>
      </c>
      <c r="U44" s="11">
        <f>IF($F44="unclassified","N/A",(AVERAGE(Table325[[#This Row],[PO nr]:[Delivery Date]])))</f>
        <v>1</v>
      </c>
      <c r="V44" s="21"/>
      <c r="W44" s="21"/>
      <c r="X44" s="21"/>
      <c r="Y44" s="21"/>
      <c r="Z44" s="21"/>
    </row>
    <row r="45" spans="3:26" ht="15" customHeight="1" x14ac:dyDescent="0.3">
      <c r="C45" t="str">
        <f>_xlfn.XLOOKUP(Table325[[#This Row],[Customer]],'Top 300'!C:C,'Top 300'!A:A,"0",2,1)</f>
        <v>0</v>
      </c>
      <c r="D45" s="30" t="str">
        <f>_xlfn.XLOOKUP(Table325[[#This Row],[File Name]],'Analyse 2 Detail 02-03'!A:A,'Analyse 2 Detail 02-03'!R:R,"Not Found",0,1)</f>
        <v>N.V. PAUL HARTMANN S.A.</v>
      </c>
      <c r="E45" s="2" t="s">
        <v>133</v>
      </c>
      <c r="F45" s="64" t="s">
        <v>9</v>
      </c>
      <c r="G45" s="71">
        <v>0</v>
      </c>
      <c r="H45" s="25">
        <f>IF($F45="unclassified","N/A",(_xlfn.XLOOKUP($E45,Sheet2!$A:$A,Sheet2!Q:Q,"N/A",0,1)))</f>
        <v>1</v>
      </c>
      <c r="I45" s="25">
        <f>IF($F45="unclassified","N/A",(_xlfn.XLOOKUP($E45,Sheet2!$A:$A,Sheet2!R:R,"N/A",0,1)))</f>
        <v>1</v>
      </c>
      <c r="J45" s="25">
        <f>IF($F45="unclassified","N/A",(_xlfn.XLOOKUP($E45,Sheet2!$A:$A,Sheet2!S:S,"N/A",0,1)))</f>
        <v>1</v>
      </c>
      <c r="K45" s="25">
        <f>IF($F45="unclassified","N/A",(_xlfn.XLOOKUP($E45,Sheet2!$A:$A,Sheet2!T:T,"N/A",0,1)))</f>
        <v>1</v>
      </c>
      <c r="L45" s="25">
        <f>IF($F45="unclassified","N/A",(_xlfn.XLOOKUP($E45,Sheet2!$A:$A,Sheet2!U:U,"N/A",0,1)))</f>
        <v>1</v>
      </c>
      <c r="M45" s="9">
        <f>IF($F45="unclassified","N/A",(_xlfn.XLOOKUP($E45,Sheet2!$A:$A,Sheet2!V:V,"N/A",0,1)))</f>
        <v>1</v>
      </c>
      <c r="N45" s="25"/>
      <c r="O45" s="25">
        <f>IF($F45="unclassified","N/A",(_xlfn.XLOOKUP($E45,Sheet2!$A:$A,Sheet2!W:W,"N/A",0,1)))</f>
        <v>1</v>
      </c>
      <c r="P45" s="25">
        <f>IF($F45="unclassified","N/A",(_xlfn.XLOOKUP($E45,Sheet2!$A:$A,Sheet2!X:X,"N/A",0,1)))</f>
        <v>1</v>
      </c>
      <c r="Q45" s="25">
        <f>IF($F45="unclassified","N/A",(_xlfn.XLOOKUP($E45,Sheet2!$A:$A,Sheet2!Y:Y,"N/A",0,1)))</f>
        <v>1</v>
      </c>
      <c r="R45" s="25">
        <f>IF($F45="unclassified","N/A",(_xlfn.XLOOKUP($E45,Sheet2!$A:$A,Sheet2!Z:Z,"N/A",0,1)))</f>
        <v>1</v>
      </c>
      <c r="S45" s="25">
        <f>IF($F45="unclassified","N/A",(_xlfn.XLOOKUP($E45,Sheet2!$A:$A,Sheet2!AA:AA,"N/A",0,1)))</f>
        <v>1</v>
      </c>
      <c r="T45" s="25">
        <f>IF($F45="unclassified","N/A",(_xlfn.XLOOKUP($E45,Sheet2!$A:$A,Sheet2!AB:AB,"N/A",0,1)))</f>
        <v>1</v>
      </c>
      <c r="U45" s="11">
        <f>IF($F45="unclassified","N/A",(AVERAGE(Table325[[#This Row],[PO nr]:[Delivery Date]])))</f>
        <v>1</v>
      </c>
      <c r="V45" s="21"/>
      <c r="W45" s="21"/>
      <c r="X45" s="21"/>
      <c r="Y45" s="21"/>
      <c r="Z45" s="21"/>
    </row>
    <row r="46" spans="3:26" ht="15" customHeight="1" x14ac:dyDescent="0.3">
      <c r="C46" t="str">
        <f>_xlfn.XLOOKUP(Table325[[#This Row],[Customer]],'Top 300'!C:C,'Top 300'!A:A,"0",2,1)</f>
        <v>0</v>
      </c>
      <c r="D46" s="30" t="str">
        <f>_xlfn.XLOOKUP(Table325[[#This Row],[File Name]],'Analyse 2 Detail 02-03'!A:A,'Analyse 2 Detail 02-03'!R:R,"Not Found",0,1)</f>
        <v>Paul Hartmann B.V.</v>
      </c>
      <c r="E46" s="2" t="s">
        <v>124</v>
      </c>
      <c r="F46" s="64" t="s">
        <v>9</v>
      </c>
      <c r="G46" s="71">
        <v>0</v>
      </c>
      <c r="H46" s="25">
        <f>IF($F46="unclassified","N/A",(_xlfn.XLOOKUP($E46,Sheet2!$A:$A,Sheet2!Q:Q,"N/A",0,1)))</f>
        <v>1</v>
      </c>
      <c r="I46" s="25">
        <f>IF($F46="unclassified","N/A",(_xlfn.XLOOKUP($E46,Sheet2!$A:$A,Sheet2!R:R,"N/A",0,1)))</f>
        <v>1</v>
      </c>
      <c r="J46" s="25">
        <f>IF($F46="unclassified","N/A",(_xlfn.XLOOKUP($E46,Sheet2!$A:$A,Sheet2!S:S,"N/A",0,1)))</f>
        <v>1</v>
      </c>
      <c r="K46" s="25">
        <f>IF($F46="unclassified","N/A",(_xlfn.XLOOKUP($E46,Sheet2!$A:$A,Sheet2!T:T,"N/A",0,1)))</f>
        <v>1</v>
      </c>
      <c r="L46" s="25">
        <f>IF($F46="unclassified","N/A",(_xlfn.XLOOKUP($E46,Sheet2!$A:$A,Sheet2!U:U,"N/A",0,1)))</f>
        <v>1</v>
      </c>
      <c r="M46" s="9">
        <f>IF($F46="unclassified","N/A",(_xlfn.XLOOKUP($E46,Sheet2!$A:$A,Sheet2!V:V,"N/A",0,1)))</f>
        <v>1</v>
      </c>
      <c r="N46" s="25"/>
      <c r="O46" s="25">
        <f>IF($F46="unclassified","N/A",(_xlfn.XLOOKUP($E46,Sheet2!$A:$A,Sheet2!W:W,"N/A",0,1)))</f>
        <v>1</v>
      </c>
      <c r="P46" s="25">
        <f>IF($F46="unclassified","N/A",(_xlfn.XLOOKUP($E46,Sheet2!$A:$A,Sheet2!X:X,"N/A",0,1)))</f>
        <v>1</v>
      </c>
      <c r="Q46" s="25">
        <f>IF($F46="unclassified","N/A",(_xlfn.XLOOKUP($E46,Sheet2!$A:$A,Sheet2!Y:Y,"N/A",0,1)))</f>
        <v>1</v>
      </c>
      <c r="R46" s="25">
        <f>IF($F46="unclassified","N/A",(_xlfn.XLOOKUP($E46,Sheet2!$A:$A,Sheet2!Z:Z,"N/A",0,1)))</f>
        <v>1</v>
      </c>
      <c r="S46" s="25">
        <f>IF($F46="unclassified","N/A",(_xlfn.XLOOKUP($E46,Sheet2!$A:$A,Sheet2!AA:AA,"N/A",0,1)))</f>
        <v>1</v>
      </c>
      <c r="T46" s="25">
        <f>IF($F46="unclassified","N/A",(_xlfn.XLOOKUP($E46,Sheet2!$A:$A,Sheet2!AB:AB,"N/A",0,1)))</f>
        <v>1</v>
      </c>
      <c r="U46" s="11">
        <f>IF($F46="unclassified","N/A",(AVERAGE(Table325[[#This Row],[PO nr]:[Delivery Date]])))</f>
        <v>1</v>
      </c>
      <c r="V46" s="21"/>
      <c r="W46" s="21"/>
      <c r="X46" s="21"/>
      <c r="Y46" s="21"/>
      <c r="Z46" s="21"/>
    </row>
    <row r="47" spans="3:26" ht="15" customHeight="1" x14ac:dyDescent="0.3">
      <c r="C47" t="str">
        <f>_xlfn.XLOOKUP(Table325[[#This Row],[Customer]],'Top 300'!C:C,'Top 300'!A:A,"0",2,1)</f>
        <v>0</v>
      </c>
      <c r="D47" s="30" t="str">
        <f>_xlfn.XLOOKUP(Table325[[#This Row],[File Name]],'Analyse 2 Detail 02-03'!A:A,'Analyse 2 Detail 02-03'!R:R,"Not Found",0,1)</f>
        <v>Paul Hartmann B.V.</v>
      </c>
      <c r="E47" s="2" t="s">
        <v>148</v>
      </c>
      <c r="F47" s="64" t="s">
        <v>9</v>
      </c>
      <c r="G47" s="71">
        <v>0</v>
      </c>
      <c r="H47" s="25">
        <f>IF($F47="unclassified","N/A",(_xlfn.XLOOKUP($E47,Sheet2!$A:$A,Sheet2!Q:Q,"N/A",0,1)))</f>
        <v>1</v>
      </c>
      <c r="I47" s="25">
        <f>IF($F47="unclassified","N/A",(_xlfn.XLOOKUP($E47,Sheet2!$A:$A,Sheet2!R:R,"N/A",0,1)))</f>
        <v>1</v>
      </c>
      <c r="J47" s="25">
        <f>IF($F47="unclassified","N/A",(_xlfn.XLOOKUP($E47,Sheet2!$A:$A,Sheet2!S:S,"N/A",0,1)))</f>
        <v>1</v>
      </c>
      <c r="K47" s="25">
        <f>IF($F47="unclassified","N/A",(_xlfn.XLOOKUP($E47,Sheet2!$A:$A,Sheet2!T:T,"N/A",0,1)))</f>
        <v>1</v>
      </c>
      <c r="L47" s="25">
        <f>IF($F47="unclassified","N/A",(_xlfn.XLOOKUP($E47,Sheet2!$A:$A,Sheet2!U:U,"N/A",0,1)))</f>
        <v>1</v>
      </c>
      <c r="M47" s="9">
        <f>IF($F47="unclassified","N/A",(_xlfn.XLOOKUP($E47,Sheet2!$A:$A,Sheet2!V:V,"N/A",0,1)))</f>
        <v>1</v>
      </c>
      <c r="N47" s="25"/>
      <c r="O47" s="25">
        <f>IF($F47="unclassified","N/A",(_xlfn.XLOOKUP($E47,Sheet2!$A:$A,Sheet2!W:W,"N/A",0,1)))</f>
        <v>1</v>
      </c>
      <c r="P47" s="25">
        <f>IF($F47="unclassified","N/A",(_xlfn.XLOOKUP($E47,Sheet2!$A:$A,Sheet2!X:X,"N/A",0,1)))</f>
        <v>1</v>
      </c>
      <c r="Q47" s="25">
        <f>IF($F47="unclassified","N/A",(_xlfn.XLOOKUP($E47,Sheet2!$A:$A,Sheet2!Y:Y,"N/A",0,1)))</f>
        <v>1</v>
      </c>
      <c r="R47" s="25">
        <f>IF($F47="unclassified","N/A",(_xlfn.XLOOKUP($E47,Sheet2!$A:$A,Sheet2!Z:Z,"N/A",0,1)))</f>
        <v>1</v>
      </c>
      <c r="S47" s="25">
        <f>IF($F47="unclassified","N/A",(_xlfn.XLOOKUP($E47,Sheet2!$A:$A,Sheet2!AA:AA,"N/A",0,1)))</f>
        <v>1</v>
      </c>
      <c r="T47" s="25">
        <f>IF($F47="unclassified","N/A",(_xlfn.XLOOKUP($E47,Sheet2!$A:$A,Sheet2!AB:AB,"N/A",0,1)))</f>
        <v>1</v>
      </c>
      <c r="U47" s="11">
        <f>IF($F47="unclassified","N/A",(AVERAGE(Table325[[#This Row],[PO nr]:[Delivery Date]])))</f>
        <v>1</v>
      </c>
      <c r="V47" s="21"/>
      <c r="W47" s="21"/>
      <c r="X47" s="21"/>
      <c r="Y47" s="21"/>
      <c r="Z47" s="21"/>
    </row>
    <row r="48" spans="3:26" ht="15" customHeight="1" x14ac:dyDescent="0.3">
      <c r="C48" t="str">
        <f>_xlfn.XLOOKUP(Table325[[#This Row],[Customer]],'Top 300'!C:C,'Top 300'!A:A,"0",2,1)</f>
        <v>0</v>
      </c>
      <c r="D48" s="30" t="str">
        <f>_xlfn.XLOOKUP(Table325[[#This Row],[File Name]],'Analyse 2 Detail 02-03'!A:A,'Analyse 2 Detail 02-03'!R:R,"Not Found",0,1)</f>
        <v>Paul Hartmann B.V.</v>
      </c>
      <c r="E48" s="2" t="s">
        <v>176</v>
      </c>
      <c r="F48" s="64" t="s">
        <v>9</v>
      </c>
      <c r="G48" s="71">
        <v>0</v>
      </c>
      <c r="H48" s="25">
        <f>IF($F48="unclassified","N/A",(_xlfn.XLOOKUP($E48,Sheet2!$A:$A,Sheet2!Q:Q,"N/A",0,1)))</f>
        <v>1</v>
      </c>
      <c r="I48" s="25">
        <f>IF($F48="unclassified","N/A",(_xlfn.XLOOKUP($E48,Sheet2!$A:$A,Sheet2!R:R,"N/A",0,1)))</f>
        <v>1</v>
      </c>
      <c r="J48" s="25">
        <f>IF($F48="unclassified","N/A",(_xlfn.XLOOKUP($E48,Sheet2!$A:$A,Sheet2!S:S,"N/A",0,1)))</f>
        <v>1</v>
      </c>
      <c r="K48" s="25">
        <f>IF($F48="unclassified","N/A",(_xlfn.XLOOKUP($E48,Sheet2!$A:$A,Sheet2!T:T,"N/A",0,1)))</f>
        <v>1</v>
      </c>
      <c r="L48" s="25">
        <f>IF($F48="unclassified","N/A",(_xlfn.XLOOKUP($E48,Sheet2!$A:$A,Sheet2!U:U,"N/A",0,1)))</f>
        <v>1</v>
      </c>
      <c r="M48" s="9">
        <f>IF($F48="unclassified","N/A",(_xlfn.XLOOKUP($E48,Sheet2!$A:$A,Sheet2!V:V,"N/A",0,1)))</f>
        <v>1</v>
      </c>
      <c r="N48" s="25"/>
      <c r="O48" s="25">
        <f>IF($F48="unclassified","N/A",(_xlfn.XLOOKUP($E48,Sheet2!$A:$A,Sheet2!W:W,"N/A",0,1)))</f>
        <v>1</v>
      </c>
      <c r="P48" s="25">
        <f>IF($F48="unclassified","N/A",(_xlfn.XLOOKUP($E48,Sheet2!$A:$A,Sheet2!X:X,"N/A",0,1)))</f>
        <v>1</v>
      </c>
      <c r="Q48" s="25">
        <f>IF($F48="unclassified","N/A",(_xlfn.XLOOKUP($E48,Sheet2!$A:$A,Sheet2!Y:Y,"N/A",0,1)))</f>
        <v>1</v>
      </c>
      <c r="R48" s="25">
        <f>IF($F48="unclassified","N/A",(_xlfn.XLOOKUP($E48,Sheet2!$A:$A,Sheet2!Z:Z,"N/A",0,1)))</f>
        <v>1</v>
      </c>
      <c r="S48" s="25">
        <f>IF($F48="unclassified","N/A",(_xlfn.XLOOKUP($E48,Sheet2!$A:$A,Sheet2!AA:AA,"N/A",0,1)))</f>
        <v>1</v>
      </c>
      <c r="T48" s="25">
        <f>IF($F48="unclassified","N/A",(_xlfn.XLOOKUP($E48,Sheet2!$A:$A,Sheet2!AB:AB,"N/A",0,1)))</f>
        <v>1</v>
      </c>
      <c r="U48" s="11">
        <f>IF($F48="unclassified","N/A",(AVERAGE(Table325[[#This Row],[PO nr]:[Delivery Date]])))</f>
        <v>1</v>
      </c>
      <c r="V48" s="21"/>
      <c r="W48" s="21"/>
      <c r="X48" s="21"/>
      <c r="Y48" s="21"/>
      <c r="Z48" s="21"/>
    </row>
    <row r="49" spans="3:26" ht="15" customHeight="1" x14ac:dyDescent="0.3">
      <c r="C49" t="str">
        <f>_xlfn.XLOOKUP(Table325[[#This Row],[Customer]],'Top 300'!C:C,'Top 300'!A:A,"0",2,1)</f>
        <v>0</v>
      </c>
      <c r="D49" s="30">
        <f>_xlfn.XLOOKUP(Table325[[#This Row],[File Name]],'Analyse 2 Detail 02-03'!A:A,'Analyse 2 Detail 02-03'!R:R,"Not Found",0,1)</f>
        <v>0</v>
      </c>
      <c r="E49" s="2" t="s">
        <v>116</v>
      </c>
      <c r="F49" s="64" t="s">
        <v>11</v>
      </c>
      <c r="G49" s="71">
        <v>0</v>
      </c>
      <c r="H49" s="25" t="str">
        <f>IF($F49="unclassified","N/A",(_xlfn.XLOOKUP($E49,Sheet2!$A:$A,Sheet2!Q:Q,"N/A",0,1)))</f>
        <v>N/A</v>
      </c>
      <c r="I49" s="25" t="str">
        <f>IF($F49="unclassified","N/A",(_xlfn.XLOOKUP($E49,Sheet2!$A:$A,Sheet2!R:R,"N/A",0,1)))</f>
        <v>N/A</v>
      </c>
      <c r="J49" s="25" t="str">
        <f>IF($F49="unclassified","N/A",(_xlfn.XLOOKUP($E49,Sheet2!$A:$A,Sheet2!S:S,"N/A",0,1)))</f>
        <v>N/A</v>
      </c>
      <c r="K49" s="25" t="str">
        <f>IF($F49="unclassified","N/A",(_xlfn.XLOOKUP($E49,Sheet2!$A:$A,Sheet2!T:T,"N/A",0,1)))</f>
        <v>N/A</v>
      </c>
      <c r="L49" s="25" t="str">
        <f>IF($F49="unclassified","N/A",(_xlfn.XLOOKUP($E49,Sheet2!$A:$A,Sheet2!U:U,"N/A",0,1)))</f>
        <v>N/A</v>
      </c>
      <c r="M49" s="25" t="str">
        <f>IF($F49="unclassified","N/A",(_xlfn.XLOOKUP($E49,Sheet2!$A:$A,Sheet2!V:V,"N/A",0,1)))</f>
        <v>N/A</v>
      </c>
      <c r="N49" s="25"/>
      <c r="O49" s="25" t="str">
        <f>IF($F49="unclassified","N/A",(_xlfn.XLOOKUP($E49,Sheet2!$A:$A,Sheet2!W:W,"N/A",0,1)))</f>
        <v>N/A</v>
      </c>
      <c r="P49" s="25" t="str">
        <f>IF($F49="unclassified","N/A",(_xlfn.XLOOKUP($E49,Sheet2!$A:$A,Sheet2!X:X,"N/A",0,1)))</f>
        <v>N/A</v>
      </c>
      <c r="Q49" s="25" t="str">
        <f>IF($F49="unclassified","N/A",(_xlfn.XLOOKUP($E49,Sheet2!$A:$A,Sheet2!Y:Y,"N/A",0,1)))</f>
        <v>N/A</v>
      </c>
      <c r="R49" s="25" t="str">
        <f>IF($F49="unclassified","N/A",(_xlfn.XLOOKUP($E49,Sheet2!$A:$A,Sheet2!Z:Z,"N/A",0,1)))</f>
        <v>N/A</v>
      </c>
      <c r="S49" s="25" t="str">
        <f>IF($F49="unclassified","N/A",(_xlfn.XLOOKUP($E49,Sheet2!$A:$A,Sheet2!AA:AA,"N/A",0,1)))</f>
        <v>N/A</v>
      </c>
      <c r="T49" s="25" t="str">
        <f>IF($F49="unclassified","N/A",(_xlfn.XLOOKUP($E49,Sheet2!$A:$A,Sheet2!AB:AB,"N/A",0,1)))</f>
        <v>N/A</v>
      </c>
      <c r="U49" s="11" t="str">
        <f>IF($F49="unclassified","N/A",(AVERAGE(Table325[[#This Row],[PO nr]:[Delivery Date]])))</f>
        <v>N/A</v>
      </c>
      <c r="V49" s="21" t="s">
        <v>1818</v>
      </c>
      <c r="W49" s="21" t="s">
        <v>1814</v>
      </c>
      <c r="X49" s="21"/>
      <c r="Y49" s="21"/>
      <c r="Z49" s="21"/>
    </row>
    <row r="50" spans="3:26" ht="15" customHeight="1" x14ac:dyDescent="0.3">
      <c r="C50" t="str">
        <f>_xlfn.XLOOKUP(Table325[[#This Row],[Customer]],'Top 300'!C:C,'Top 300'!A:A,"0",2,1)</f>
        <v>0</v>
      </c>
      <c r="D50" s="30">
        <f>_xlfn.XLOOKUP(Table325[[#This Row],[File Name]],'Analyse 2 Detail 02-03'!A:A,'Analyse 2 Detail 02-03'!R:R,"Not Found",0,1)</f>
        <v>0</v>
      </c>
      <c r="E50" s="2" t="s">
        <v>116</v>
      </c>
      <c r="F50" s="64" t="s">
        <v>11</v>
      </c>
      <c r="G50" s="71">
        <v>0</v>
      </c>
      <c r="H50" s="25" t="str">
        <f>IF($F50="unclassified","N/A",(_xlfn.XLOOKUP($E50,Sheet2!$A:$A,Sheet2!Q:Q,"N/A",0,1)))</f>
        <v>N/A</v>
      </c>
      <c r="I50" s="25" t="str">
        <f>IF($F50="unclassified","N/A",(_xlfn.XLOOKUP($E50,Sheet2!$A:$A,Sheet2!R:R,"N/A",0,1)))</f>
        <v>N/A</v>
      </c>
      <c r="J50" s="25" t="str">
        <f>IF($F50="unclassified","N/A",(_xlfn.XLOOKUP($E50,Sheet2!$A:$A,Sheet2!S:S,"N/A",0,1)))</f>
        <v>N/A</v>
      </c>
      <c r="K50" s="25" t="str">
        <f>IF($F50="unclassified","N/A",(_xlfn.XLOOKUP($E50,Sheet2!$A:$A,Sheet2!T:T,"N/A",0,1)))</f>
        <v>N/A</v>
      </c>
      <c r="L50" s="25" t="str">
        <f>IF($F50="unclassified","N/A",(_xlfn.XLOOKUP($E50,Sheet2!$A:$A,Sheet2!U:U,"N/A",0,1)))</f>
        <v>N/A</v>
      </c>
      <c r="M50" s="25" t="str">
        <f>IF($F50="unclassified","N/A",(_xlfn.XLOOKUP($E50,Sheet2!$A:$A,Sheet2!V:V,"N/A",0,1)))</f>
        <v>N/A</v>
      </c>
      <c r="N50" s="25"/>
      <c r="O50" s="25" t="str">
        <f>IF($F50="unclassified","N/A",(_xlfn.XLOOKUP($E50,Sheet2!$A:$A,Sheet2!W:W,"N/A",0,1)))</f>
        <v>N/A</v>
      </c>
      <c r="P50" s="25" t="str">
        <f>IF($F50="unclassified","N/A",(_xlfn.XLOOKUP($E50,Sheet2!$A:$A,Sheet2!X:X,"N/A",0,1)))</f>
        <v>N/A</v>
      </c>
      <c r="Q50" s="25" t="str">
        <f>IF($F50="unclassified","N/A",(_xlfn.XLOOKUP($E50,Sheet2!$A:$A,Sheet2!Y:Y,"N/A",0,1)))</f>
        <v>N/A</v>
      </c>
      <c r="R50" s="25" t="str">
        <f>IF($F50="unclassified","N/A",(_xlfn.XLOOKUP($E50,Sheet2!$A:$A,Sheet2!Z:Z,"N/A",0,1)))</f>
        <v>N/A</v>
      </c>
      <c r="S50" s="25" t="str">
        <f>IF($F50="unclassified","N/A",(_xlfn.XLOOKUP($E50,Sheet2!$A:$A,Sheet2!AA:AA,"N/A",0,1)))</f>
        <v>N/A</v>
      </c>
      <c r="T50" s="25" t="str">
        <f>IF($F50="unclassified","N/A",(_xlfn.XLOOKUP($E50,Sheet2!$A:$A,Sheet2!AB:AB,"N/A",0,1)))</f>
        <v>N/A</v>
      </c>
      <c r="U50" s="11" t="str">
        <f>IF($F50="unclassified","N/A",(AVERAGE(Table325[[#This Row],[PO nr]:[Delivery Date]])))</f>
        <v>N/A</v>
      </c>
      <c r="V50" s="21" t="s">
        <v>1818</v>
      </c>
      <c r="W50" s="21" t="s">
        <v>1814</v>
      </c>
      <c r="X50" s="21"/>
      <c r="Y50" s="21"/>
      <c r="Z50" s="21"/>
    </row>
    <row r="51" spans="3:26" ht="15" customHeight="1" x14ac:dyDescent="0.3">
      <c r="C51" t="str">
        <f>_xlfn.XLOOKUP(Table325[[#This Row],[Customer]],'Top 300'!C:C,'Top 300'!A:A,"0",2,1)</f>
        <v>0</v>
      </c>
      <c r="D51" s="30">
        <f>_xlfn.XLOOKUP(Table325[[#This Row],[File Name]],'Analyse 2 Detail 02-03'!A:A,'Analyse 2 Detail 02-03'!R:R,"Not Found",0,1)</f>
        <v>0</v>
      </c>
      <c r="E51" s="2" t="s">
        <v>116</v>
      </c>
      <c r="F51" s="64" t="s">
        <v>11</v>
      </c>
      <c r="G51" s="71">
        <v>0</v>
      </c>
      <c r="H51" s="25" t="str">
        <f>IF($F51="unclassified","N/A",(_xlfn.XLOOKUP($E51,Sheet2!$A:$A,Sheet2!Q:Q,"N/A",0,1)))</f>
        <v>N/A</v>
      </c>
      <c r="I51" s="25" t="str">
        <f>IF($F51="unclassified","N/A",(_xlfn.XLOOKUP($E51,Sheet2!$A:$A,Sheet2!R:R,"N/A",0,1)))</f>
        <v>N/A</v>
      </c>
      <c r="J51" s="25" t="str">
        <f>IF($F51="unclassified","N/A",(_xlfn.XLOOKUP($E51,Sheet2!$A:$A,Sheet2!S:S,"N/A",0,1)))</f>
        <v>N/A</v>
      </c>
      <c r="K51" s="25" t="str">
        <f>IF($F51="unclassified","N/A",(_xlfn.XLOOKUP($E51,Sheet2!$A:$A,Sheet2!T:T,"N/A",0,1)))</f>
        <v>N/A</v>
      </c>
      <c r="L51" s="25" t="str">
        <f>IF($F51="unclassified","N/A",(_xlfn.XLOOKUP($E51,Sheet2!$A:$A,Sheet2!U:U,"N/A",0,1)))</f>
        <v>N/A</v>
      </c>
      <c r="M51" s="25" t="str">
        <f>IF($F51="unclassified","N/A",(_xlfn.XLOOKUP($E51,Sheet2!$A:$A,Sheet2!V:V,"N/A",0,1)))</f>
        <v>N/A</v>
      </c>
      <c r="N51" s="25"/>
      <c r="O51" s="25" t="str">
        <f>IF($F51="unclassified","N/A",(_xlfn.XLOOKUP($E51,Sheet2!$A:$A,Sheet2!W:W,"N/A",0,1)))</f>
        <v>N/A</v>
      </c>
      <c r="P51" s="25" t="str">
        <f>IF($F51="unclassified","N/A",(_xlfn.XLOOKUP($E51,Sheet2!$A:$A,Sheet2!X:X,"N/A",0,1)))</f>
        <v>N/A</v>
      </c>
      <c r="Q51" s="25" t="str">
        <f>IF($F51="unclassified","N/A",(_xlfn.XLOOKUP($E51,Sheet2!$A:$A,Sheet2!Y:Y,"N/A",0,1)))</f>
        <v>N/A</v>
      </c>
      <c r="R51" s="25" t="str">
        <f>IF($F51="unclassified","N/A",(_xlfn.XLOOKUP($E51,Sheet2!$A:$A,Sheet2!Z:Z,"N/A",0,1)))</f>
        <v>N/A</v>
      </c>
      <c r="S51" s="25" t="str">
        <f>IF($F51="unclassified","N/A",(_xlfn.XLOOKUP($E51,Sheet2!$A:$A,Sheet2!AA:AA,"N/A",0,1)))</f>
        <v>N/A</v>
      </c>
      <c r="T51" s="25" t="str">
        <f>IF($F51="unclassified","N/A",(_xlfn.XLOOKUP($E51,Sheet2!$A:$A,Sheet2!AB:AB,"N/A",0,1)))</f>
        <v>N/A</v>
      </c>
      <c r="U51" s="11" t="str">
        <f>IF($F51="unclassified","N/A",(AVERAGE(Table325[[#This Row],[PO nr]:[Delivery Date]])))</f>
        <v>N/A</v>
      </c>
      <c r="V51" s="21" t="s">
        <v>1818</v>
      </c>
      <c r="W51" s="21" t="s">
        <v>1814</v>
      </c>
      <c r="X51" s="21"/>
      <c r="Y51" s="21"/>
      <c r="Z51" s="21"/>
    </row>
    <row r="52" spans="3:26" ht="15" customHeight="1" x14ac:dyDescent="0.3">
      <c r="C52" t="str">
        <f>_xlfn.XLOOKUP(Table325[[#This Row],[Customer]],'Top 300'!C:C,'Top 300'!A:A,"0",2,1)</f>
        <v>0</v>
      </c>
      <c r="D52" s="30">
        <f>_xlfn.XLOOKUP(Table325[[#This Row],[File Name]],'Analyse 2 Detail 02-03'!A:A,'Analyse 2 Detail 02-03'!R:R,"Not Found",0,1)</f>
        <v>0</v>
      </c>
      <c r="E52" s="2" t="s">
        <v>119</v>
      </c>
      <c r="F52" s="64" t="s">
        <v>11</v>
      </c>
      <c r="G52" s="71">
        <v>0</v>
      </c>
      <c r="H52" s="25" t="str">
        <f>IF($F52="unclassified","N/A",(_xlfn.XLOOKUP($E52,Sheet2!$A:$A,Sheet2!Q:Q,"N/A",0,1)))</f>
        <v>N/A</v>
      </c>
      <c r="I52" s="25" t="str">
        <f>IF($F52="unclassified","N/A",(_xlfn.XLOOKUP($E52,Sheet2!$A:$A,Sheet2!R:R,"N/A",0,1)))</f>
        <v>N/A</v>
      </c>
      <c r="J52" s="25" t="str">
        <f>IF($F52="unclassified","N/A",(_xlfn.XLOOKUP($E52,Sheet2!$A:$A,Sheet2!S:S,"N/A",0,1)))</f>
        <v>N/A</v>
      </c>
      <c r="K52" s="25" t="str">
        <f>IF($F52="unclassified","N/A",(_xlfn.XLOOKUP($E52,Sheet2!$A:$A,Sheet2!T:T,"N/A",0,1)))</f>
        <v>N/A</v>
      </c>
      <c r="L52" s="25" t="str">
        <f>IF($F52="unclassified","N/A",(_xlfn.XLOOKUP($E52,Sheet2!$A:$A,Sheet2!U:U,"N/A",0,1)))</f>
        <v>N/A</v>
      </c>
      <c r="M52" s="25" t="str">
        <f>IF($F52="unclassified","N/A",(_xlfn.XLOOKUP($E52,Sheet2!$A:$A,Sheet2!V:V,"N/A",0,1)))</f>
        <v>N/A</v>
      </c>
      <c r="N52" s="25"/>
      <c r="O52" s="25" t="str">
        <f>IF($F52="unclassified","N/A",(_xlfn.XLOOKUP($E52,Sheet2!$A:$A,Sheet2!W:W,"N/A",0,1)))</f>
        <v>N/A</v>
      </c>
      <c r="P52" s="25" t="str">
        <f>IF($F52="unclassified","N/A",(_xlfn.XLOOKUP($E52,Sheet2!$A:$A,Sheet2!X:X,"N/A",0,1)))</f>
        <v>N/A</v>
      </c>
      <c r="Q52" s="25" t="str">
        <f>IF($F52="unclassified","N/A",(_xlfn.XLOOKUP($E52,Sheet2!$A:$A,Sheet2!Y:Y,"N/A",0,1)))</f>
        <v>N/A</v>
      </c>
      <c r="R52" s="25" t="str">
        <f>IF($F52="unclassified","N/A",(_xlfn.XLOOKUP($E52,Sheet2!$A:$A,Sheet2!Z:Z,"N/A",0,1)))</f>
        <v>N/A</v>
      </c>
      <c r="S52" s="25" t="str">
        <f>IF($F52="unclassified","N/A",(_xlfn.XLOOKUP($E52,Sheet2!$A:$A,Sheet2!AA:AA,"N/A",0,1)))</f>
        <v>N/A</v>
      </c>
      <c r="T52" s="25" t="str">
        <f>IF($F52="unclassified","N/A",(_xlfn.XLOOKUP($E52,Sheet2!$A:$A,Sheet2!AB:AB,"N/A",0,1)))</f>
        <v>N/A</v>
      </c>
      <c r="U52" s="11" t="str">
        <f>IF($F52="unclassified","N/A",(AVERAGE(Table325[[#This Row],[PO nr]:[Delivery Date]])))</f>
        <v>N/A</v>
      </c>
      <c r="V52" s="21" t="s">
        <v>1819</v>
      </c>
      <c r="W52" s="21" t="s">
        <v>1814</v>
      </c>
      <c r="X52" s="21"/>
      <c r="Y52" s="21"/>
      <c r="Z52" s="21"/>
    </row>
    <row r="53" spans="3:26" ht="15" customHeight="1" x14ac:dyDescent="0.3">
      <c r="C53" t="str">
        <f>_xlfn.XLOOKUP(Table325[[#This Row],[Customer]],'Top 300'!C:C,'Top 300'!A:A,"0",2,1)</f>
        <v>0</v>
      </c>
      <c r="D53" s="30">
        <f>_xlfn.XLOOKUP(Table325[[#This Row],[File Name]],'Analyse 2 Detail 02-03'!A:A,'Analyse 2 Detail 02-03'!R:R,"Not Found",0,1)</f>
        <v>0</v>
      </c>
      <c r="E53" s="2" t="s">
        <v>119</v>
      </c>
      <c r="F53" s="64" t="s">
        <v>11</v>
      </c>
      <c r="G53" s="71">
        <v>0</v>
      </c>
      <c r="H53" s="25" t="str">
        <f>IF($F53="unclassified","N/A",(_xlfn.XLOOKUP($E53,Sheet2!$A:$A,Sheet2!Q:Q,"N/A",0,1)))</f>
        <v>N/A</v>
      </c>
      <c r="I53" s="25" t="str">
        <f>IF($F53="unclassified","N/A",(_xlfn.XLOOKUP($E53,Sheet2!$A:$A,Sheet2!R:R,"N/A",0,1)))</f>
        <v>N/A</v>
      </c>
      <c r="J53" s="25" t="str">
        <f>IF($F53="unclassified","N/A",(_xlfn.XLOOKUP($E53,Sheet2!$A:$A,Sheet2!S:S,"N/A",0,1)))</f>
        <v>N/A</v>
      </c>
      <c r="K53" s="25" t="str">
        <f>IF($F53="unclassified","N/A",(_xlfn.XLOOKUP($E53,Sheet2!$A:$A,Sheet2!T:T,"N/A",0,1)))</f>
        <v>N/A</v>
      </c>
      <c r="L53" s="25" t="str">
        <f>IF($F53="unclassified","N/A",(_xlfn.XLOOKUP($E53,Sheet2!$A:$A,Sheet2!U:U,"N/A",0,1)))</f>
        <v>N/A</v>
      </c>
      <c r="M53" s="25" t="str">
        <f>IF($F53="unclassified","N/A",(_xlfn.XLOOKUP($E53,Sheet2!$A:$A,Sheet2!V:V,"N/A",0,1)))</f>
        <v>N/A</v>
      </c>
      <c r="N53" s="25"/>
      <c r="O53" s="25" t="str">
        <f>IF($F53="unclassified","N/A",(_xlfn.XLOOKUP($E53,Sheet2!$A:$A,Sheet2!W:W,"N/A",0,1)))</f>
        <v>N/A</v>
      </c>
      <c r="P53" s="25" t="str">
        <f>IF($F53="unclassified","N/A",(_xlfn.XLOOKUP($E53,Sheet2!$A:$A,Sheet2!X:X,"N/A",0,1)))</f>
        <v>N/A</v>
      </c>
      <c r="Q53" s="25" t="str">
        <f>IF($F53="unclassified","N/A",(_xlfn.XLOOKUP($E53,Sheet2!$A:$A,Sheet2!Y:Y,"N/A",0,1)))</f>
        <v>N/A</v>
      </c>
      <c r="R53" s="25" t="str">
        <f>IF($F53="unclassified","N/A",(_xlfn.XLOOKUP($E53,Sheet2!$A:$A,Sheet2!Z:Z,"N/A",0,1)))</f>
        <v>N/A</v>
      </c>
      <c r="S53" s="25" t="str">
        <f>IF($F53="unclassified","N/A",(_xlfn.XLOOKUP($E53,Sheet2!$A:$A,Sheet2!AA:AA,"N/A",0,1)))</f>
        <v>N/A</v>
      </c>
      <c r="T53" s="25" t="str">
        <f>IF($F53="unclassified","N/A",(_xlfn.XLOOKUP($E53,Sheet2!$A:$A,Sheet2!AB:AB,"N/A",0,1)))</f>
        <v>N/A</v>
      </c>
      <c r="U53" s="11" t="str">
        <f>IF($F53="unclassified","N/A",(AVERAGE(Table325[[#This Row],[PO nr]:[Delivery Date]])))</f>
        <v>N/A</v>
      </c>
      <c r="V53" s="21" t="s">
        <v>1819</v>
      </c>
      <c r="W53" s="21" t="s">
        <v>1814</v>
      </c>
      <c r="X53" s="21"/>
      <c r="Y53" s="21"/>
      <c r="Z53" s="21"/>
    </row>
    <row r="54" spans="3:26" ht="15" customHeight="1" x14ac:dyDescent="0.3">
      <c r="C54" t="str">
        <f>_xlfn.XLOOKUP(Table325[[#This Row],[Customer]],'Top 300'!C:C,'Top 300'!A:A,"0",2,1)</f>
        <v>0</v>
      </c>
      <c r="D54" s="30">
        <f>_xlfn.XLOOKUP(Table325[[#This Row],[File Name]],'Analyse 2 Detail 02-03'!A:A,'Analyse 2 Detail 02-03'!R:R,"Not Found",0,1)</f>
        <v>0</v>
      </c>
      <c r="E54" s="2" t="s">
        <v>184</v>
      </c>
      <c r="F54" s="64" t="s">
        <v>11</v>
      </c>
      <c r="G54" s="71">
        <v>0</v>
      </c>
      <c r="H54" s="25" t="str">
        <f>IF($F54="unclassified","N/A",(_xlfn.XLOOKUP($E54,Sheet2!$A:$A,Sheet2!Q:Q,"N/A",0,1)))</f>
        <v>N/A</v>
      </c>
      <c r="I54" s="25" t="str">
        <f>IF($F54="unclassified","N/A",(_xlfn.XLOOKUP($E54,Sheet2!$A:$A,Sheet2!R:R,"N/A",0,1)))</f>
        <v>N/A</v>
      </c>
      <c r="J54" s="25" t="str">
        <f>IF($F54="unclassified","N/A",(_xlfn.XLOOKUP($E54,Sheet2!$A:$A,Sheet2!S:S,"N/A",0,1)))</f>
        <v>N/A</v>
      </c>
      <c r="K54" s="25" t="str">
        <f>IF($F54="unclassified","N/A",(_xlfn.XLOOKUP($E54,Sheet2!$A:$A,Sheet2!T:T,"N/A",0,1)))</f>
        <v>N/A</v>
      </c>
      <c r="L54" s="25" t="str">
        <f>IF($F54="unclassified","N/A",(_xlfn.XLOOKUP($E54,Sheet2!$A:$A,Sheet2!U:U,"N/A",0,1)))</f>
        <v>N/A</v>
      </c>
      <c r="M54" s="9" t="str">
        <f>IF($F54="unclassified","N/A",(_xlfn.XLOOKUP($E54,Sheet2!$A:$A,Sheet2!V:V,"N/A",0,1)))</f>
        <v>N/A</v>
      </c>
      <c r="N54" s="25"/>
      <c r="O54" s="25" t="str">
        <f>IF($F54="unclassified","N/A",(_xlfn.XLOOKUP($E54,Sheet2!$A:$A,Sheet2!W:W,"N/A",0,1)))</f>
        <v>N/A</v>
      </c>
      <c r="P54" s="25" t="str">
        <f>IF($F54="unclassified","N/A",(_xlfn.XLOOKUP($E54,Sheet2!$A:$A,Sheet2!X:X,"N/A",0,1)))</f>
        <v>N/A</v>
      </c>
      <c r="Q54" s="25" t="str">
        <f>IF($F54="unclassified","N/A",(_xlfn.XLOOKUP($E54,Sheet2!$A:$A,Sheet2!Y:Y,"N/A",0,1)))</f>
        <v>N/A</v>
      </c>
      <c r="R54" s="25" t="str">
        <f>IF($F54="unclassified","N/A",(_xlfn.XLOOKUP($E54,Sheet2!$A:$A,Sheet2!Z:Z,"N/A",0,1)))</f>
        <v>N/A</v>
      </c>
      <c r="S54" s="25" t="str">
        <f>IF($F54="unclassified","N/A",(_xlfn.XLOOKUP($E54,Sheet2!$A:$A,Sheet2!AA:AA,"N/A",0,1)))</f>
        <v>N/A</v>
      </c>
      <c r="T54" s="25" t="str">
        <f>IF($F54="unclassified","N/A",(_xlfn.XLOOKUP($E54,Sheet2!$A:$A,Sheet2!AB:AB,"N/A",0,1)))</f>
        <v>N/A</v>
      </c>
      <c r="U54" s="11" t="str">
        <f>IF($F54="unclassified","N/A",(AVERAGE(Table325[[#This Row],[PO nr]:[Delivery Date]])))</f>
        <v>N/A</v>
      </c>
      <c r="V54" s="21" t="s">
        <v>1815</v>
      </c>
      <c r="W54" s="21" t="s">
        <v>1814</v>
      </c>
      <c r="X54" s="21"/>
      <c r="Y54" s="21"/>
      <c r="Z54" s="21"/>
    </row>
    <row r="55" spans="3:26" ht="15" customHeight="1" x14ac:dyDescent="0.3">
      <c r="C55" t="str">
        <f>_xlfn.XLOOKUP(Table325[[#This Row],[Customer]],'Top 300'!C:C,'Top 300'!A:A,"0",2,1)</f>
        <v>0</v>
      </c>
      <c r="D55" s="30" t="str">
        <f>_xlfn.XLOOKUP(Table325[[#This Row],[File Name]],'Analyse 2 Detail 02-03'!A:A,'Analyse 2 Detail 02-03'!R:R,"Not Found",0,1)</f>
        <v>Lyreco Belgium SA/NV</v>
      </c>
      <c r="E55" s="2" t="s">
        <v>147</v>
      </c>
      <c r="F55" s="64" t="s">
        <v>9</v>
      </c>
      <c r="G55" s="71">
        <v>2</v>
      </c>
      <c r="H55" s="25">
        <f>IF($F55="unclassified","N/A",(_xlfn.XLOOKUP($E55,Sheet2!$A:$A,Sheet2!Q:Q,"N/A",0,1)))</f>
        <v>1</v>
      </c>
      <c r="I55" s="25">
        <f>IF($F55="unclassified","N/A",(_xlfn.XLOOKUP($E55,Sheet2!$A:$A,Sheet2!R:R,"N/A",0,1)))</f>
        <v>1</v>
      </c>
      <c r="J55" s="25">
        <f>IF($F55="unclassified","N/A",(_xlfn.XLOOKUP($E55,Sheet2!$A:$A,Sheet2!S:S,"N/A",0,1)))</f>
        <v>1</v>
      </c>
      <c r="K55" s="25">
        <f>IF($F55="unclassified","N/A",(_xlfn.XLOOKUP($E55,Sheet2!$A:$A,Sheet2!T:T,"N/A",0,1)))</f>
        <v>1</v>
      </c>
      <c r="L55" s="25">
        <f>IF($F55="unclassified","N/A",(_xlfn.XLOOKUP($E55,Sheet2!$A:$A,Sheet2!U:U,"N/A",0,1)))</f>
        <v>1</v>
      </c>
      <c r="M55" s="9">
        <f>IF($F55="unclassified","N/A",(_xlfn.XLOOKUP($E55,Sheet2!$A:$A,Sheet2!V:V,"N/A",0,1)))</f>
        <v>1</v>
      </c>
      <c r="N55" s="25"/>
      <c r="O55" s="25">
        <f>IF($F55="unclassified","N/A",(_xlfn.XLOOKUP($E55,Sheet2!$A:$A,Sheet2!W:W,"N/A",0,1)))</f>
        <v>1</v>
      </c>
      <c r="P55" s="25">
        <f>IF($F55="unclassified","N/A",(_xlfn.XLOOKUP($E55,Sheet2!$A:$A,Sheet2!X:X,"N/A",0,1)))</f>
        <v>1</v>
      </c>
      <c r="Q55" s="25">
        <f>IF($F55="unclassified","N/A",(_xlfn.XLOOKUP($E55,Sheet2!$A:$A,Sheet2!Y:Y,"N/A",0,1)))</f>
        <v>1</v>
      </c>
      <c r="R55" s="25">
        <f>IF($F55="unclassified","N/A",(_xlfn.XLOOKUP($E55,Sheet2!$A:$A,Sheet2!Z:Z,"N/A",0,1)))</f>
        <v>0</v>
      </c>
      <c r="S55" s="25">
        <f>IF($F55="unclassified","N/A",(_xlfn.XLOOKUP($E55,Sheet2!$A:$A,Sheet2!AA:AA,"N/A",0,1)))</f>
        <v>1</v>
      </c>
      <c r="T55" s="25">
        <f>IF($F55="unclassified","N/A",(_xlfn.XLOOKUP($E55,Sheet2!$A:$A,Sheet2!AB:AB,"N/A",0,1)))</f>
        <v>0</v>
      </c>
      <c r="U55" s="11">
        <f>IF($F55="unclassified","N/A",(AVERAGE(Table325[[#This Row],[PO nr]:[Delivery Date]])))</f>
        <v>0.83333333333333337</v>
      </c>
      <c r="V55" s="21" t="s">
        <v>210</v>
      </c>
      <c r="W55" s="21"/>
      <c r="X55" s="21"/>
      <c r="Y55" s="21"/>
      <c r="Z55" s="21"/>
    </row>
    <row r="56" spans="3:26" ht="15" customHeight="1" x14ac:dyDescent="0.3">
      <c r="C56" t="str">
        <f>_xlfn.XLOOKUP(Table325[[#This Row],[Customer]],'Top 300'!C:C,'Top 300'!A:A,"0",2,1)</f>
        <v>0</v>
      </c>
      <c r="D56" s="30" t="str">
        <f>_xlfn.XLOOKUP(Table325[[#This Row],[File Name]],'Analyse 2 Detail 02-03'!A:A,'Analyse 2 Detail 02-03'!R:R,"Not Found",0,1)</f>
        <v>Lyreco Belgium SA/NV</v>
      </c>
      <c r="E56" s="2" t="s">
        <v>127</v>
      </c>
      <c r="F56" s="64" t="s">
        <v>9</v>
      </c>
      <c r="G56" s="71">
        <v>2</v>
      </c>
      <c r="H56" s="25">
        <f>IF($F56="unclassified","N/A",(_xlfn.XLOOKUP($E56,Sheet2!$A:$A,Sheet2!Q:Q,"N/A",0,1)))</f>
        <v>1</v>
      </c>
      <c r="I56" s="25">
        <f>IF($F56="unclassified","N/A",(_xlfn.XLOOKUP($E56,Sheet2!$A:$A,Sheet2!R:R,"N/A",0,1)))</f>
        <v>1</v>
      </c>
      <c r="J56" s="25">
        <f>IF($F56="unclassified","N/A",(_xlfn.XLOOKUP($E56,Sheet2!$A:$A,Sheet2!S:S,"N/A",0,1)))</f>
        <v>1</v>
      </c>
      <c r="K56" s="25">
        <f>IF($F56="unclassified","N/A",(_xlfn.XLOOKUP($E56,Sheet2!$A:$A,Sheet2!T:T,"N/A",0,1)))</f>
        <v>1</v>
      </c>
      <c r="L56" s="25">
        <f>IF($F56="unclassified","N/A",(_xlfn.XLOOKUP($E56,Sheet2!$A:$A,Sheet2!U:U,"N/A",0,1)))</f>
        <v>1</v>
      </c>
      <c r="M56" s="9">
        <f>IF($F56="unclassified","N/A",(_xlfn.XLOOKUP($E56,Sheet2!$A:$A,Sheet2!V:V,"N/A",0,1)))</f>
        <v>1</v>
      </c>
      <c r="N56" s="25"/>
      <c r="O56" s="25">
        <f>IF($F56="unclassified","N/A",(_xlfn.XLOOKUP($E56,Sheet2!$A:$A,Sheet2!W:W,"N/A",0,1)))</f>
        <v>1</v>
      </c>
      <c r="P56" s="25">
        <f>IF($F56="unclassified","N/A",(_xlfn.XLOOKUP($E56,Sheet2!$A:$A,Sheet2!X:X,"N/A",0,1)))</f>
        <v>1</v>
      </c>
      <c r="Q56" s="25">
        <f>IF($F56="unclassified","N/A",(_xlfn.XLOOKUP($E56,Sheet2!$A:$A,Sheet2!Y:Y,"N/A",0,1)))</f>
        <v>1</v>
      </c>
      <c r="R56" s="25">
        <f>IF($F56="unclassified","N/A",(_xlfn.XLOOKUP($E56,Sheet2!$A:$A,Sheet2!Z:Z,"N/A",0,1)))</f>
        <v>0</v>
      </c>
      <c r="S56" s="25">
        <f>IF($F56="unclassified","N/A",(_xlfn.XLOOKUP($E56,Sheet2!$A:$A,Sheet2!AA:AA,"N/A",0,1)))</f>
        <v>1</v>
      </c>
      <c r="T56" s="25">
        <f>IF($F56="unclassified","N/A",(_xlfn.XLOOKUP($E56,Sheet2!$A:$A,Sheet2!AB:AB,"N/A",0,1)))</f>
        <v>0</v>
      </c>
      <c r="U56" s="11">
        <f>IF($F56="unclassified","N/A",(AVERAGE(Table325[[#This Row],[PO nr]:[Delivery Date]])))</f>
        <v>0.83333333333333337</v>
      </c>
      <c r="V56" s="21" t="s">
        <v>210</v>
      </c>
      <c r="W56" s="21"/>
      <c r="X56" s="21"/>
      <c r="Y56" s="21"/>
      <c r="Z56" s="21"/>
    </row>
    <row r="57" spans="3:26" ht="15" customHeight="1" x14ac:dyDescent="0.3">
      <c r="C57" t="str">
        <f>_xlfn.XLOOKUP(Table325[[#This Row],[Customer]],'Top 300'!C:C,'Top 300'!A:A,"0",2,1)</f>
        <v>0</v>
      </c>
      <c r="D57" s="30" t="str">
        <f>_xlfn.XLOOKUP(Table325[[#This Row],[File Name]],'Analyse 2 Detail 02-03'!A:A,'Analyse 2 Detail 02-03'!R:R,"Not Found",0,1)</f>
        <v>Lyreco Belgium SA/NV</v>
      </c>
      <c r="E57" s="2" t="s">
        <v>107</v>
      </c>
      <c r="F57" s="64" t="s">
        <v>9</v>
      </c>
      <c r="G57" s="71">
        <v>2</v>
      </c>
      <c r="H57" s="25">
        <f>IF($F57="unclassified","N/A",(_xlfn.XLOOKUP($E57,Sheet2!$A:$A,Sheet2!Q:Q,"N/A",0,1)))</f>
        <v>1</v>
      </c>
      <c r="I57" s="25">
        <f>IF($F57="unclassified","N/A",(_xlfn.XLOOKUP($E57,Sheet2!$A:$A,Sheet2!R:R,"N/A",0,1)))</f>
        <v>1</v>
      </c>
      <c r="J57" s="25">
        <f>IF($F57="unclassified","N/A",(_xlfn.XLOOKUP($E57,Sheet2!$A:$A,Sheet2!S:S,"N/A",0,1)))</f>
        <v>1</v>
      </c>
      <c r="K57" s="25">
        <f>IF($F57="unclassified","N/A",(_xlfn.XLOOKUP($E57,Sheet2!$A:$A,Sheet2!T:T,"N/A",0,1)))</f>
        <v>1</v>
      </c>
      <c r="L57" s="25">
        <f>IF($F57="unclassified","N/A",(_xlfn.XLOOKUP($E57,Sheet2!$A:$A,Sheet2!U:U,"N/A",0,1)))</f>
        <v>1</v>
      </c>
      <c r="M57" s="9">
        <f>IF($F57="unclassified","N/A",(_xlfn.XLOOKUP($E57,Sheet2!$A:$A,Sheet2!V:V,"N/A",0,1)))</f>
        <v>1</v>
      </c>
      <c r="N57" s="25"/>
      <c r="O57" s="25">
        <f>IF($F57="unclassified","N/A",(_xlfn.XLOOKUP($E57,Sheet2!$A:$A,Sheet2!W:W,"N/A",0,1)))</f>
        <v>1</v>
      </c>
      <c r="P57" s="25">
        <f>IF($F57="unclassified","N/A",(_xlfn.XLOOKUP($E57,Sheet2!$A:$A,Sheet2!X:X,"N/A",0,1)))</f>
        <v>1</v>
      </c>
      <c r="Q57" s="25">
        <f>IF($F57="unclassified","N/A",(_xlfn.XLOOKUP($E57,Sheet2!$A:$A,Sheet2!Y:Y,"N/A",0,1)))</f>
        <v>1</v>
      </c>
      <c r="R57" s="25">
        <f>IF($F57="unclassified","N/A",(_xlfn.XLOOKUP($E57,Sheet2!$A:$A,Sheet2!Z:Z,"N/A",0,1)))</f>
        <v>0</v>
      </c>
      <c r="S57" s="25">
        <f>IF($F57="unclassified","N/A",(_xlfn.XLOOKUP($E57,Sheet2!$A:$A,Sheet2!AA:AA,"N/A",0,1)))</f>
        <v>1</v>
      </c>
      <c r="T57" s="25">
        <f>IF($F57="unclassified","N/A",(_xlfn.XLOOKUP($E57,Sheet2!$A:$A,Sheet2!AB:AB,"N/A",0,1)))</f>
        <v>0</v>
      </c>
      <c r="U57" s="11">
        <f>IF($F57="unclassified","N/A",(AVERAGE(Table325[[#This Row],[PO nr]:[Delivery Date]])))</f>
        <v>0.83333333333333337</v>
      </c>
      <c r="V57" s="21" t="s">
        <v>210</v>
      </c>
      <c r="W57" s="21"/>
      <c r="X57" s="21"/>
      <c r="Y57" s="21"/>
      <c r="Z57" s="21"/>
    </row>
    <row r="58" spans="3:26" ht="15" customHeight="1" x14ac:dyDescent="0.3">
      <c r="C58" t="str">
        <f>_xlfn.XLOOKUP(Table325[[#This Row],[Customer]],'Top 300'!C:C,'Top 300'!A:A,"0",2,1)</f>
        <v>0</v>
      </c>
      <c r="D58" s="30" t="str">
        <f>_xlfn.XLOOKUP(Table325[[#This Row],[File Name]],'Analyse 2 Detail 02-03'!A:A,'Analyse 2 Detail 02-03'!R:R,"Not Found",0,1)</f>
        <v>Mediq Nederland B.V.</v>
      </c>
      <c r="E58" s="2" t="s">
        <v>131</v>
      </c>
      <c r="F58" s="64" t="s">
        <v>9</v>
      </c>
      <c r="G58" s="71">
        <v>0</v>
      </c>
      <c r="H58" s="25">
        <f>IF($F58="unclassified","N/A",(_xlfn.XLOOKUP($E58,Sheet2!$A:$A,Sheet2!Q:Q,"N/A",0,1)))</f>
        <v>1</v>
      </c>
      <c r="I58" s="25">
        <f>IF($F58="unclassified","N/A",(_xlfn.XLOOKUP($E58,Sheet2!$A:$A,Sheet2!R:R,"N/A",0,1)))</f>
        <v>1</v>
      </c>
      <c r="J58" s="25">
        <f>IF($F58="unclassified","N/A",(_xlfn.XLOOKUP($E58,Sheet2!$A:$A,Sheet2!S:S,"N/A",0,1)))</f>
        <v>1</v>
      </c>
      <c r="K58" s="25">
        <f>IF($F58="unclassified","N/A",(_xlfn.XLOOKUP($E58,Sheet2!$A:$A,Sheet2!T:T,"N/A",0,1)))</f>
        <v>1</v>
      </c>
      <c r="L58" s="25">
        <f>IF($F58="unclassified","N/A",(_xlfn.XLOOKUP($E58,Sheet2!$A:$A,Sheet2!U:U,"N/A",0,1)))</f>
        <v>1</v>
      </c>
      <c r="M58" s="9">
        <f>IF($F58="unclassified","N/A",(_xlfn.XLOOKUP($E58,Sheet2!$A:$A,Sheet2!V:V,"N/A",0,1)))</f>
        <v>1</v>
      </c>
      <c r="N58" s="25"/>
      <c r="O58" s="25">
        <f>IF($F58="unclassified","N/A",(_xlfn.XLOOKUP($E58,Sheet2!$A:$A,Sheet2!W:W,"N/A",0,1)))</f>
        <v>1</v>
      </c>
      <c r="P58" s="25">
        <f>IF($F58="unclassified","N/A",(_xlfn.XLOOKUP($E58,Sheet2!$A:$A,Sheet2!X:X,"N/A",0,1)))</f>
        <v>1</v>
      </c>
      <c r="Q58" s="25">
        <f>IF($F58="unclassified","N/A",(_xlfn.XLOOKUP($E58,Sheet2!$A:$A,Sheet2!Y:Y,"N/A",0,1)))</f>
        <v>1</v>
      </c>
      <c r="R58" s="25">
        <f>IF($F58="unclassified","N/A",(_xlfn.XLOOKUP($E58,Sheet2!$A:$A,Sheet2!Z:Z,"N/A",0,1)))</f>
        <v>1</v>
      </c>
      <c r="S58" s="25">
        <f>IF($F58="unclassified","N/A",(_xlfn.XLOOKUP($E58,Sheet2!$A:$A,Sheet2!AA:AA,"N/A",0,1)))</f>
        <v>1</v>
      </c>
      <c r="T58" s="25">
        <f>IF($F58="unclassified","N/A",(_xlfn.XLOOKUP($E58,Sheet2!$A:$A,Sheet2!AB:AB,"N/A",0,1)))</f>
        <v>1</v>
      </c>
      <c r="U58" s="11">
        <f>IF($F58="unclassified","N/A",(AVERAGE(Table325[[#This Row],[PO nr]:[Delivery Date]])))</f>
        <v>1</v>
      </c>
      <c r="V58" s="21"/>
      <c r="W58" s="21"/>
      <c r="X58" s="21"/>
      <c r="Y58" s="21"/>
      <c r="Z58" s="21"/>
    </row>
    <row r="59" spans="3:26" ht="15" customHeight="1" x14ac:dyDescent="0.3">
      <c r="C59" t="str">
        <f>_xlfn.XLOOKUP(Table325[[#This Row],[Customer]],'Top 300'!C:C,'Top 300'!A:A,"0",2,1)</f>
        <v>0</v>
      </c>
      <c r="D59" s="30" t="str">
        <f>_xlfn.XLOOKUP(Table325[[#This Row],[File Name]],'Analyse 2 Detail 02-03'!A:A,'Analyse 2 Detail 02-03'!R:R,"Not Found",0,1)</f>
        <v>Mediq Nederland B.V.</v>
      </c>
      <c r="E59" s="2" t="s">
        <v>158</v>
      </c>
      <c r="F59" s="64" t="s">
        <v>9</v>
      </c>
      <c r="G59" s="71">
        <v>0</v>
      </c>
      <c r="H59" s="25">
        <f>IF($F59="unclassified","N/A",(_xlfn.XLOOKUP($E59,Sheet2!$A:$A,Sheet2!Q:Q,"N/A",0,1)))</f>
        <v>1</v>
      </c>
      <c r="I59" s="25">
        <f>IF($F59="unclassified","N/A",(_xlfn.XLOOKUP($E59,Sheet2!$A:$A,Sheet2!R:R,"N/A",0,1)))</f>
        <v>1</v>
      </c>
      <c r="J59" s="25">
        <f>IF($F59="unclassified","N/A",(_xlfn.XLOOKUP($E59,Sheet2!$A:$A,Sheet2!S:S,"N/A",0,1)))</f>
        <v>1</v>
      </c>
      <c r="K59" s="25">
        <f>IF($F59="unclassified","N/A",(_xlfn.XLOOKUP($E59,Sheet2!$A:$A,Sheet2!T:T,"N/A",0,1)))</f>
        <v>1</v>
      </c>
      <c r="L59" s="25">
        <f>IF($F59="unclassified","N/A",(_xlfn.XLOOKUP($E59,Sheet2!$A:$A,Sheet2!U:U,"N/A",0,1)))</f>
        <v>1</v>
      </c>
      <c r="M59" s="9">
        <f>IF($F59="unclassified","N/A",(_xlfn.XLOOKUP($E59,Sheet2!$A:$A,Sheet2!V:V,"N/A",0,1)))</f>
        <v>1</v>
      </c>
      <c r="N59" s="25"/>
      <c r="O59" s="25">
        <f>IF($F59="unclassified","N/A",(_xlfn.XLOOKUP($E59,Sheet2!$A:$A,Sheet2!W:W,"N/A",0,1)))</f>
        <v>1</v>
      </c>
      <c r="P59" s="25">
        <f>IF($F59="unclassified","N/A",(_xlfn.XLOOKUP($E59,Sheet2!$A:$A,Sheet2!X:X,"N/A",0,1)))</f>
        <v>1</v>
      </c>
      <c r="Q59" s="25">
        <f>IF($F59="unclassified","N/A",(_xlfn.XLOOKUP($E59,Sheet2!$A:$A,Sheet2!Y:Y,"N/A",0,1)))</f>
        <v>1</v>
      </c>
      <c r="R59" s="25">
        <f>IF($F59="unclassified","N/A",(_xlfn.XLOOKUP($E59,Sheet2!$A:$A,Sheet2!Z:Z,"N/A",0,1)))</f>
        <v>1</v>
      </c>
      <c r="S59" s="25">
        <f>IF($F59="unclassified","N/A",(_xlfn.XLOOKUP($E59,Sheet2!$A:$A,Sheet2!AA:AA,"N/A",0,1)))</f>
        <v>1</v>
      </c>
      <c r="T59" s="25">
        <f>IF($F59="unclassified","N/A",(_xlfn.XLOOKUP($E59,Sheet2!$A:$A,Sheet2!AB:AB,"N/A",0,1)))</f>
        <v>1</v>
      </c>
      <c r="U59" s="11">
        <f>IF($F59="unclassified","N/A",(AVERAGE(Table325[[#This Row],[PO nr]:[Delivery Date]])))</f>
        <v>1</v>
      </c>
      <c r="V59" s="21"/>
      <c r="W59" s="21"/>
      <c r="X59" s="21"/>
      <c r="Y59" s="21"/>
      <c r="Z59" s="21"/>
    </row>
    <row r="60" spans="3:26" ht="15" customHeight="1" x14ac:dyDescent="0.3">
      <c r="C60" t="str">
        <f>_xlfn.XLOOKUP(Table325[[#This Row],[Customer]],'Top 300'!C:C,'Top 300'!A:A,"0",2,1)</f>
        <v>0</v>
      </c>
      <c r="D60" s="30">
        <f>_xlfn.XLOOKUP(Table325[[#This Row],[File Name]],'Analyse 2 Detail 02-03'!A:A,'Analyse 2 Detail 02-03'!R:R,"Not Found",0,1)</f>
        <v>0</v>
      </c>
      <c r="E60" s="2" t="s">
        <v>162</v>
      </c>
      <c r="F60" s="64" t="s">
        <v>11</v>
      </c>
      <c r="G60" s="71">
        <v>0</v>
      </c>
      <c r="H60" s="25" t="str">
        <f>IF($F60="unclassified","N/A",(_xlfn.XLOOKUP($E60,Sheet2!$A:$A,Sheet2!Q:Q,"N/A",0,1)))</f>
        <v>N/A</v>
      </c>
      <c r="I60" s="25" t="str">
        <f>IF($F60="unclassified","N/A",(_xlfn.XLOOKUP($E60,Sheet2!$A:$A,Sheet2!R:R,"N/A",0,1)))</f>
        <v>N/A</v>
      </c>
      <c r="J60" s="25" t="str">
        <f>IF($F60="unclassified","N/A",(_xlfn.XLOOKUP($E60,Sheet2!$A:$A,Sheet2!S:S,"N/A",0,1)))</f>
        <v>N/A</v>
      </c>
      <c r="K60" s="25" t="str">
        <f>IF($F60="unclassified","N/A",(_xlfn.XLOOKUP($E60,Sheet2!$A:$A,Sheet2!T:T,"N/A",0,1)))</f>
        <v>N/A</v>
      </c>
      <c r="L60" s="25" t="str">
        <f>IF($F60="unclassified","N/A",(_xlfn.XLOOKUP($E60,Sheet2!$A:$A,Sheet2!U:U,"N/A",0,1)))</f>
        <v>N/A</v>
      </c>
      <c r="M60" s="9" t="str">
        <f>IF($F60="unclassified","N/A",(_xlfn.XLOOKUP($E60,Sheet2!$A:$A,Sheet2!V:V,"N/A",0,1)))</f>
        <v>N/A</v>
      </c>
      <c r="N60" s="25"/>
      <c r="O60" s="25" t="str">
        <f>IF($F60="unclassified","N/A",(_xlfn.XLOOKUP($E60,Sheet2!$A:$A,Sheet2!W:W,"N/A",0,1)))</f>
        <v>N/A</v>
      </c>
      <c r="P60" s="25" t="str">
        <f>IF($F60="unclassified","N/A",(_xlfn.XLOOKUP($E60,Sheet2!$A:$A,Sheet2!X:X,"N/A",0,1)))</f>
        <v>N/A</v>
      </c>
      <c r="Q60" s="25" t="str">
        <f>IF($F60="unclassified","N/A",(_xlfn.XLOOKUP($E60,Sheet2!$A:$A,Sheet2!Y:Y,"N/A",0,1)))</f>
        <v>N/A</v>
      </c>
      <c r="R60" s="25" t="str">
        <f>IF($F60="unclassified","N/A",(_xlfn.XLOOKUP($E60,Sheet2!$A:$A,Sheet2!Z:Z,"N/A",0,1)))</f>
        <v>N/A</v>
      </c>
      <c r="S60" s="25" t="str">
        <f>IF($F60="unclassified","N/A",(_xlfn.XLOOKUP($E60,Sheet2!$A:$A,Sheet2!AA:AA,"N/A",0,1)))</f>
        <v>N/A</v>
      </c>
      <c r="T60" s="25" t="str">
        <f>IF($F60="unclassified","N/A",(_xlfn.XLOOKUP($E60,Sheet2!$A:$A,Sheet2!AB:AB,"N/A",0,1)))</f>
        <v>N/A</v>
      </c>
      <c r="U60" s="11" t="str">
        <f>IF($F60="unclassified","N/A",(AVERAGE(Table325[[#This Row],[PO nr]:[Delivery Date]])))</f>
        <v>N/A</v>
      </c>
      <c r="V60" s="21"/>
      <c r="W60" s="21"/>
      <c r="X60" s="21"/>
      <c r="Y60" s="21"/>
      <c r="Z60" s="21"/>
    </row>
    <row r="61" spans="3:26" ht="15" customHeight="1" x14ac:dyDescent="0.3">
      <c r="C61" t="str">
        <f>_xlfn.XLOOKUP(Table325[[#This Row],[Customer]],'Top 300'!C:C,'Top 300'!A:A,"0",2,1)</f>
        <v>0</v>
      </c>
      <c r="D61" s="30" t="str">
        <f>_xlfn.XLOOKUP(Table325[[#This Row],[File Name]],'Analyse 2 Detail 02-03'!A:A,'Analyse 2 Detail 02-03'!R:R,"Not Found",0,1)</f>
        <v>Medtronic Trading NL BV</v>
      </c>
      <c r="E61" s="2" t="s">
        <v>110</v>
      </c>
      <c r="F61" s="64" t="s">
        <v>9</v>
      </c>
      <c r="G61" s="71">
        <v>2</v>
      </c>
      <c r="H61" s="25">
        <f>IF($F61="unclassified","N/A",(_xlfn.XLOOKUP($E61,Sheet2!$A:$A,Sheet2!Q:Q,"N/A",0,1)))</f>
        <v>0</v>
      </c>
      <c r="I61" s="25">
        <f>IF($F61="unclassified","N/A",(_xlfn.XLOOKUP($E61,Sheet2!$A:$A,Sheet2!R:R,"N/A",0,1)))</f>
        <v>1</v>
      </c>
      <c r="J61" s="25">
        <f>IF($F61="unclassified","N/A",(_xlfn.XLOOKUP($E61,Sheet2!$A:$A,Sheet2!S:S,"N/A",0,1)))</f>
        <v>1</v>
      </c>
      <c r="K61" s="25">
        <f>IF($F61="unclassified","N/A",(_xlfn.XLOOKUP($E61,Sheet2!$A:$A,Sheet2!T:T,"N/A",0,1)))</f>
        <v>1</v>
      </c>
      <c r="L61" s="25">
        <f>IF($F61="unclassified","N/A",(_xlfn.XLOOKUP($E61,Sheet2!$A:$A,Sheet2!U:U,"N/A",0,1)))</f>
        <v>1</v>
      </c>
      <c r="M61" s="25">
        <f>IF($F61="unclassified","N/A",(_xlfn.XLOOKUP($E61,Sheet2!$A:$A,Sheet2!V:V,"N/A",0,1)))</f>
        <v>1</v>
      </c>
      <c r="N61" s="25"/>
      <c r="O61" s="25">
        <f>IF($F61="unclassified","N/A",(_xlfn.XLOOKUP($E61,Sheet2!$A:$A,Sheet2!W:W,"N/A",0,1)))</f>
        <v>1</v>
      </c>
      <c r="P61" s="25">
        <f>IF($F61="unclassified","N/A",(_xlfn.XLOOKUP($E61,Sheet2!$A:$A,Sheet2!X:X,"N/A",0,1)))</f>
        <v>1</v>
      </c>
      <c r="Q61" s="25">
        <f>IF($F61="unclassified","N/A",(_xlfn.XLOOKUP($E61,Sheet2!$A:$A,Sheet2!Y:Y,"N/A",0,1)))</f>
        <v>1</v>
      </c>
      <c r="R61" s="25">
        <f>IF($F61="unclassified","N/A",(_xlfn.XLOOKUP($E61,Sheet2!$A:$A,Sheet2!Z:Z,"N/A",0,1)))</f>
        <v>1</v>
      </c>
      <c r="S61" s="25">
        <f>IF($F61="unclassified","N/A",(_xlfn.XLOOKUP($E61,Sheet2!$A:$A,Sheet2!AA:AA,"N/A",0,1)))</f>
        <v>1</v>
      </c>
      <c r="T61" s="25">
        <f>IF($F61="unclassified","N/A",(_xlfn.XLOOKUP($E61,Sheet2!$A:$A,Sheet2!AB:AB,"N/A",0,1)))</f>
        <v>1</v>
      </c>
      <c r="U61" s="11">
        <f>IF($F61="unclassified","N/A",(AVERAGE(Table325[[#This Row],[PO nr]:[Delivery Date]])))</f>
        <v>0.91666666666666663</v>
      </c>
      <c r="V61" s="84" t="s">
        <v>212</v>
      </c>
      <c r="W61" s="21" t="s">
        <v>213</v>
      </c>
      <c r="X61" s="21"/>
      <c r="Y61" s="21"/>
      <c r="Z61" s="21"/>
    </row>
    <row r="62" spans="3:26" ht="15" customHeight="1" x14ac:dyDescent="0.3">
      <c r="C62" t="str">
        <f>_xlfn.XLOOKUP(Table325[[#This Row],[Customer]],'Top 300'!C:C,'Top 300'!A:A,"0",2,1)</f>
        <v>0</v>
      </c>
      <c r="D62" s="30" t="str">
        <f>_xlfn.XLOOKUP(Table325[[#This Row],[File Name]],'Analyse 2 Detail 02-03'!A:A,'Analyse 2 Detail 02-03'!R:R,"Not Found",0,1)</f>
        <v>Medtronic Trading NL BV</v>
      </c>
      <c r="E62" s="2" t="s">
        <v>110</v>
      </c>
      <c r="F62" s="64" t="s">
        <v>9</v>
      </c>
      <c r="G62" s="71">
        <v>2</v>
      </c>
      <c r="H62" s="25">
        <f>IF($F62="unclassified","N/A",(_xlfn.XLOOKUP($E62,Sheet2!$A:$A,Sheet2!Q:Q,"N/A",0,1)))</f>
        <v>0</v>
      </c>
      <c r="I62" s="25">
        <f>IF($F62="unclassified","N/A",(_xlfn.XLOOKUP($E62,Sheet2!$A:$A,Sheet2!R:R,"N/A",0,1)))</f>
        <v>1</v>
      </c>
      <c r="J62" s="25">
        <f>IF($F62="unclassified","N/A",(_xlfn.XLOOKUP($E62,Sheet2!$A:$A,Sheet2!S:S,"N/A",0,1)))</f>
        <v>1</v>
      </c>
      <c r="K62" s="25">
        <f>IF($F62="unclassified","N/A",(_xlfn.XLOOKUP($E62,Sheet2!$A:$A,Sheet2!T:T,"N/A",0,1)))</f>
        <v>1</v>
      </c>
      <c r="L62" s="25">
        <f>IF($F62="unclassified","N/A",(_xlfn.XLOOKUP($E62,Sheet2!$A:$A,Sheet2!U:U,"N/A",0,1)))</f>
        <v>1</v>
      </c>
      <c r="M62" s="25">
        <f>IF($F62="unclassified","N/A",(_xlfn.XLOOKUP($E62,Sheet2!$A:$A,Sheet2!V:V,"N/A",0,1)))</f>
        <v>1</v>
      </c>
      <c r="N62" s="25"/>
      <c r="O62" s="25">
        <f>IF($F62="unclassified","N/A",(_xlfn.XLOOKUP($E62,Sheet2!$A:$A,Sheet2!W:W,"N/A",0,1)))</f>
        <v>1</v>
      </c>
      <c r="P62" s="25">
        <f>IF($F62="unclassified","N/A",(_xlfn.XLOOKUP($E62,Sheet2!$A:$A,Sheet2!X:X,"N/A",0,1)))</f>
        <v>1</v>
      </c>
      <c r="Q62" s="25">
        <f>IF($F62="unclassified","N/A",(_xlfn.XLOOKUP($E62,Sheet2!$A:$A,Sheet2!Y:Y,"N/A",0,1)))</f>
        <v>1</v>
      </c>
      <c r="R62" s="25">
        <f>IF($F62="unclassified","N/A",(_xlfn.XLOOKUP($E62,Sheet2!$A:$A,Sheet2!Z:Z,"N/A",0,1)))</f>
        <v>1</v>
      </c>
      <c r="S62" s="25">
        <f>IF($F62="unclassified","N/A",(_xlfn.XLOOKUP($E62,Sheet2!$A:$A,Sheet2!AA:AA,"N/A",0,1)))</f>
        <v>1</v>
      </c>
      <c r="T62" s="25">
        <f>IF($F62="unclassified","N/A",(_xlfn.XLOOKUP($E62,Sheet2!$A:$A,Sheet2!AB:AB,"N/A",0,1)))</f>
        <v>1</v>
      </c>
      <c r="U62" s="11">
        <f>IF($F62="unclassified","N/A",(AVERAGE(Table325[[#This Row],[PO nr]:[Delivery Date]])))</f>
        <v>0.91666666666666663</v>
      </c>
      <c r="V62" s="84" t="s">
        <v>212</v>
      </c>
      <c r="W62" s="21" t="s">
        <v>213</v>
      </c>
      <c r="X62" s="21"/>
      <c r="Y62" s="21"/>
      <c r="Z62" s="21"/>
    </row>
    <row r="63" spans="3:26" ht="15" customHeight="1" x14ac:dyDescent="0.3">
      <c r="C63" t="str">
        <f>_xlfn.XLOOKUP(Table325[[#This Row],[Customer]],'Top 300'!C:C,'Top 300'!A:A,"0",2,1)</f>
        <v>0</v>
      </c>
      <c r="D63" s="30" t="str">
        <f>_xlfn.XLOOKUP(Table325[[#This Row],[File Name]],'Analyse 2 Detail 02-03'!A:A,'Analyse 2 Detail 02-03'!R:R,"Not Found",0,1)</f>
        <v>Medtronic Trading NL BV</v>
      </c>
      <c r="E63" s="2" t="s">
        <v>108</v>
      </c>
      <c r="F63" s="64" t="s">
        <v>9</v>
      </c>
      <c r="G63" s="71">
        <v>7</v>
      </c>
      <c r="H63" s="25">
        <f>IF($F63="unclassified","N/A",(_xlfn.XLOOKUP($E63,Sheet2!$A:$A,Sheet2!Q:Q,"N/A",0,1)))</f>
        <v>0</v>
      </c>
      <c r="I63" s="25">
        <f>IF($F63="unclassified","N/A",(_xlfn.XLOOKUP($E63,Sheet2!$A:$A,Sheet2!R:R,"N/A",0,1)))</f>
        <v>1</v>
      </c>
      <c r="J63" s="25">
        <f>IF($F63="unclassified","N/A",(_xlfn.XLOOKUP($E63,Sheet2!$A:$A,Sheet2!S:S,"N/A",0,1)))</f>
        <v>1</v>
      </c>
      <c r="K63" s="25">
        <f>IF($F63="unclassified","N/A",(_xlfn.XLOOKUP($E63,Sheet2!$A:$A,Sheet2!T:T,"N/A",0,1)))</f>
        <v>1</v>
      </c>
      <c r="L63" s="25">
        <f>IF($F63="unclassified","N/A",(_xlfn.XLOOKUP($E63,Sheet2!$A:$A,Sheet2!U:U,"N/A",0,1)))</f>
        <v>1</v>
      </c>
      <c r="M63" s="25">
        <f>IF($F63="unclassified","N/A",(_xlfn.XLOOKUP($E63,Sheet2!$A:$A,Sheet2!V:V,"N/A",0,1)))</f>
        <v>1</v>
      </c>
      <c r="N63" s="25"/>
      <c r="O63" s="25">
        <f>IF($F63="unclassified","N/A",(_xlfn.XLOOKUP($E63,Sheet2!$A:$A,Sheet2!W:W,"N/A",0,1)))</f>
        <v>1</v>
      </c>
      <c r="P63" s="25">
        <f>IF($F63="unclassified","N/A",(_xlfn.XLOOKUP($E63,Sheet2!$A:$A,Sheet2!X:X,"N/A",0,1)))</f>
        <v>1</v>
      </c>
      <c r="Q63" s="25">
        <f>IF($F63="unclassified","N/A",(_xlfn.XLOOKUP($E63,Sheet2!$A:$A,Sheet2!Y:Y,"N/A",0,1)))</f>
        <v>1</v>
      </c>
      <c r="R63" s="25">
        <f>IF($F63="unclassified","N/A",(_xlfn.XLOOKUP($E63,Sheet2!$A:$A,Sheet2!Z:Z,"N/A",0,1)))</f>
        <v>1</v>
      </c>
      <c r="S63" s="25">
        <f>IF($F63="unclassified","N/A",(_xlfn.XLOOKUP($E63,Sheet2!$A:$A,Sheet2!AA:AA,"N/A",0,1)))</f>
        <v>1</v>
      </c>
      <c r="T63" s="25">
        <f>IF($F63="unclassified","N/A",(_xlfn.XLOOKUP($E63,Sheet2!$A:$A,Sheet2!AB:AB,"N/A",0,1)))</f>
        <v>0.83333333333333337</v>
      </c>
      <c r="U63" s="11">
        <f>IF($F63="unclassified","N/A",(AVERAGE(Table325[[#This Row],[PO nr]:[Delivery Date]])))</f>
        <v>0.90277777777777779</v>
      </c>
      <c r="V63" s="84" t="s">
        <v>2369</v>
      </c>
      <c r="W63" s="21" t="s">
        <v>213</v>
      </c>
      <c r="X63" s="21"/>
      <c r="Y63" s="21"/>
      <c r="Z63" s="21"/>
    </row>
    <row r="64" spans="3:26" ht="15" customHeight="1" x14ac:dyDescent="0.3">
      <c r="C64" t="str">
        <f>_xlfn.XLOOKUP(Table325[[#This Row],[Customer]],'Top 300'!C:C,'Top 300'!A:A,"0",2,1)</f>
        <v>0</v>
      </c>
      <c r="D64" s="30" t="str">
        <f>_xlfn.XLOOKUP(Table325[[#This Row],[File Name]],'Analyse 2 Detail 02-03'!A:A,'Analyse 2 Detail 02-03'!R:R,"Not Found",0,1)</f>
        <v>Medtronic Trading NL BV</v>
      </c>
      <c r="E64" s="2" t="s">
        <v>130</v>
      </c>
      <c r="F64" s="64" t="s">
        <v>9</v>
      </c>
      <c r="G64" s="71">
        <v>1</v>
      </c>
      <c r="H64" s="25">
        <f>IF($F64="unclassified","N/A",(_xlfn.XLOOKUP($E64,Sheet2!$A:$A,Sheet2!Q:Q,"N/A",0,1)))</f>
        <v>0</v>
      </c>
      <c r="I64" s="25">
        <f>IF($F64="unclassified","N/A",(_xlfn.XLOOKUP($E64,Sheet2!$A:$A,Sheet2!R:R,"N/A",0,1)))</f>
        <v>1</v>
      </c>
      <c r="J64" s="25">
        <f>IF($F64="unclassified","N/A",(_xlfn.XLOOKUP($E64,Sheet2!$A:$A,Sheet2!S:S,"N/A",0,1)))</f>
        <v>1</v>
      </c>
      <c r="K64" s="25">
        <f>IF($F64="unclassified","N/A",(_xlfn.XLOOKUP($E64,Sheet2!$A:$A,Sheet2!T:T,"N/A",0,1)))</f>
        <v>1</v>
      </c>
      <c r="L64" s="25">
        <f>IF($F64="unclassified","N/A",(_xlfn.XLOOKUP($E64,Sheet2!$A:$A,Sheet2!U:U,"N/A",0,1)))</f>
        <v>1</v>
      </c>
      <c r="M64" s="25">
        <f>IF($F64="unclassified","N/A",(_xlfn.XLOOKUP($E64,Sheet2!$A:$A,Sheet2!V:V,"N/A",0,1)))</f>
        <v>1</v>
      </c>
      <c r="N64" s="25"/>
      <c r="O64" s="25">
        <f>IF($F64="unclassified","N/A",(_xlfn.XLOOKUP($E64,Sheet2!$A:$A,Sheet2!W:W,"N/A",0,1)))</f>
        <v>1</v>
      </c>
      <c r="P64" s="25">
        <f>IF($F64="unclassified","N/A",(_xlfn.XLOOKUP($E64,Sheet2!$A:$A,Sheet2!X:X,"N/A",0,1)))</f>
        <v>1</v>
      </c>
      <c r="Q64" s="25">
        <f>IF($F64="unclassified","N/A",(_xlfn.XLOOKUP($E64,Sheet2!$A:$A,Sheet2!Y:Y,"N/A",0,1)))</f>
        <v>1</v>
      </c>
      <c r="R64" s="25">
        <f>IF($F64="unclassified","N/A",(_xlfn.XLOOKUP($E64,Sheet2!$A:$A,Sheet2!Z:Z,"N/A",0,1)))</f>
        <v>1</v>
      </c>
      <c r="S64" s="25">
        <f>IF($F64="unclassified","N/A",(_xlfn.XLOOKUP($E64,Sheet2!$A:$A,Sheet2!AA:AA,"N/A",0,1)))</f>
        <v>1</v>
      </c>
      <c r="T64" s="25">
        <f>IF($F64="unclassified","N/A",(_xlfn.XLOOKUP($E64,Sheet2!$A:$A,Sheet2!AB:AB,"N/A",0,1)))</f>
        <v>1</v>
      </c>
      <c r="U64" s="11">
        <f>IF($F64="unclassified","N/A",(AVERAGE(Table325[[#This Row],[PO nr]:[Delivery Date]])))</f>
        <v>0.91666666666666663</v>
      </c>
      <c r="V64" s="84" t="s">
        <v>212</v>
      </c>
      <c r="W64" s="21" t="s">
        <v>213</v>
      </c>
      <c r="X64" s="21"/>
      <c r="Y64" s="21"/>
      <c r="Z64" s="21"/>
    </row>
    <row r="65" spans="3:26" ht="15" customHeight="1" x14ac:dyDescent="0.3">
      <c r="C65" t="str">
        <f>_xlfn.XLOOKUP(Table325[[#This Row],[Customer]],'Top 300'!C:C,'Top 300'!A:A,"0",2,1)</f>
        <v>0</v>
      </c>
      <c r="D65" s="30" t="str">
        <f>_xlfn.XLOOKUP(Table325[[#This Row],[File Name]],'Analyse 2 Detail 02-03'!A:A,'Analyse 2 Detail 02-03'!R:R,"Not Found",0,1)</f>
        <v>Fresenius Kabi nv/sa</v>
      </c>
      <c r="E65" s="2" t="s">
        <v>156</v>
      </c>
      <c r="F65" s="64" t="s">
        <v>9</v>
      </c>
      <c r="G65" s="71">
        <v>0</v>
      </c>
      <c r="H65" s="25">
        <f>IF($F65="unclassified","N/A",(_xlfn.XLOOKUP($E65,Sheet2!$A:$A,Sheet2!Q:Q,"N/A",0,1)))</f>
        <v>1</v>
      </c>
      <c r="I65" s="25">
        <f>IF($F65="unclassified","N/A",(_xlfn.XLOOKUP($E65,Sheet2!$A:$A,Sheet2!R:R,"N/A",0,1)))</f>
        <v>1</v>
      </c>
      <c r="J65" s="25">
        <f>IF($F65="unclassified","N/A",(_xlfn.XLOOKUP($E65,Sheet2!$A:$A,Sheet2!S:S,"N/A",0,1)))</f>
        <v>1</v>
      </c>
      <c r="K65" s="25">
        <f>IF($F65="unclassified","N/A",(_xlfn.XLOOKUP($E65,Sheet2!$A:$A,Sheet2!T:T,"N/A",0,1)))</f>
        <v>1</v>
      </c>
      <c r="L65" s="25">
        <f>IF($F65="unclassified","N/A",(_xlfn.XLOOKUP($E65,Sheet2!$A:$A,Sheet2!U:U,"N/A",0,1)))</f>
        <v>1</v>
      </c>
      <c r="M65" s="9">
        <f>IF($F65="unclassified","N/A",(_xlfn.XLOOKUP($E65,Sheet2!$A:$A,Sheet2!V:V,"N/A",0,1)))</f>
        <v>1</v>
      </c>
      <c r="N65" s="25"/>
      <c r="O65" s="25">
        <f>IF($F65="unclassified","N/A",(_xlfn.XLOOKUP($E65,Sheet2!$A:$A,Sheet2!W:W,"N/A",0,1)))</f>
        <v>1</v>
      </c>
      <c r="P65" s="25">
        <f>IF($F65="unclassified","N/A",(_xlfn.XLOOKUP($E65,Sheet2!$A:$A,Sheet2!X:X,"N/A",0,1)))</f>
        <v>1</v>
      </c>
      <c r="Q65" s="25">
        <f>IF($F65="unclassified","N/A",(_xlfn.XLOOKUP($E65,Sheet2!$A:$A,Sheet2!Y:Y,"N/A",0,1)))</f>
        <v>1</v>
      </c>
      <c r="R65" s="25">
        <f>IF($F65="unclassified","N/A",(_xlfn.XLOOKUP($E65,Sheet2!$A:$A,Sheet2!Z:Z,"N/A",0,1)))</f>
        <v>1</v>
      </c>
      <c r="S65" s="25">
        <f>IF($F65="unclassified","N/A",(_xlfn.XLOOKUP($E65,Sheet2!$A:$A,Sheet2!AA:AA,"N/A",0,1)))</f>
        <v>1</v>
      </c>
      <c r="T65" s="25">
        <f>IF($F65="unclassified","N/A",(_xlfn.XLOOKUP($E65,Sheet2!$A:$A,Sheet2!AB:AB,"N/A",0,1)))</f>
        <v>1</v>
      </c>
      <c r="U65" s="11">
        <f>IF($F65="unclassified","N/A",(AVERAGE(Table325[[#This Row],[PO nr]:[Delivery Date]])))</f>
        <v>1</v>
      </c>
      <c r="V65" s="21"/>
      <c r="W65" s="21"/>
      <c r="X65" s="21"/>
      <c r="Y65" s="21"/>
      <c r="Z65" s="21"/>
    </row>
    <row r="66" spans="3:26" ht="15" customHeight="1" x14ac:dyDescent="0.3">
      <c r="C66" t="str">
        <f>_xlfn.XLOOKUP(Table325[[#This Row],[Customer]],'Top 300'!C:C,'Top 300'!A:A,"0",2,1)</f>
        <v>0</v>
      </c>
      <c r="D66" s="30" t="str">
        <f>_xlfn.XLOOKUP(Table325[[#This Row],[File Name]],'Analyse 2 Detail 02-03'!A:A,'Analyse 2 Detail 02-03'!R:R,"Not Found",0,1)</f>
        <v>Fresenius Kabi Nederland B.V.</v>
      </c>
      <c r="E66" s="2" t="s">
        <v>153</v>
      </c>
      <c r="F66" s="64" t="s">
        <v>9</v>
      </c>
      <c r="G66" s="71">
        <v>0</v>
      </c>
      <c r="H66" s="25">
        <f>IF($F66="unclassified","N/A",(_xlfn.XLOOKUP($E66,Sheet2!$A:$A,Sheet2!Q:Q,"N/A",0,1)))</f>
        <v>1</v>
      </c>
      <c r="I66" s="25">
        <f>IF($F66="unclassified","N/A",(_xlfn.XLOOKUP($E66,Sheet2!$A:$A,Sheet2!R:R,"N/A",0,1)))</f>
        <v>1</v>
      </c>
      <c r="J66" s="25">
        <f>IF($F66="unclassified","N/A",(_xlfn.XLOOKUP($E66,Sheet2!$A:$A,Sheet2!S:S,"N/A",0,1)))</f>
        <v>1</v>
      </c>
      <c r="K66" s="25">
        <f>IF($F66="unclassified","N/A",(_xlfn.XLOOKUP($E66,Sheet2!$A:$A,Sheet2!T:T,"N/A",0,1)))</f>
        <v>1</v>
      </c>
      <c r="L66" s="25">
        <f>IF($F66="unclassified","N/A",(_xlfn.XLOOKUP($E66,Sheet2!$A:$A,Sheet2!U:U,"N/A",0,1)))</f>
        <v>1</v>
      </c>
      <c r="M66" s="9">
        <f>IF($F66="unclassified","N/A",(_xlfn.XLOOKUP($E66,Sheet2!$A:$A,Sheet2!V:V,"N/A",0,1)))</f>
        <v>1</v>
      </c>
      <c r="N66" s="25"/>
      <c r="O66" s="25">
        <f>IF($F66="unclassified","N/A",(_xlfn.XLOOKUP($E66,Sheet2!$A:$A,Sheet2!W:W,"N/A",0,1)))</f>
        <v>1</v>
      </c>
      <c r="P66" s="25">
        <f>IF($F66="unclassified","N/A",(_xlfn.XLOOKUP($E66,Sheet2!$A:$A,Sheet2!X:X,"N/A",0,1)))</f>
        <v>1</v>
      </c>
      <c r="Q66" s="25">
        <f>IF($F66="unclassified","N/A",(_xlfn.XLOOKUP($E66,Sheet2!$A:$A,Sheet2!Y:Y,"N/A",0,1)))</f>
        <v>1</v>
      </c>
      <c r="R66" s="25">
        <f>IF($F66="unclassified","N/A",(_xlfn.XLOOKUP($E66,Sheet2!$A:$A,Sheet2!Z:Z,"N/A",0,1)))</f>
        <v>1</v>
      </c>
      <c r="S66" s="25">
        <f>IF($F66="unclassified","N/A",(_xlfn.XLOOKUP($E66,Sheet2!$A:$A,Sheet2!AA:AA,"N/A",0,1)))</f>
        <v>1</v>
      </c>
      <c r="T66" s="25">
        <f>IF($F66="unclassified","N/A",(_xlfn.XLOOKUP($E66,Sheet2!$A:$A,Sheet2!AB:AB,"N/A",0,1)))</f>
        <v>1</v>
      </c>
      <c r="U66" s="11">
        <f>IF($F66="unclassified","N/A",(AVERAGE(Table325[[#This Row],[PO nr]:[Delivery Date]])))</f>
        <v>1</v>
      </c>
      <c r="V66" s="21"/>
      <c r="W66" s="21"/>
      <c r="X66" s="21"/>
      <c r="Y66" s="21"/>
      <c r="Z66" s="21"/>
    </row>
    <row r="67" spans="3:26" ht="15" customHeight="1" x14ac:dyDescent="0.3">
      <c r="C67" t="str">
        <f>_xlfn.XLOOKUP(Table325[[#This Row],[Customer]],'Top 300'!C:C,'Top 300'!A:A,"0",2,1)</f>
        <v>0</v>
      </c>
      <c r="D67" s="30" t="str">
        <f>_xlfn.XLOOKUP(Table325[[#This Row],[File Name]],'Analyse 2 Detail 02-03'!A:A,'Analyse 2 Detail 02-03'!R:R,"Not Found",0,1)</f>
        <v>Fresenius Kabi Nederland B.V.</v>
      </c>
      <c r="E67" s="2" t="s">
        <v>153</v>
      </c>
      <c r="F67" s="64" t="s">
        <v>9</v>
      </c>
      <c r="G67" s="71">
        <v>0</v>
      </c>
      <c r="H67" s="25">
        <f>IF($F67="unclassified","N/A",(_xlfn.XLOOKUP($E67,Sheet2!$A:$A,Sheet2!Q:Q,"N/A",0,1)))</f>
        <v>1</v>
      </c>
      <c r="I67" s="25">
        <f>IF($F67="unclassified","N/A",(_xlfn.XLOOKUP($E67,Sheet2!$A:$A,Sheet2!R:R,"N/A",0,1)))</f>
        <v>1</v>
      </c>
      <c r="J67" s="25">
        <f>IF($F67="unclassified","N/A",(_xlfn.XLOOKUP($E67,Sheet2!$A:$A,Sheet2!S:S,"N/A",0,1)))</f>
        <v>1</v>
      </c>
      <c r="K67" s="25">
        <f>IF($F67="unclassified","N/A",(_xlfn.XLOOKUP($E67,Sheet2!$A:$A,Sheet2!T:T,"N/A",0,1)))</f>
        <v>1</v>
      </c>
      <c r="L67" s="25">
        <f>IF($F67="unclassified","N/A",(_xlfn.XLOOKUP($E67,Sheet2!$A:$A,Sheet2!U:U,"N/A",0,1)))</f>
        <v>1</v>
      </c>
      <c r="M67" s="9">
        <f>IF($F67="unclassified","N/A",(_xlfn.XLOOKUP($E67,Sheet2!$A:$A,Sheet2!V:V,"N/A",0,1)))</f>
        <v>1</v>
      </c>
      <c r="N67" s="25"/>
      <c r="O67" s="25">
        <f>IF($F67="unclassified","N/A",(_xlfn.XLOOKUP($E67,Sheet2!$A:$A,Sheet2!W:W,"N/A",0,1)))</f>
        <v>1</v>
      </c>
      <c r="P67" s="25">
        <f>IF($F67="unclassified","N/A",(_xlfn.XLOOKUP($E67,Sheet2!$A:$A,Sheet2!X:X,"N/A",0,1)))</f>
        <v>1</v>
      </c>
      <c r="Q67" s="25">
        <f>IF($F67="unclassified","N/A",(_xlfn.XLOOKUP($E67,Sheet2!$A:$A,Sheet2!Y:Y,"N/A",0,1)))</f>
        <v>1</v>
      </c>
      <c r="R67" s="25">
        <f>IF($F67="unclassified","N/A",(_xlfn.XLOOKUP($E67,Sheet2!$A:$A,Sheet2!Z:Z,"N/A",0,1)))</f>
        <v>1</v>
      </c>
      <c r="S67" s="25">
        <f>IF($F67="unclassified","N/A",(_xlfn.XLOOKUP($E67,Sheet2!$A:$A,Sheet2!AA:AA,"N/A",0,1)))</f>
        <v>1</v>
      </c>
      <c r="T67" s="25">
        <f>IF($F67="unclassified","N/A",(_xlfn.XLOOKUP($E67,Sheet2!$A:$A,Sheet2!AB:AB,"N/A",0,1)))</f>
        <v>1</v>
      </c>
      <c r="U67" s="11">
        <f>IF($F67="unclassified","N/A",(AVERAGE(Table325[[#This Row],[PO nr]:[Delivery Date]])))</f>
        <v>1</v>
      </c>
      <c r="V67" s="21"/>
      <c r="W67" s="21"/>
      <c r="X67" s="21"/>
      <c r="Y67" s="21"/>
      <c r="Z67" s="21"/>
    </row>
    <row r="68" spans="3:26" ht="15" customHeight="1" x14ac:dyDescent="0.3">
      <c r="C68" t="str">
        <f>_xlfn.XLOOKUP(Table325[[#This Row],[Customer]],'Top 300'!C:C,'Top 300'!A:A,"0",2,1)</f>
        <v>0</v>
      </c>
      <c r="D68" s="30" t="str">
        <f>_xlfn.XLOOKUP(Table325[[#This Row],[File Name]],'Analyse 2 Detail 02-03'!A:A,'Analyse 2 Detail 02-03'!R:R,"Not Found",0,1)</f>
        <v>Duomed Belgium NV/SA</v>
      </c>
      <c r="E68" s="2" t="s">
        <v>188</v>
      </c>
      <c r="F68" s="64" t="s">
        <v>9</v>
      </c>
      <c r="G68" s="71">
        <v>0</v>
      </c>
      <c r="H68" s="25">
        <f>IF($F68="unclassified","N/A",(_xlfn.XLOOKUP($E68,Sheet2!$A:$A,Sheet2!Q:Q,"N/A",0,1)))</f>
        <v>1</v>
      </c>
      <c r="I68" s="25">
        <f>IF($F68="unclassified","N/A",(_xlfn.XLOOKUP($E68,Sheet2!$A:$A,Sheet2!R:R,"N/A",0,1)))</f>
        <v>1</v>
      </c>
      <c r="J68" s="25">
        <f>IF($F68="unclassified","N/A",(_xlfn.XLOOKUP($E68,Sheet2!$A:$A,Sheet2!S:S,"N/A",0,1)))</f>
        <v>1</v>
      </c>
      <c r="K68" s="25">
        <f>IF($F68="unclassified","N/A",(_xlfn.XLOOKUP($E68,Sheet2!$A:$A,Sheet2!T:T,"N/A",0,1)))</f>
        <v>1</v>
      </c>
      <c r="L68" s="25">
        <f>IF($F68="unclassified","N/A",(_xlfn.XLOOKUP($E68,Sheet2!$A:$A,Sheet2!U:U,"N/A",0,1)))</f>
        <v>1</v>
      </c>
      <c r="M68" s="9">
        <f>IF($F68="unclassified","N/A",(_xlfn.XLOOKUP($E68,Sheet2!$A:$A,Sheet2!V:V,"N/A",0,1)))</f>
        <v>1</v>
      </c>
      <c r="N68" s="25"/>
      <c r="O68" s="25">
        <f>IF($F68="unclassified","N/A",(_xlfn.XLOOKUP($E68,Sheet2!$A:$A,Sheet2!W:W,"N/A",0,1)))</f>
        <v>1</v>
      </c>
      <c r="P68" s="25">
        <f>IF($F68="unclassified","N/A",(_xlfn.XLOOKUP($E68,Sheet2!$A:$A,Sheet2!X:X,"N/A",0,1)))</f>
        <v>1</v>
      </c>
      <c r="Q68" s="25">
        <f>IF($F68="unclassified","N/A",(_xlfn.XLOOKUP($E68,Sheet2!$A:$A,Sheet2!Y:Y,"N/A",0,1)))</f>
        <v>1</v>
      </c>
      <c r="R68" s="25">
        <f>IF($F68="unclassified","N/A",(_xlfn.XLOOKUP($E68,Sheet2!$A:$A,Sheet2!Z:Z,"N/A",0,1)))</f>
        <v>1</v>
      </c>
      <c r="S68" s="25">
        <f>IF($F68="unclassified","N/A",(_xlfn.XLOOKUP($E68,Sheet2!$A:$A,Sheet2!AA:AA,"N/A",0,1)))</f>
        <v>1</v>
      </c>
      <c r="T68" s="25">
        <f>IF($F68="unclassified","N/A",(_xlfn.XLOOKUP($E68,Sheet2!$A:$A,Sheet2!AB:AB,"N/A",0,1)))</f>
        <v>1</v>
      </c>
      <c r="U68" s="11">
        <f>IF($F68="unclassified","N/A",(AVERAGE(Table325[[#This Row],[PO nr]:[Delivery Date]])))</f>
        <v>1</v>
      </c>
      <c r="V68" s="21"/>
      <c r="W68" s="21"/>
      <c r="X68" s="21"/>
      <c r="Y68" s="21"/>
      <c r="Z68" s="21"/>
    </row>
    <row r="69" spans="3:26" ht="15" customHeight="1" x14ac:dyDescent="0.3">
      <c r="C69" t="str">
        <f>_xlfn.XLOOKUP(Table325[[#This Row],[Customer]],'Top 300'!C:C,'Top 300'!A:A,"0",2,1)</f>
        <v>0</v>
      </c>
      <c r="D69" s="30" t="str">
        <f>_xlfn.XLOOKUP(Table325[[#This Row],[File Name]],'Analyse 2 Detail 02-03'!A:A,'Analyse 2 Detail 02-03'!R:R,"Not Found",0,1)</f>
        <v>Duomed Belgium NV/SA</v>
      </c>
      <c r="E69" s="2" t="s">
        <v>135</v>
      </c>
      <c r="F69" s="64" t="s">
        <v>9</v>
      </c>
      <c r="G69" s="71">
        <v>0</v>
      </c>
      <c r="H69" s="25">
        <f>IF($F69="unclassified","N/A",(_xlfn.XLOOKUP($E69,Sheet2!$A:$A,Sheet2!Q:Q,"N/A",0,1)))</f>
        <v>1</v>
      </c>
      <c r="I69" s="25">
        <f>IF($F69="unclassified","N/A",(_xlfn.XLOOKUP($E69,Sheet2!$A:$A,Sheet2!R:R,"N/A",0,1)))</f>
        <v>1</v>
      </c>
      <c r="J69" s="25">
        <f>IF($F69="unclassified","N/A",(_xlfn.XLOOKUP($E69,Sheet2!$A:$A,Sheet2!S:S,"N/A",0,1)))</f>
        <v>1</v>
      </c>
      <c r="K69" s="25">
        <f>IF($F69="unclassified","N/A",(_xlfn.XLOOKUP($E69,Sheet2!$A:$A,Sheet2!T:T,"N/A",0,1)))</f>
        <v>1</v>
      </c>
      <c r="L69" s="25">
        <f>IF($F69="unclassified","N/A",(_xlfn.XLOOKUP($E69,Sheet2!$A:$A,Sheet2!U:U,"N/A",0,1)))</f>
        <v>1</v>
      </c>
      <c r="M69" s="9">
        <f>IF($F69="unclassified","N/A",(_xlfn.XLOOKUP($E69,Sheet2!$A:$A,Sheet2!V:V,"N/A",0,1)))</f>
        <v>1</v>
      </c>
      <c r="N69" s="25"/>
      <c r="O69" s="25">
        <f>IF($F69="unclassified","N/A",(_xlfn.XLOOKUP($E69,Sheet2!$A:$A,Sheet2!W:W,"N/A",0,1)))</f>
        <v>1</v>
      </c>
      <c r="P69" s="25">
        <f>IF($F69="unclassified","N/A",(_xlfn.XLOOKUP($E69,Sheet2!$A:$A,Sheet2!X:X,"N/A",0,1)))</f>
        <v>1</v>
      </c>
      <c r="Q69" s="25">
        <f>IF($F69="unclassified","N/A",(_xlfn.XLOOKUP($E69,Sheet2!$A:$A,Sheet2!Y:Y,"N/A",0,1)))</f>
        <v>1</v>
      </c>
      <c r="R69" s="25">
        <f>IF($F69="unclassified","N/A",(_xlfn.XLOOKUP($E69,Sheet2!$A:$A,Sheet2!Z:Z,"N/A",0,1)))</f>
        <v>1</v>
      </c>
      <c r="S69" s="25">
        <f>IF($F69="unclassified","N/A",(_xlfn.XLOOKUP($E69,Sheet2!$A:$A,Sheet2!AA:AA,"N/A",0,1)))</f>
        <v>1</v>
      </c>
      <c r="T69" s="25">
        <f>IF($F69="unclassified","N/A",(_xlfn.XLOOKUP($E69,Sheet2!$A:$A,Sheet2!AB:AB,"N/A",0,1)))</f>
        <v>1</v>
      </c>
      <c r="U69" s="11">
        <f>IF($F69="unclassified","N/A",(AVERAGE(Table325[[#This Row],[PO nr]:[Delivery Date]])))</f>
        <v>1</v>
      </c>
      <c r="V69" s="21"/>
      <c r="W69" s="21"/>
      <c r="X69" s="21"/>
      <c r="Y69" s="21"/>
      <c r="Z69" s="21"/>
    </row>
    <row r="70" spans="3:26" ht="15" customHeight="1" x14ac:dyDescent="0.3">
      <c r="C70" t="str">
        <f>_xlfn.XLOOKUP(Table325[[#This Row],[Customer]],'Top 300'!C:C,'Top 300'!A:A,"0",2,1)</f>
        <v>0</v>
      </c>
      <c r="D70" s="30" t="str">
        <f>_xlfn.XLOOKUP(Table325[[#This Row],[File Name]],'Analyse 2 Detail 02-03'!A:A,'Analyse 2 Detail 02-03'!R:R,"Not Found",0,1)</f>
        <v>Duomed Belgium NV/SA</v>
      </c>
      <c r="E70" s="2" t="s">
        <v>104</v>
      </c>
      <c r="F70" s="64" t="s">
        <v>9</v>
      </c>
      <c r="G70" s="71">
        <v>0</v>
      </c>
      <c r="H70" s="25">
        <f>IF($F70="unclassified","N/A",(_xlfn.XLOOKUP($E70,Sheet2!$A:$A,Sheet2!Q:Q,"N/A",0,1)))</f>
        <v>1</v>
      </c>
      <c r="I70" s="25">
        <f>IF($F70="unclassified","N/A",(_xlfn.XLOOKUP($E70,Sheet2!$A:$A,Sheet2!R:R,"N/A",0,1)))</f>
        <v>1</v>
      </c>
      <c r="J70" s="25">
        <f>IF($F70="unclassified","N/A",(_xlfn.XLOOKUP($E70,Sheet2!$A:$A,Sheet2!S:S,"N/A",0,1)))</f>
        <v>1</v>
      </c>
      <c r="K70" s="25">
        <f>IF($F70="unclassified","N/A",(_xlfn.XLOOKUP($E70,Sheet2!$A:$A,Sheet2!T:T,"N/A",0,1)))</f>
        <v>1</v>
      </c>
      <c r="L70" s="25">
        <f>IF($F70="unclassified","N/A",(_xlfn.XLOOKUP($E70,Sheet2!$A:$A,Sheet2!U:U,"N/A",0,1)))</f>
        <v>1</v>
      </c>
      <c r="M70" s="9">
        <f>IF($F70="unclassified","N/A",(_xlfn.XLOOKUP($E70,Sheet2!$A:$A,Sheet2!V:V,"N/A",0,1)))</f>
        <v>1</v>
      </c>
      <c r="N70" s="25"/>
      <c r="O70" s="25">
        <f>IF($F70="unclassified","N/A",(_xlfn.XLOOKUP($E70,Sheet2!$A:$A,Sheet2!W:W,"N/A",0,1)))</f>
        <v>1</v>
      </c>
      <c r="P70" s="25">
        <f>IF($F70="unclassified","N/A",(_xlfn.XLOOKUP($E70,Sheet2!$A:$A,Sheet2!X:X,"N/A",0,1)))</f>
        <v>1</v>
      </c>
      <c r="Q70" s="25">
        <f>IF($F70="unclassified","N/A",(_xlfn.XLOOKUP($E70,Sheet2!$A:$A,Sheet2!Y:Y,"N/A",0,1)))</f>
        <v>1</v>
      </c>
      <c r="R70" s="25">
        <f>IF($F70="unclassified","N/A",(_xlfn.XLOOKUP($E70,Sheet2!$A:$A,Sheet2!Z:Z,"N/A",0,1)))</f>
        <v>1</v>
      </c>
      <c r="S70" s="25">
        <f>IF($F70="unclassified","N/A",(_xlfn.XLOOKUP($E70,Sheet2!$A:$A,Sheet2!AA:AA,"N/A",0,1)))</f>
        <v>1</v>
      </c>
      <c r="T70" s="25">
        <f>IF($F70="unclassified","N/A",(_xlfn.XLOOKUP($E70,Sheet2!$A:$A,Sheet2!AB:AB,"N/A",0,1)))</f>
        <v>1</v>
      </c>
      <c r="U70" s="11">
        <f>IF($F70="unclassified","N/A",(AVERAGE(Table325[[#This Row],[PO nr]:[Delivery Date]])))</f>
        <v>1</v>
      </c>
      <c r="V70" s="21"/>
      <c r="W70" s="21"/>
      <c r="X70" s="21"/>
      <c r="Y70" s="21"/>
      <c r="Z70" s="21"/>
    </row>
    <row r="71" spans="3:26" ht="15" customHeight="1" x14ac:dyDescent="0.3">
      <c r="C71" t="str">
        <f>_xlfn.XLOOKUP(Table325[[#This Row],[Customer]],'Top 300'!C:C,'Top 300'!A:A,"0",2,1)</f>
        <v>0</v>
      </c>
      <c r="D71" s="30" t="str">
        <f>_xlfn.XLOOKUP(Table325[[#This Row],[File Name]],'Analyse 2 Detail 02-03'!A:A,'Analyse 2 Detail 02-03'!R:R,"Not Found",0,1)</f>
        <v>Duomed Belgium NV/SA</v>
      </c>
      <c r="E71" s="2" t="s">
        <v>183</v>
      </c>
      <c r="F71" s="64" t="s">
        <v>9</v>
      </c>
      <c r="G71" s="71">
        <v>0</v>
      </c>
      <c r="H71" s="25">
        <f>IF($F71="unclassified","N/A",(_xlfn.XLOOKUP($E71,Sheet2!$A:$A,Sheet2!Q:Q,"N/A",0,1)))</f>
        <v>1</v>
      </c>
      <c r="I71" s="25">
        <f>IF($F71="unclassified","N/A",(_xlfn.XLOOKUP($E71,Sheet2!$A:$A,Sheet2!R:R,"N/A",0,1)))</f>
        <v>1</v>
      </c>
      <c r="J71" s="25">
        <f>IF($F71="unclassified","N/A",(_xlfn.XLOOKUP($E71,Sheet2!$A:$A,Sheet2!S:S,"N/A",0,1)))</f>
        <v>1</v>
      </c>
      <c r="K71" s="25">
        <f>IF($F71="unclassified","N/A",(_xlfn.XLOOKUP($E71,Sheet2!$A:$A,Sheet2!T:T,"N/A",0,1)))</f>
        <v>1</v>
      </c>
      <c r="L71" s="25">
        <f>IF($F71="unclassified","N/A",(_xlfn.XLOOKUP($E71,Sheet2!$A:$A,Sheet2!U:U,"N/A",0,1)))</f>
        <v>1</v>
      </c>
      <c r="M71" s="9">
        <f>IF($F71="unclassified","N/A",(_xlfn.XLOOKUP($E71,Sheet2!$A:$A,Sheet2!V:V,"N/A",0,1)))</f>
        <v>1</v>
      </c>
      <c r="N71" s="25"/>
      <c r="O71" s="25">
        <f>IF($F71="unclassified","N/A",(_xlfn.XLOOKUP($E71,Sheet2!$A:$A,Sheet2!W:W,"N/A",0,1)))</f>
        <v>1</v>
      </c>
      <c r="P71" s="25">
        <f>IF($F71="unclassified","N/A",(_xlfn.XLOOKUP($E71,Sheet2!$A:$A,Sheet2!X:X,"N/A",0,1)))</f>
        <v>1</v>
      </c>
      <c r="Q71" s="25">
        <f>IF($F71="unclassified","N/A",(_xlfn.XLOOKUP($E71,Sheet2!$A:$A,Sheet2!Y:Y,"N/A",0,1)))</f>
        <v>1</v>
      </c>
      <c r="R71" s="25">
        <f>IF($F71="unclassified","N/A",(_xlfn.XLOOKUP($E71,Sheet2!$A:$A,Sheet2!Z:Z,"N/A",0,1)))</f>
        <v>1</v>
      </c>
      <c r="S71" s="25">
        <f>IF($F71="unclassified","N/A",(_xlfn.XLOOKUP($E71,Sheet2!$A:$A,Sheet2!AA:AA,"N/A",0,1)))</f>
        <v>1</v>
      </c>
      <c r="T71" s="25">
        <f>IF($F71="unclassified","N/A",(_xlfn.XLOOKUP($E71,Sheet2!$A:$A,Sheet2!AB:AB,"N/A",0,1)))</f>
        <v>1</v>
      </c>
      <c r="U71" s="11">
        <f>IF($F71="unclassified","N/A",(AVERAGE(Table325[[#This Row],[PO nr]:[Delivery Date]])))</f>
        <v>1</v>
      </c>
      <c r="V71" s="21"/>
      <c r="W71" s="21"/>
      <c r="X71" s="21"/>
      <c r="Y71" s="21"/>
      <c r="Z71" s="21"/>
    </row>
    <row r="72" spans="3:26" ht="15" customHeight="1" x14ac:dyDescent="0.3">
      <c r="C72" t="str">
        <f>_xlfn.XLOOKUP(Table325[[#This Row],[Customer]],'Top 300'!C:C,'Top 300'!A:A,"0",2,1)</f>
        <v>0</v>
      </c>
      <c r="D72" s="30" t="str">
        <f>_xlfn.XLOOKUP(Table325[[#This Row],[File Name]],'Analyse 2 Detail 02-03'!A:A,'Analyse 2 Detail 02-03'!R:R,"Not Found",0,1)</f>
        <v>Duomed Belgium NV/SA</v>
      </c>
      <c r="E72" s="2" t="s">
        <v>122</v>
      </c>
      <c r="F72" s="64" t="s">
        <v>9</v>
      </c>
      <c r="G72" s="71">
        <v>0</v>
      </c>
      <c r="H72" s="25">
        <f>IF($F72="unclassified","N/A",(_xlfn.XLOOKUP($E72,Sheet2!$A:$A,Sheet2!Q:Q,"N/A",0,1)))</f>
        <v>1</v>
      </c>
      <c r="I72" s="25">
        <f>IF($F72="unclassified","N/A",(_xlfn.XLOOKUP($E72,Sheet2!$A:$A,Sheet2!R:R,"N/A",0,1)))</f>
        <v>1</v>
      </c>
      <c r="J72" s="25">
        <f>IF($F72="unclassified","N/A",(_xlfn.XLOOKUP($E72,Sheet2!$A:$A,Sheet2!S:S,"N/A",0,1)))</f>
        <v>1</v>
      </c>
      <c r="K72" s="25">
        <f>IF($F72="unclassified","N/A",(_xlfn.XLOOKUP($E72,Sheet2!$A:$A,Sheet2!T:T,"N/A",0,1)))</f>
        <v>1</v>
      </c>
      <c r="L72" s="25">
        <f>IF($F72="unclassified","N/A",(_xlfn.XLOOKUP($E72,Sheet2!$A:$A,Sheet2!U:U,"N/A",0,1)))</f>
        <v>1</v>
      </c>
      <c r="M72" s="9">
        <f>IF($F72="unclassified","N/A",(_xlfn.XLOOKUP($E72,Sheet2!$A:$A,Sheet2!V:V,"N/A",0,1)))</f>
        <v>1</v>
      </c>
      <c r="N72" s="25"/>
      <c r="O72" s="25">
        <f>IF($F72="unclassified","N/A",(_xlfn.XLOOKUP($E72,Sheet2!$A:$A,Sheet2!W:W,"N/A",0,1)))</f>
        <v>1</v>
      </c>
      <c r="P72" s="25">
        <f>IF($F72="unclassified","N/A",(_xlfn.XLOOKUP($E72,Sheet2!$A:$A,Sheet2!X:X,"N/A",0,1)))</f>
        <v>1</v>
      </c>
      <c r="Q72" s="25">
        <f>IF($F72="unclassified","N/A",(_xlfn.XLOOKUP($E72,Sheet2!$A:$A,Sheet2!Y:Y,"N/A",0,1)))</f>
        <v>1</v>
      </c>
      <c r="R72" s="25">
        <f>IF($F72="unclassified","N/A",(_xlfn.XLOOKUP($E72,Sheet2!$A:$A,Sheet2!Z:Z,"N/A",0,1)))</f>
        <v>1</v>
      </c>
      <c r="S72" s="25">
        <f>IF($F72="unclassified","N/A",(_xlfn.XLOOKUP($E72,Sheet2!$A:$A,Sheet2!AA:AA,"N/A",0,1)))</f>
        <v>1</v>
      </c>
      <c r="T72" s="25">
        <f>IF($F72="unclassified","N/A",(_xlfn.XLOOKUP($E72,Sheet2!$A:$A,Sheet2!AB:AB,"N/A",0,1)))</f>
        <v>1</v>
      </c>
      <c r="U72" s="11">
        <f>IF($F72="unclassified","N/A",(AVERAGE(Table325[[#This Row],[PO nr]:[Delivery Date]])))</f>
        <v>1</v>
      </c>
      <c r="V72" s="21"/>
      <c r="W72" s="21"/>
      <c r="X72" s="21"/>
      <c r="Y72" s="21"/>
      <c r="Z72" s="21"/>
    </row>
    <row r="73" spans="3:26" ht="15" customHeight="1" x14ac:dyDescent="0.3">
      <c r="C73" t="str">
        <f>_xlfn.XLOOKUP(Table325[[#This Row],[Customer]],'Top 300'!C:C,'Top 300'!A:A,"0",2,1)</f>
        <v>0</v>
      </c>
      <c r="D73" s="30" t="str">
        <f>_xlfn.XLOOKUP(Table325[[#This Row],[File Name]],'Analyse 2 Detail 02-03'!A:A,'Analyse 2 Detail 02-03'!R:R,"Not Found",0,1)</f>
        <v>Duomed Belgium NV/SA</v>
      </c>
      <c r="E73" s="2" t="s">
        <v>187</v>
      </c>
      <c r="F73" s="64" t="s">
        <v>9</v>
      </c>
      <c r="G73" s="71">
        <v>0</v>
      </c>
      <c r="H73" s="25">
        <f>IF($F73="unclassified","N/A",(_xlfn.XLOOKUP($E73,Sheet2!$A:$A,Sheet2!Q:Q,"N/A",0,1)))</f>
        <v>1</v>
      </c>
      <c r="I73" s="25">
        <f>IF($F73="unclassified","N/A",(_xlfn.XLOOKUP($E73,Sheet2!$A:$A,Sheet2!R:R,"N/A",0,1)))</f>
        <v>1</v>
      </c>
      <c r="J73" s="25">
        <f>IF($F73="unclassified","N/A",(_xlfn.XLOOKUP($E73,Sheet2!$A:$A,Sheet2!S:S,"N/A",0,1)))</f>
        <v>1</v>
      </c>
      <c r="K73" s="25">
        <f>IF($F73="unclassified","N/A",(_xlfn.XLOOKUP($E73,Sheet2!$A:$A,Sheet2!T:T,"N/A",0,1)))</f>
        <v>1</v>
      </c>
      <c r="L73" s="25">
        <f>IF($F73="unclassified","N/A",(_xlfn.XLOOKUP($E73,Sheet2!$A:$A,Sheet2!U:U,"N/A",0,1)))</f>
        <v>1</v>
      </c>
      <c r="M73" s="9">
        <f>IF($F73="unclassified","N/A",(_xlfn.XLOOKUP($E73,Sheet2!$A:$A,Sheet2!V:V,"N/A",0,1)))</f>
        <v>1</v>
      </c>
      <c r="N73" s="25"/>
      <c r="O73" s="25">
        <f>IF($F73="unclassified","N/A",(_xlfn.XLOOKUP($E73,Sheet2!$A:$A,Sheet2!W:W,"N/A",0,1)))</f>
        <v>1</v>
      </c>
      <c r="P73" s="25">
        <f>IF($F73="unclassified","N/A",(_xlfn.XLOOKUP($E73,Sheet2!$A:$A,Sheet2!X:X,"N/A",0,1)))</f>
        <v>1</v>
      </c>
      <c r="Q73" s="25">
        <f>IF($F73="unclassified","N/A",(_xlfn.XLOOKUP($E73,Sheet2!$A:$A,Sheet2!Y:Y,"N/A",0,1)))</f>
        <v>1</v>
      </c>
      <c r="R73" s="25">
        <f>IF($F73="unclassified","N/A",(_xlfn.XLOOKUP($E73,Sheet2!$A:$A,Sheet2!Z:Z,"N/A",0,1)))</f>
        <v>1</v>
      </c>
      <c r="S73" s="25">
        <f>IF($F73="unclassified","N/A",(_xlfn.XLOOKUP($E73,Sheet2!$A:$A,Sheet2!AA:AA,"N/A",0,1)))</f>
        <v>1</v>
      </c>
      <c r="T73" s="25">
        <f>IF($F73="unclassified","N/A",(_xlfn.XLOOKUP($E73,Sheet2!$A:$A,Sheet2!AB:AB,"N/A",0,1)))</f>
        <v>1</v>
      </c>
      <c r="U73" s="11">
        <f>IF($F73="unclassified","N/A",(AVERAGE(Table325[[#This Row],[PO nr]:[Delivery Date]])))</f>
        <v>1</v>
      </c>
      <c r="V73" s="21"/>
      <c r="W73" s="21"/>
      <c r="X73" s="21"/>
      <c r="Y73" s="21"/>
      <c r="Z73" s="21"/>
    </row>
    <row r="74" spans="3:26" ht="15" customHeight="1" x14ac:dyDescent="0.3">
      <c r="C74" t="str">
        <f>_xlfn.XLOOKUP(Table325[[#This Row],[Customer]],'Top 300'!C:C,'Top 300'!A:A,"0",2,1)</f>
        <v>0</v>
      </c>
      <c r="D74" s="30">
        <f>_xlfn.XLOOKUP(Table325[[#This Row],[File Name]],'Analyse 2 Detail 02-03'!A:A,'Analyse 2 Detail 02-03'!R:R,"Not Found",0,1)</f>
        <v>0</v>
      </c>
      <c r="E74" s="2" t="s">
        <v>160</v>
      </c>
      <c r="F74" s="64" t="s">
        <v>9</v>
      </c>
      <c r="G74" s="71">
        <v>0</v>
      </c>
      <c r="H74" s="25">
        <v>1</v>
      </c>
      <c r="I74" s="25">
        <v>1</v>
      </c>
      <c r="J74" s="25">
        <v>1</v>
      </c>
      <c r="K74" s="25">
        <v>1</v>
      </c>
      <c r="L74" s="25">
        <v>1</v>
      </c>
      <c r="M74" s="9">
        <v>1</v>
      </c>
      <c r="N74" s="25"/>
      <c r="O74" s="25">
        <v>1</v>
      </c>
      <c r="P74" s="25">
        <v>1</v>
      </c>
      <c r="Q74" s="25">
        <v>1</v>
      </c>
      <c r="R74" s="25">
        <v>1</v>
      </c>
      <c r="S74" s="25">
        <v>1</v>
      </c>
      <c r="T74" s="25">
        <v>1</v>
      </c>
      <c r="U74" s="11">
        <f>IF($F74="unclassified","N/A",(AVERAGE(Table325[[#This Row],[PO nr]:[Delivery Date]])))</f>
        <v>1</v>
      </c>
      <c r="V74" s="21"/>
      <c r="W74" s="21"/>
      <c r="X74" s="21"/>
      <c r="Y74" s="21"/>
      <c r="Z74" s="21"/>
    </row>
    <row r="75" spans="3:26" ht="15" customHeight="1" x14ac:dyDescent="0.3">
      <c r="C75" t="str">
        <f>_xlfn.XLOOKUP(Table325[[#This Row],[Customer]],'Top 300'!C:C,'Top 300'!A:A,"0",2,1)</f>
        <v>0</v>
      </c>
      <c r="D75" s="30" t="str">
        <f>_xlfn.XLOOKUP(Table325[[#This Row],[File Name]],'Analyse 2 Detail 02-03'!A:A,'Analyse 2 Detail 02-03'!R:R,"Not Found",0,1)</f>
        <v>Medica Europe B.V.</v>
      </c>
      <c r="E75" s="2" t="s">
        <v>109</v>
      </c>
      <c r="F75" s="64" t="s">
        <v>9</v>
      </c>
      <c r="G75" s="71">
        <v>0</v>
      </c>
      <c r="H75" s="25">
        <f>IF($F75="unclassified","N/A",(_xlfn.XLOOKUP($E75,Sheet2!$A:$A,Sheet2!Q:Q,"N/A",0,1)))</f>
        <v>1</v>
      </c>
      <c r="I75" s="25">
        <f>IF($F75="unclassified","N/A",(_xlfn.XLOOKUP($E75,Sheet2!$A:$A,Sheet2!R:R,"N/A",0,1)))</f>
        <v>1</v>
      </c>
      <c r="J75" s="25">
        <f>IF($F75="unclassified","N/A",(_xlfn.XLOOKUP($E75,Sheet2!$A:$A,Sheet2!S:S,"N/A",0,1)))</f>
        <v>1</v>
      </c>
      <c r="K75" s="25">
        <f>IF($F75="unclassified","N/A",(_xlfn.XLOOKUP($E75,Sheet2!$A:$A,Sheet2!T:T,"N/A",0,1)))</f>
        <v>1</v>
      </c>
      <c r="L75" s="25">
        <f>IF($F75="unclassified","N/A",(_xlfn.XLOOKUP($E75,Sheet2!$A:$A,Sheet2!U:U,"N/A",0,1)))</f>
        <v>1</v>
      </c>
      <c r="M75" s="9">
        <f>IF($F75="unclassified","N/A",(_xlfn.XLOOKUP($E75,Sheet2!$A:$A,Sheet2!V:V,"N/A",0,1)))</f>
        <v>1</v>
      </c>
      <c r="N75" s="25"/>
      <c r="O75" s="25">
        <f>IF($F75="unclassified","N/A",(_xlfn.XLOOKUP($E75,Sheet2!$A:$A,Sheet2!W:W,"N/A",0,1)))</f>
        <v>1</v>
      </c>
      <c r="P75" s="25">
        <f>IF($F75="unclassified","N/A",(_xlfn.XLOOKUP($E75,Sheet2!$A:$A,Sheet2!X:X,"N/A",0,1)))</f>
        <v>1</v>
      </c>
      <c r="Q75" s="25">
        <f>IF($F75="unclassified","N/A",(_xlfn.XLOOKUP($E75,Sheet2!$A:$A,Sheet2!Y:Y,"N/A",0,1)))</f>
        <v>1</v>
      </c>
      <c r="R75" s="25">
        <f>IF($F75="unclassified","N/A",(_xlfn.XLOOKUP($E75,Sheet2!$A:$A,Sheet2!Z:Z,"N/A",0,1)))</f>
        <v>1</v>
      </c>
      <c r="S75" s="25">
        <f>IF($F75="unclassified","N/A",(_xlfn.XLOOKUP($E75,Sheet2!$A:$A,Sheet2!AA:AA,"N/A",0,1)))</f>
        <v>1</v>
      </c>
      <c r="T75" s="25">
        <f>IF($F75="unclassified","N/A",(_xlfn.XLOOKUP($E75,Sheet2!$A:$A,Sheet2!AB:AB,"N/A",0,1)))</f>
        <v>1</v>
      </c>
      <c r="U75" s="11">
        <f>IF($F75="unclassified","N/A",(AVERAGE(Table325[[#This Row],[PO nr]:[Delivery Date]])))</f>
        <v>1</v>
      </c>
      <c r="V75" s="21"/>
      <c r="W75" s="21"/>
      <c r="X75" s="21"/>
      <c r="Y75" s="21"/>
      <c r="Z75" s="21"/>
    </row>
    <row r="76" spans="3:26" ht="15" customHeight="1" x14ac:dyDescent="0.3">
      <c r="C76" t="str">
        <f>_xlfn.XLOOKUP(Table325[[#This Row],[Customer]],'Top 300'!C:C,'Top 300'!A:A,"0",2,1)</f>
        <v>0</v>
      </c>
      <c r="D76" s="30" t="str">
        <f>_xlfn.XLOOKUP(Table325[[#This Row],[File Name]],'Analyse 2 Detail 02-03'!A:A,'Analyse 2 Detail 02-03'!R:R,"Not Found",0,1)</f>
        <v>Medica Europe B.V.</v>
      </c>
      <c r="E76" s="2" t="s">
        <v>109</v>
      </c>
      <c r="F76" s="64" t="s">
        <v>9</v>
      </c>
      <c r="G76" s="71">
        <v>0</v>
      </c>
      <c r="H76" s="25">
        <f>IF($F76="unclassified","N/A",(_xlfn.XLOOKUP($E76,Sheet2!$A:$A,Sheet2!Q:Q,"N/A",0,1)))</f>
        <v>1</v>
      </c>
      <c r="I76" s="25">
        <f>IF($F76="unclassified","N/A",(_xlfn.XLOOKUP($E76,Sheet2!$A:$A,Sheet2!R:R,"N/A",0,1)))</f>
        <v>1</v>
      </c>
      <c r="J76" s="25">
        <f>IF($F76="unclassified","N/A",(_xlfn.XLOOKUP($E76,Sheet2!$A:$A,Sheet2!S:S,"N/A",0,1)))</f>
        <v>1</v>
      </c>
      <c r="K76" s="25">
        <f>IF($F76="unclassified","N/A",(_xlfn.XLOOKUP($E76,Sheet2!$A:$A,Sheet2!T:T,"N/A",0,1)))</f>
        <v>1</v>
      </c>
      <c r="L76" s="25">
        <f>IF($F76="unclassified","N/A",(_xlfn.XLOOKUP($E76,Sheet2!$A:$A,Sheet2!U:U,"N/A",0,1)))</f>
        <v>1</v>
      </c>
      <c r="M76" s="9">
        <f>IF($F76="unclassified","N/A",(_xlfn.XLOOKUP($E76,Sheet2!$A:$A,Sheet2!V:V,"N/A",0,1)))</f>
        <v>1</v>
      </c>
      <c r="N76" s="25"/>
      <c r="O76" s="25">
        <f>IF($F76="unclassified","N/A",(_xlfn.XLOOKUP($E76,Sheet2!$A:$A,Sheet2!W:W,"N/A",0,1)))</f>
        <v>1</v>
      </c>
      <c r="P76" s="25">
        <f>IF($F76="unclassified","N/A",(_xlfn.XLOOKUP($E76,Sheet2!$A:$A,Sheet2!X:X,"N/A",0,1)))</f>
        <v>1</v>
      </c>
      <c r="Q76" s="25">
        <f>IF($F76="unclassified","N/A",(_xlfn.XLOOKUP($E76,Sheet2!$A:$A,Sheet2!Y:Y,"N/A",0,1)))</f>
        <v>1</v>
      </c>
      <c r="R76" s="25">
        <f>IF($F76="unclassified","N/A",(_xlfn.XLOOKUP($E76,Sheet2!$A:$A,Sheet2!Z:Z,"N/A",0,1)))</f>
        <v>1</v>
      </c>
      <c r="S76" s="25">
        <f>IF($F76="unclassified","N/A",(_xlfn.XLOOKUP($E76,Sheet2!$A:$A,Sheet2!AA:AA,"N/A",0,1)))</f>
        <v>1</v>
      </c>
      <c r="T76" s="25">
        <f>IF($F76="unclassified","N/A",(_xlfn.XLOOKUP($E76,Sheet2!$A:$A,Sheet2!AB:AB,"N/A",0,1)))</f>
        <v>1</v>
      </c>
      <c r="U76" s="11">
        <f>IF($F76="unclassified","N/A",(AVERAGE(Table325[[#This Row],[PO nr]:[Delivery Date]])))</f>
        <v>1</v>
      </c>
      <c r="V76" s="21"/>
      <c r="W76" s="21"/>
      <c r="X76" s="21"/>
      <c r="Y76" s="21"/>
      <c r="Z76" s="21"/>
    </row>
    <row r="77" spans="3:26" ht="15" customHeight="1" x14ac:dyDescent="0.3">
      <c r="C77" t="str">
        <f>_xlfn.XLOOKUP(Table325[[#This Row],[Customer]],'Top 300'!C:C,'Top 300'!A:A,"0",2,1)</f>
        <v>0</v>
      </c>
      <c r="D77" s="30" t="str">
        <f>_xlfn.XLOOKUP(Table325[[#This Row],[File Name]],'Analyse 2 Detail 02-03'!A:A,'Analyse 2 Detail 02-03'!R:R,"Not Found",0,1)</f>
        <v>Fresenius Medical Care Nederland BV</v>
      </c>
      <c r="E77" s="2" t="s">
        <v>179</v>
      </c>
      <c r="F77" s="64" t="s">
        <v>9</v>
      </c>
      <c r="G77" s="71">
        <v>5</v>
      </c>
      <c r="H77" s="25">
        <f>IF($F77="unclassified","N/A",(_xlfn.XLOOKUP($E77,Sheet2!$A:$A,Sheet2!Q:Q,"N/A",0,1)))</f>
        <v>1</v>
      </c>
      <c r="I77" s="25">
        <f>IF($F77="unclassified","N/A",(_xlfn.XLOOKUP($E77,Sheet2!$A:$A,Sheet2!R:R,"N/A",0,1)))</f>
        <v>1</v>
      </c>
      <c r="J77" s="25">
        <f>IF($F77="unclassified","N/A",(_xlfn.XLOOKUP($E77,Sheet2!$A:$A,Sheet2!S:S,"N/A",0,1)))</f>
        <v>1</v>
      </c>
      <c r="K77" s="25">
        <f>IF($F77="unclassified","N/A",(_xlfn.XLOOKUP($E77,Sheet2!$A:$A,Sheet2!T:T,"N/A",0,1)))</f>
        <v>1</v>
      </c>
      <c r="L77" s="25">
        <f>IF($F77="unclassified","N/A",(_xlfn.XLOOKUP($E77,Sheet2!$A:$A,Sheet2!U:U,"N/A",0,1)))</f>
        <v>1</v>
      </c>
      <c r="M77" s="25">
        <f>IF($F77="unclassified","N/A",(_xlfn.XLOOKUP($E77,Sheet2!$A:$A,Sheet2!V:V,"N/A",0,1)))</f>
        <v>1</v>
      </c>
      <c r="N77" s="25"/>
      <c r="O77" s="25">
        <f>IF($F77="unclassified","N/A",(_xlfn.XLOOKUP($E77,Sheet2!$A:$A,Sheet2!W:W,"N/A",0,1)))</f>
        <v>1</v>
      </c>
      <c r="P77" s="25">
        <f>IF($F77="unclassified","N/A",(_xlfn.XLOOKUP($E77,Sheet2!$A:$A,Sheet2!X:X,"N/A",0,1)))</f>
        <v>1</v>
      </c>
      <c r="Q77" s="25">
        <f>IF($F77="unclassified","N/A",(_xlfn.XLOOKUP($E77,Sheet2!$A:$A,Sheet2!Y:Y,"N/A",0,1)))</f>
        <v>1</v>
      </c>
      <c r="R77" s="25">
        <f>IF($F77="unclassified","N/A",(_xlfn.XLOOKUP($E77,Sheet2!$A:$A,Sheet2!Z:Z,"N/A",0,1)))</f>
        <v>1</v>
      </c>
      <c r="S77" s="25">
        <f>IF($F77="unclassified","N/A",(_xlfn.XLOOKUP($E77,Sheet2!$A:$A,Sheet2!AA:AA,"N/A",0,1)))</f>
        <v>0.83333333333333337</v>
      </c>
      <c r="T77" s="25">
        <f>IF($F77="unclassified","N/A",(_xlfn.XLOOKUP($E77,Sheet2!$A:$A,Sheet2!AB:AB,"N/A",0,1)))</f>
        <v>0.33333333333333331</v>
      </c>
      <c r="U77" s="11">
        <f>IF($F77="unclassified","N/A",(AVERAGE(Table325[[#This Row],[PO nr]:[Delivery Date]])))</f>
        <v>0.93055555555555569</v>
      </c>
      <c r="V77" s="21" t="s">
        <v>214</v>
      </c>
      <c r="W77" s="21" t="s">
        <v>215</v>
      </c>
      <c r="X77" s="21"/>
      <c r="Y77" s="21"/>
      <c r="Z77" s="21"/>
    </row>
    <row r="78" spans="3:26" ht="15" customHeight="1" x14ac:dyDescent="0.3">
      <c r="C78" t="str">
        <f>_xlfn.XLOOKUP(Table325[[#This Row],[Customer]],'Top 300'!C:C,'Top 300'!A:A,"0",2,1)</f>
        <v>0</v>
      </c>
      <c r="D78" s="30">
        <f>_xlfn.XLOOKUP(Table325[[#This Row],[File Name]],'Analyse 2 Detail 02-03'!A:A,'Analyse 2 Detail 02-03'!R:R,"Not Found",0,1)</f>
        <v>0</v>
      </c>
      <c r="E78" s="2" t="s">
        <v>150</v>
      </c>
      <c r="F78" s="64" t="s">
        <v>9</v>
      </c>
      <c r="G78" s="71">
        <v>0</v>
      </c>
      <c r="H78" s="25">
        <v>1</v>
      </c>
      <c r="I78" s="25">
        <v>1</v>
      </c>
      <c r="J78" s="25">
        <v>1</v>
      </c>
      <c r="K78" s="25">
        <v>1</v>
      </c>
      <c r="L78" s="25">
        <v>1</v>
      </c>
      <c r="M78" s="9">
        <v>1</v>
      </c>
      <c r="N78" s="25"/>
      <c r="O78" s="25">
        <v>1</v>
      </c>
      <c r="P78" s="25">
        <v>1</v>
      </c>
      <c r="Q78" s="25">
        <v>1</v>
      </c>
      <c r="R78" s="25">
        <v>1</v>
      </c>
      <c r="S78" s="25">
        <v>1</v>
      </c>
      <c r="T78" s="25">
        <v>1</v>
      </c>
      <c r="U78" s="11">
        <f>IF($F78="unclassified","N/A",(AVERAGE(Table325[[#This Row],[PO nr]:[Delivery Date]])))</f>
        <v>1</v>
      </c>
      <c r="V78" s="21"/>
      <c r="W78" s="21"/>
      <c r="X78" s="21"/>
      <c r="Y78" s="21"/>
      <c r="Z78" s="21"/>
    </row>
    <row r="79" spans="3:26" ht="15" customHeight="1" x14ac:dyDescent="0.3">
      <c r="C79" t="str">
        <f>_xlfn.XLOOKUP(Table325[[#This Row],[Customer]],'Top 300'!C:C,'Top 300'!A:A,"0",2,1)</f>
        <v>0</v>
      </c>
      <c r="D79" s="30" t="str">
        <f>_xlfn.XLOOKUP(Table325[[#This Row],[File Name]],'Analyse 2 Detail 02-03'!A:A,'Analyse 2 Detail 02-03'!R:R,"Not Found",0,1)</f>
        <v>Fresenius Medical Care Nederland BV</v>
      </c>
      <c r="E79" s="2" t="s">
        <v>155</v>
      </c>
      <c r="F79" s="64" t="s">
        <v>9</v>
      </c>
      <c r="G79" s="71">
        <v>3</v>
      </c>
      <c r="H79" s="25">
        <f>IF($F79="unclassified","N/A",(_xlfn.XLOOKUP($E79,Sheet2!$A:$A,Sheet2!Q:Q,"N/A",0,1)))</f>
        <v>1</v>
      </c>
      <c r="I79" s="25">
        <f>IF($F79="unclassified","N/A",(_xlfn.XLOOKUP($E79,Sheet2!$A:$A,Sheet2!R:R,"N/A",0,1)))</f>
        <v>1</v>
      </c>
      <c r="J79" s="25">
        <f>IF($F79="unclassified","N/A",(_xlfn.XLOOKUP($E79,Sheet2!$A:$A,Sheet2!S:S,"N/A",0,1)))</f>
        <v>1</v>
      </c>
      <c r="K79" s="25">
        <f>IF($F79="unclassified","N/A",(_xlfn.XLOOKUP($E79,Sheet2!$A:$A,Sheet2!T:T,"N/A",0,1)))</f>
        <v>1</v>
      </c>
      <c r="L79" s="25">
        <f>IF($F79="unclassified","N/A",(_xlfn.XLOOKUP($E79,Sheet2!$A:$A,Sheet2!U:U,"N/A",0,1)))</f>
        <v>1</v>
      </c>
      <c r="M79" s="25">
        <f>IF($F79="unclassified","N/A",(_xlfn.XLOOKUP($E79,Sheet2!$A:$A,Sheet2!V:V,"N/A",0,1)))</f>
        <v>1</v>
      </c>
      <c r="N79" s="25"/>
      <c r="O79" s="25">
        <f>IF($F79="unclassified","N/A",(_xlfn.XLOOKUP($E79,Sheet2!$A:$A,Sheet2!W:W,"N/A",0,1)))</f>
        <v>1</v>
      </c>
      <c r="P79" s="25">
        <f>IF($F79="unclassified","N/A",(_xlfn.XLOOKUP($E79,Sheet2!$A:$A,Sheet2!X:X,"N/A",0,1)))</f>
        <v>1</v>
      </c>
      <c r="Q79" s="25">
        <f>IF($F79="unclassified","N/A",(_xlfn.XLOOKUP($E79,Sheet2!$A:$A,Sheet2!Y:Y,"N/A",0,1)))</f>
        <v>1</v>
      </c>
      <c r="R79" s="25">
        <f>IF($F79="unclassified","N/A",(_xlfn.XLOOKUP($E79,Sheet2!$A:$A,Sheet2!Z:Z,"N/A",0,1)))</f>
        <v>1</v>
      </c>
      <c r="S79" s="25">
        <f>IF($F79="unclassified","N/A",(_xlfn.XLOOKUP($E79,Sheet2!$A:$A,Sheet2!AA:AA,"N/A",0,1)))</f>
        <v>1</v>
      </c>
      <c r="T79" s="25">
        <f>IF($F79="unclassified","N/A",(_xlfn.XLOOKUP($E79,Sheet2!$A:$A,Sheet2!AB:AB,"N/A",0,1)))</f>
        <v>0</v>
      </c>
      <c r="U79" s="11">
        <f>IF($F79="unclassified","N/A",(AVERAGE(Table325[[#This Row],[PO nr]:[Delivery Date]])))</f>
        <v>0.91666666666666663</v>
      </c>
      <c r="V79" s="21" t="s">
        <v>216</v>
      </c>
      <c r="W79" s="21"/>
      <c r="X79" s="21"/>
      <c r="Y79" s="21"/>
      <c r="Z79" s="21"/>
    </row>
    <row r="80" spans="3:26" ht="15" customHeight="1" x14ac:dyDescent="0.3">
      <c r="C80" t="str">
        <f>_xlfn.XLOOKUP(Table325[[#This Row],[Customer]],'Top 300'!C:C,'Top 300'!A:A,"0",2,1)</f>
        <v>0</v>
      </c>
      <c r="D80" s="30" t="str">
        <f>_xlfn.XLOOKUP(Table325[[#This Row],[File Name]],'Analyse 2 Detail 02-03'!A:A,'Analyse 2 Detail 02-03'!R:R,"Not Found",0,1)</f>
        <v>Fresenius Medical Care Nederland BV</v>
      </c>
      <c r="E80" s="2" t="s">
        <v>138</v>
      </c>
      <c r="F80" s="64" t="s">
        <v>9</v>
      </c>
      <c r="G80" s="71">
        <v>1</v>
      </c>
      <c r="H80" s="25">
        <f>IF($F80="unclassified","N/A",(_xlfn.XLOOKUP($E80,Sheet2!$A:$A,Sheet2!Q:Q,"N/A",0,1)))</f>
        <v>1</v>
      </c>
      <c r="I80" s="25">
        <f>IF($F80="unclassified","N/A",(_xlfn.XLOOKUP($E80,Sheet2!$A:$A,Sheet2!R:R,"N/A",0,1)))</f>
        <v>1</v>
      </c>
      <c r="J80" s="25">
        <f>IF($F80="unclassified","N/A",(_xlfn.XLOOKUP($E80,Sheet2!$A:$A,Sheet2!S:S,"N/A",0,1)))</f>
        <v>1</v>
      </c>
      <c r="K80" s="25">
        <f>IF($F80="unclassified","N/A",(_xlfn.XLOOKUP($E80,Sheet2!$A:$A,Sheet2!T:T,"N/A",0,1)))</f>
        <v>1</v>
      </c>
      <c r="L80" s="25">
        <f>IF($F80="unclassified","N/A",(_xlfn.XLOOKUP($E80,Sheet2!$A:$A,Sheet2!U:U,"N/A",0,1)))</f>
        <v>1</v>
      </c>
      <c r="M80" s="25">
        <f>IF($F80="unclassified","N/A",(_xlfn.XLOOKUP($E80,Sheet2!$A:$A,Sheet2!V:V,"N/A",0,1)))</f>
        <v>1</v>
      </c>
      <c r="N80" s="25"/>
      <c r="O80" s="25">
        <f>IF($F80="unclassified","N/A",(_xlfn.XLOOKUP($E80,Sheet2!$A:$A,Sheet2!W:W,"N/A",0,1)))</f>
        <v>1</v>
      </c>
      <c r="P80" s="25">
        <f>IF($F80="unclassified","N/A",(_xlfn.XLOOKUP($E80,Sheet2!$A:$A,Sheet2!X:X,"N/A",0,1)))</f>
        <v>1</v>
      </c>
      <c r="Q80" s="25">
        <f>IF($F80="unclassified","N/A",(_xlfn.XLOOKUP($E80,Sheet2!$A:$A,Sheet2!Y:Y,"N/A",0,1)))</f>
        <v>1</v>
      </c>
      <c r="R80" s="25">
        <f>IF($F80="unclassified","N/A",(_xlfn.XLOOKUP($E80,Sheet2!$A:$A,Sheet2!Z:Z,"N/A",0,1)))</f>
        <v>1</v>
      </c>
      <c r="S80" s="25">
        <f>IF($F80="unclassified","N/A",(_xlfn.XLOOKUP($E80,Sheet2!$A:$A,Sheet2!AA:AA,"N/A",0,1)))</f>
        <v>0.53846153846153844</v>
      </c>
      <c r="T80" s="25">
        <f>IF($F80="unclassified","N/A",(_xlfn.XLOOKUP($E80,Sheet2!$A:$A,Sheet2!AB:AB,"N/A",0,1)))</f>
        <v>0</v>
      </c>
      <c r="U80" s="11">
        <f>IF($F80="unclassified","N/A",(AVERAGE(Table325[[#This Row],[PO nr]:[Delivery Date]])))</f>
        <v>0.87820512820512819</v>
      </c>
      <c r="V80" s="21" t="s">
        <v>217</v>
      </c>
      <c r="W80" s="21" t="s">
        <v>215</v>
      </c>
      <c r="X80" s="21"/>
      <c r="Y80" s="21"/>
      <c r="Z80" s="21"/>
    </row>
    <row r="81" spans="3:26" ht="15" customHeight="1" x14ac:dyDescent="0.3">
      <c r="C81" t="str">
        <f>_xlfn.XLOOKUP(Table325[[#This Row],[Customer]],'Top 300'!C:C,'Top 300'!A:A,"0",2,1)</f>
        <v>0</v>
      </c>
      <c r="D81" s="30">
        <f>_xlfn.XLOOKUP(Table325[[#This Row],[File Name]],'Analyse 2 Detail 02-03'!A:A,'Analyse 2 Detail 02-03'!R:R,"Not Found",0,1)</f>
        <v>0</v>
      </c>
      <c r="E81" s="2" t="s">
        <v>114</v>
      </c>
      <c r="F81" s="64" t="s">
        <v>11</v>
      </c>
      <c r="G81" s="71">
        <v>0</v>
      </c>
      <c r="H81" s="25" t="str">
        <f>IF($F81="unclassified","N/A",(_xlfn.XLOOKUP($E81,Sheet2!$A:$A,Sheet2!Q:Q,"N/A",0,1)))</f>
        <v>N/A</v>
      </c>
      <c r="I81" s="25" t="str">
        <f>IF($F81="unclassified","N/A",(_xlfn.XLOOKUP($E81,Sheet2!$A:$A,Sheet2!R:R,"N/A",0,1)))</f>
        <v>N/A</v>
      </c>
      <c r="J81" s="25" t="str">
        <f>IF($F81="unclassified","N/A",(_xlfn.XLOOKUP($E81,Sheet2!$A:$A,Sheet2!S:S,"N/A",0,1)))</f>
        <v>N/A</v>
      </c>
      <c r="K81" s="25" t="str">
        <f>IF($F81="unclassified","N/A",(_xlfn.XLOOKUP($E81,Sheet2!$A:$A,Sheet2!T:T,"N/A",0,1)))</f>
        <v>N/A</v>
      </c>
      <c r="L81" s="25" t="str">
        <f>IF($F81="unclassified","N/A",(_xlfn.XLOOKUP($E81,Sheet2!$A:$A,Sheet2!U:U,"N/A",0,1)))</f>
        <v>N/A</v>
      </c>
      <c r="M81" s="9" t="str">
        <f>IF($F81="unclassified","N/A",(_xlfn.XLOOKUP($E81,Sheet2!$A:$A,Sheet2!V:V,"N/A",0,1)))</f>
        <v>N/A</v>
      </c>
      <c r="N81" s="25"/>
      <c r="O81" s="25" t="str">
        <f>IF($F81="unclassified","N/A",(_xlfn.XLOOKUP($E81,Sheet2!$A:$A,Sheet2!W:W,"N/A",0,1)))</f>
        <v>N/A</v>
      </c>
      <c r="P81" s="25" t="str">
        <f>IF($F81="unclassified","N/A",(_xlfn.XLOOKUP($E81,Sheet2!$A:$A,Sheet2!X:X,"N/A",0,1)))</f>
        <v>N/A</v>
      </c>
      <c r="Q81" s="25" t="str">
        <f>IF($F81="unclassified","N/A",(_xlfn.XLOOKUP($E81,Sheet2!$A:$A,Sheet2!Y:Y,"N/A",0,1)))</f>
        <v>N/A</v>
      </c>
      <c r="R81" s="25" t="str">
        <f>IF($F81="unclassified","N/A",(_xlfn.XLOOKUP($E81,Sheet2!$A:$A,Sheet2!Z:Z,"N/A",0,1)))</f>
        <v>N/A</v>
      </c>
      <c r="S81" s="25" t="str">
        <f>IF($F81="unclassified","N/A",(_xlfn.XLOOKUP($E81,Sheet2!$A:$A,Sheet2!AA:AA,"N/A",0,1)))</f>
        <v>N/A</v>
      </c>
      <c r="T81" s="25" t="str">
        <f>IF($F81="unclassified","N/A",(_xlfn.XLOOKUP($E81,Sheet2!$A:$A,Sheet2!AB:AB,"N/A",0,1)))</f>
        <v>N/A</v>
      </c>
      <c r="U81" s="11" t="str">
        <f>IF($F81="unclassified","N/A",(AVERAGE(Table325[[#This Row],[PO nr]:[Delivery Date]])))</f>
        <v>N/A</v>
      </c>
      <c r="V81" s="21"/>
      <c r="W81" s="21"/>
      <c r="X81" s="21"/>
      <c r="Y81" s="21"/>
      <c r="Z81" s="21"/>
    </row>
    <row r="82" spans="3:26" ht="15" customHeight="1" x14ac:dyDescent="0.3">
      <c r="C82" t="str">
        <f>_xlfn.XLOOKUP(Table325[[#This Row],[Customer]],'Top 300'!C:C,'Top 300'!A:A,"0",2,1)</f>
        <v>0</v>
      </c>
      <c r="D82" s="30">
        <f>_xlfn.XLOOKUP(Table325[[#This Row],[File Name]],'Analyse 2 Detail 02-03'!A:A,'Analyse 2 Detail 02-03'!R:R,"Not Found",0,1)</f>
        <v>0</v>
      </c>
      <c r="E82" s="2" t="s">
        <v>186</v>
      </c>
      <c r="F82" s="64" t="s">
        <v>11</v>
      </c>
      <c r="G82" s="71">
        <v>0</v>
      </c>
      <c r="H82" s="25" t="str">
        <f>IF($F82="unclassified","N/A",(_xlfn.XLOOKUP($E82,Sheet2!$A:$A,Sheet2!Q:Q,"N/A",0,1)))</f>
        <v>N/A</v>
      </c>
      <c r="I82" s="25" t="str">
        <f>IF($F82="unclassified","N/A",(_xlfn.XLOOKUP($E82,Sheet2!$A:$A,Sheet2!R:R,"N/A",0,1)))</f>
        <v>N/A</v>
      </c>
      <c r="J82" s="25" t="str">
        <f>IF($F82="unclassified","N/A",(_xlfn.XLOOKUP($E82,Sheet2!$A:$A,Sheet2!S:S,"N/A",0,1)))</f>
        <v>N/A</v>
      </c>
      <c r="K82" s="25" t="str">
        <f>IF($F82="unclassified","N/A",(_xlfn.XLOOKUP($E82,Sheet2!$A:$A,Sheet2!T:T,"N/A",0,1)))</f>
        <v>N/A</v>
      </c>
      <c r="L82" s="25" t="str">
        <f>IF($F82="unclassified","N/A",(_xlfn.XLOOKUP($E82,Sheet2!$A:$A,Sheet2!U:U,"N/A",0,1)))</f>
        <v>N/A</v>
      </c>
      <c r="M82" s="9" t="str">
        <f>IF($F82="unclassified","N/A",(_xlfn.XLOOKUP($E82,Sheet2!$A:$A,Sheet2!V:V,"N/A",0,1)))</f>
        <v>N/A</v>
      </c>
      <c r="N82" s="25"/>
      <c r="O82" s="25" t="str">
        <f>IF($F82="unclassified","N/A",(_xlfn.XLOOKUP($E82,Sheet2!$A:$A,Sheet2!W:W,"N/A",0,1)))</f>
        <v>N/A</v>
      </c>
      <c r="P82" s="25" t="str">
        <f>IF($F82="unclassified","N/A",(_xlfn.XLOOKUP($E82,Sheet2!$A:$A,Sheet2!X:X,"N/A",0,1)))</f>
        <v>N/A</v>
      </c>
      <c r="Q82" s="25" t="str">
        <f>IF($F82="unclassified","N/A",(_xlfn.XLOOKUP($E82,Sheet2!$A:$A,Sheet2!Y:Y,"N/A",0,1)))</f>
        <v>N/A</v>
      </c>
      <c r="R82" s="25" t="str">
        <f>IF($F82="unclassified","N/A",(_xlfn.XLOOKUP($E82,Sheet2!$A:$A,Sheet2!Z:Z,"N/A",0,1)))</f>
        <v>N/A</v>
      </c>
      <c r="S82" s="25" t="str">
        <f>IF($F82="unclassified","N/A",(_xlfn.XLOOKUP($E82,Sheet2!$A:$A,Sheet2!AA:AA,"N/A",0,1)))</f>
        <v>N/A</v>
      </c>
      <c r="T82" s="25" t="str">
        <f>IF($F82="unclassified","N/A",(_xlfn.XLOOKUP($E82,Sheet2!$A:$A,Sheet2!AB:AB,"N/A",0,1)))</f>
        <v>N/A</v>
      </c>
      <c r="U82" s="11" t="str">
        <f>IF($F82="unclassified","N/A",(AVERAGE(Table325[[#This Row],[PO nr]:[Delivery Date]])))</f>
        <v>N/A</v>
      </c>
      <c r="V82" s="21"/>
      <c r="W82" s="21"/>
      <c r="X82" s="21"/>
      <c r="Y82" s="21"/>
      <c r="Z82" s="21"/>
    </row>
    <row r="83" spans="3:26" ht="15" customHeight="1" x14ac:dyDescent="0.3">
      <c r="C83" t="str">
        <f>_xlfn.XLOOKUP(Table325[[#This Row],[Customer]],'Top 300'!C:C,'Top 300'!A:A,"0",2,1)</f>
        <v>0</v>
      </c>
      <c r="D83" s="30">
        <f>_xlfn.XLOOKUP(Table325[[#This Row],[File Name]],'Analyse 2 Detail 02-03'!A:A,'Analyse 2 Detail 02-03'!R:R,"Not Found",0,1)</f>
        <v>0</v>
      </c>
      <c r="E83" s="2" t="s">
        <v>146</v>
      </c>
      <c r="F83" s="64" t="s">
        <v>11</v>
      </c>
      <c r="G83" s="71">
        <v>0</v>
      </c>
      <c r="H83" s="25" t="str">
        <f>IF($F83="unclassified","N/A",(_xlfn.XLOOKUP($E83,Sheet2!$A:$A,Sheet2!Q:Q,"N/A",0,1)))</f>
        <v>N/A</v>
      </c>
      <c r="I83" s="25" t="str">
        <f>IF($F83="unclassified","N/A",(_xlfn.XLOOKUP($E83,Sheet2!$A:$A,Sheet2!R:R,"N/A",0,1)))</f>
        <v>N/A</v>
      </c>
      <c r="J83" s="25" t="str">
        <f>IF($F83="unclassified","N/A",(_xlfn.XLOOKUP($E83,Sheet2!$A:$A,Sheet2!S:S,"N/A",0,1)))</f>
        <v>N/A</v>
      </c>
      <c r="K83" s="25" t="str">
        <f>IF($F83="unclassified","N/A",(_xlfn.XLOOKUP($E83,Sheet2!$A:$A,Sheet2!T:T,"N/A",0,1)))</f>
        <v>N/A</v>
      </c>
      <c r="L83" s="25" t="str">
        <f>IF($F83="unclassified","N/A",(_xlfn.XLOOKUP($E83,Sheet2!$A:$A,Sheet2!U:U,"N/A",0,1)))</f>
        <v>N/A</v>
      </c>
      <c r="M83" s="9" t="str">
        <f>IF($F83="unclassified","N/A",(_xlfn.XLOOKUP($E83,Sheet2!$A:$A,Sheet2!V:V,"N/A",0,1)))</f>
        <v>N/A</v>
      </c>
      <c r="N83" s="25"/>
      <c r="O83" s="25" t="str">
        <f>IF($F83="unclassified","N/A",(_xlfn.XLOOKUP($E83,Sheet2!$A:$A,Sheet2!W:W,"N/A",0,1)))</f>
        <v>N/A</v>
      </c>
      <c r="P83" s="25" t="str">
        <f>IF($F83="unclassified","N/A",(_xlfn.XLOOKUP($E83,Sheet2!$A:$A,Sheet2!X:X,"N/A",0,1)))</f>
        <v>N/A</v>
      </c>
      <c r="Q83" s="25" t="str">
        <f>IF($F83="unclassified","N/A",(_xlfn.XLOOKUP($E83,Sheet2!$A:$A,Sheet2!Y:Y,"N/A",0,1)))</f>
        <v>N/A</v>
      </c>
      <c r="R83" s="25" t="str">
        <f>IF($F83="unclassified","N/A",(_xlfn.XLOOKUP($E83,Sheet2!$A:$A,Sheet2!Z:Z,"N/A",0,1)))</f>
        <v>N/A</v>
      </c>
      <c r="S83" s="25" t="str">
        <f>IF($F83="unclassified","N/A",(_xlfn.XLOOKUP($E83,Sheet2!$A:$A,Sheet2!AA:AA,"N/A",0,1)))</f>
        <v>N/A</v>
      </c>
      <c r="T83" s="25" t="str">
        <f>IF($F83="unclassified","N/A",(_xlfn.XLOOKUP($E83,Sheet2!$A:$A,Sheet2!AB:AB,"N/A",0,1)))</f>
        <v>N/A</v>
      </c>
      <c r="U83" s="11" t="str">
        <f>IF($F83="unclassified","N/A",(AVERAGE(Table325[[#This Row],[PO nr]:[Delivery Date]])))</f>
        <v>N/A</v>
      </c>
      <c r="V83" s="21"/>
      <c r="W83" s="21"/>
      <c r="X83" s="21"/>
      <c r="Y83" s="21"/>
      <c r="Z83" s="21"/>
    </row>
    <row r="84" spans="3:26" ht="15" customHeight="1" x14ac:dyDescent="0.3">
      <c r="C84" t="str">
        <f>_xlfn.XLOOKUP(Table325[[#This Row],[Customer]],'Top 300'!C:C,'Top 300'!A:A,"0",2,1)</f>
        <v>0</v>
      </c>
      <c r="D84" s="30">
        <f>_xlfn.XLOOKUP(Table325[[#This Row],[File Name]],'Analyse 2 Detail 02-03'!A:A,'Analyse 2 Detail 02-03'!R:R,"Not Found",0,1)</f>
        <v>0</v>
      </c>
      <c r="E84" s="2" t="s">
        <v>154</v>
      </c>
      <c r="F84" s="64" t="s">
        <v>11</v>
      </c>
      <c r="G84" s="71">
        <v>0</v>
      </c>
      <c r="H84" s="25" t="str">
        <f>IF($F84="unclassified","N/A",(_xlfn.XLOOKUP($E84,Sheet2!$A:$A,Sheet2!Q:Q,"N/A",0,1)))</f>
        <v>N/A</v>
      </c>
      <c r="I84" s="25" t="str">
        <f>IF($F84="unclassified","N/A",(_xlfn.XLOOKUP($E84,Sheet2!$A:$A,Sheet2!R:R,"N/A",0,1)))</f>
        <v>N/A</v>
      </c>
      <c r="J84" s="25" t="str">
        <f>IF($F84="unclassified","N/A",(_xlfn.XLOOKUP($E84,Sheet2!$A:$A,Sheet2!S:S,"N/A",0,1)))</f>
        <v>N/A</v>
      </c>
      <c r="K84" s="25" t="str">
        <f>IF($F84="unclassified","N/A",(_xlfn.XLOOKUP($E84,Sheet2!$A:$A,Sheet2!T:T,"N/A",0,1)))</f>
        <v>N/A</v>
      </c>
      <c r="L84" s="25" t="str">
        <f>IF($F84="unclassified","N/A",(_xlfn.XLOOKUP($E84,Sheet2!$A:$A,Sheet2!U:U,"N/A",0,1)))</f>
        <v>N/A</v>
      </c>
      <c r="M84" s="9" t="str">
        <f>IF($F84="unclassified","N/A",(_xlfn.XLOOKUP($E84,Sheet2!$A:$A,Sheet2!V:V,"N/A",0,1)))</f>
        <v>N/A</v>
      </c>
      <c r="N84" s="25"/>
      <c r="O84" s="25" t="str">
        <f>IF($F84="unclassified","N/A",(_xlfn.XLOOKUP($E84,Sheet2!$A:$A,Sheet2!W:W,"N/A",0,1)))</f>
        <v>N/A</v>
      </c>
      <c r="P84" s="25" t="str">
        <f>IF($F84="unclassified","N/A",(_xlfn.XLOOKUP($E84,Sheet2!$A:$A,Sheet2!X:X,"N/A",0,1)))</f>
        <v>N/A</v>
      </c>
      <c r="Q84" s="25" t="str">
        <f>IF($F84="unclassified","N/A",(_xlfn.XLOOKUP($E84,Sheet2!$A:$A,Sheet2!Y:Y,"N/A",0,1)))</f>
        <v>N/A</v>
      </c>
      <c r="R84" s="25" t="str">
        <f>IF($F84="unclassified","N/A",(_xlfn.XLOOKUP($E84,Sheet2!$A:$A,Sheet2!Z:Z,"N/A",0,1)))</f>
        <v>N/A</v>
      </c>
      <c r="S84" s="25" t="str">
        <f>IF($F84="unclassified","N/A",(_xlfn.XLOOKUP($E84,Sheet2!$A:$A,Sheet2!AA:AA,"N/A",0,1)))</f>
        <v>N/A</v>
      </c>
      <c r="T84" s="25" t="str">
        <f>IF($F84="unclassified","N/A",(_xlfn.XLOOKUP($E84,Sheet2!$A:$A,Sheet2!AB:AB,"N/A",0,1)))</f>
        <v>N/A</v>
      </c>
      <c r="U84" s="11" t="str">
        <f>IF($F84="unclassified","N/A",(AVERAGE(Table325[[#This Row],[PO nr]:[Delivery Date]])))</f>
        <v>N/A</v>
      </c>
      <c r="V84" s="21"/>
      <c r="W84" s="21"/>
      <c r="X84" s="21"/>
      <c r="Y84" s="21"/>
      <c r="Z84" s="21"/>
    </row>
    <row r="85" spans="3:26" ht="15" customHeight="1" x14ac:dyDescent="0.3">
      <c r="C85" t="str">
        <f>_xlfn.XLOOKUP(Table325[[#This Row],[Customer]],'Top 300'!C:C,'Top 300'!A:A,"0",2,1)</f>
        <v>0</v>
      </c>
      <c r="D85" s="30">
        <f>_xlfn.XLOOKUP(Table325[[#This Row],[File Name]],'Analyse 2 Detail 02-03'!A:A,'Analyse 2 Detail 02-03'!R:R,"Not Found",0,1)</f>
        <v>0</v>
      </c>
      <c r="E85" s="2" t="s">
        <v>164</v>
      </c>
      <c r="F85" s="64" t="s">
        <v>11</v>
      </c>
      <c r="G85" s="71">
        <v>0</v>
      </c>
      <c r="H85" s="25" t="str">
        <f>IF($F85="unclassified","N/A",(_xlfn.XLOOKUP($E85,Sheet2!$A:$A,Sheet2!Q:Q,"N/A",0,1)))</f>
        <v>N/A</v>
      </c>
      <c r="I85" s="25" t="str">
        <f>IF($F85="unclassified","N/A",(_xlfn.XLOOKUP($E85,Sheet2!$A:$A,Sheet2!R:R,"N/A",0,1)))</f>
        <v>N/A</v>
      </c>
      <c r="J85" s="25" t="str">
        <f>IF($F85="unclassified","N/A",(_xlfn.XLOOKUP($E85,Sheet2!$A:$A,Sheet2!S:S,"N/A",0,1)))</f>
        <v>N/A</v>
      </c>
      <c r="K85" s="25" t="str">
        <f>IF($F85="unclassified","N/A",(_xlfn.XLOOKUP($E85,Sheet2!$A:$A,Sheet2!T:T,"N/A",0,1)))</f>
        <v>N/A</v>
      </c>
      <c r="L85" s="25" t="str">
        <f>IF($F85="unclassified","N/A",(_xlfn.XLOOKUP($E85,Sheet2!$A:$A,Sheet2!U:U,"N/A",0,1)))</f>
        <v>N/A</v>
      </c>
      <c r="M85" s="9" t="str">
        <f>IF($F85="unclassified","N/A",(_xlfn.XLOOKUP($E85,Sheet2!$A:$A,Sheet2!V:V,"N/A",0,1)))</f>
        <v>N/A</v>
      </c>
      <c r="N85" s="25"/>
      <c r="O85" s="25" t="str">
        <f>IF($F85="unclassified","N/A",(_xlfn.XLOOKUP($E85,Sheet2!$A:$A,Sheet2!W:W,"N/A",0,1)))</f>
        <v>N/A</v>
      </c>
      <c r="P85" s="25" t="str">
        <f>IF($F85="unclassified","N/A",(_xlfn.XLOOKUP($E85,Sheet2!$A:$A,Sheet2!X:X,"N/A",0,1)))</f>
        <v>N/A</v>
      </c>
      <c r="Q85" s="25" t="str">
        <f>IF($F85="unclassified","N/A",(_xlfn.XLOOKUP($E85,Sheet2!$A:$A,Sheet2!Y:Y,"N/A",0,1)))</f>
        <v>N/A</v>
      </c>
      <c r="R85" s="25" t="str">
        <f>IF($F85="unclassified","N/A",(_xlfn.XLOOKUP($E85,Sheet2!$A:$A,Sheet2!Z:Z,"N/A",0,1)))</f>
        <v>N/A</v>
      </c>
      <c r="S85" s="25" t="str">
        <f>IF($F85="unclassified","N/A",(_xlfn.XLOOKUP($E85,Sheet2!$A:$A,Sheet2!AA:AA,"N/A",0,1)))</f>
        <v>N/A</v>
      </c>
      <c r="T85" s="25" t="str">
        <f>IF($F85="unclassified","N/A",(_xlfn.XLOOKUP($E85,Sheet2!$A:$A,Sheet2!AB:AB,"N/A",0,1)))</f>
        <v>N/A</v>
      </c>
      <c r="U85" s="11" t="str">
        <f>IF($F85="unclassified","N/A",(AVERAGE(Table325[[#This Row],[PO nr]:[Delivery Date]])))</f>
        <v>N/A</v>
      </c>
      <c r="V85" s="21"/>
      <c r="W85" s="21"/>
      <c r="X85" s="21"/>
      <c r="Y85" s="21"/>
      <c r="Z85" s="21"/>
    </row>
    <row r="86" spans="3:26" ht="15" customHeight="1" x14ac:dyDescent="0.3">
      <c r="C86" t="str">
        <f>_xlfn.XLOOKUP(Table325[[#This Row],[Customer]],'Top 300'!C:C,'Top 300'!A:A,"0",2,1)</f>
        <v>0</v>
      </c>
      <c r="D86" s="30">
        <f>_xlfn.XLOOKUP(Table325[[#This Row],[File Name]],'Analyse 2 Detail 02-03'!A:A,'Analyse 2 Detail 02-03'!R:R,"Not Found",0,1)</f>
        <v>0</v>
      </c>
      <c r="E86" s="2" t="s">
        <v>141</v>
      </c>
      <c r="F86" s="64" t="s">
        <v>11</v>
      </c>
      <c r="G86" s="71">
        <v>0</v>
      </c>
      <c r="H86" s="25" t="str">
        <f>IF($F86="unclassified","N/A",(_xlfn.XLOOKUP($E86,Sheet2!$A:$A,Sheet2!Q:Q,"N/A",0,1)))</f>
        <v>N/A</v>
      </c>
      <c r="I86" s="25" t="str">
        <f>IF($F86="unclassified","N/A",(_xlfn.XLOOKUP($E86,Sheet2!$A:$A,Sheet2!R:R,"N/A",0,1)))</f>
        <v>N/A</v>
      </c>
      <c r="J86" s="25" t="str">
        <f>IF($F86="unclassified","N/A",(_xlfn.XLOOKUP($E86,Sheet2!$A:$A,Sheet2!S:S,"N/A",0,1)))</f>
        <v>N/A</v>
      </c>
      <c r="K86" s="25" t="str">
        <f>IF($F86="unclassified","N/A",(_xlfn.XLOOKUP($E86,Sheet2!$A:$A,Sheet2!T:T,"N/A",0,1)))</f>
        <v>N/A</v>
      </c>
      <c r="L86" s="25" t="str">
        <f>IF($F86="unclassified","N/A",(_xlfn.XLOOKUP($E86,Sheet2!$A:$A,Sheet2!U:U,"N/A",0,1)))</f>
        <v>N/A</v>
      </c>
      <c r="M86" s="9" t="str">
        <f>IF($F86="unclassified","N/A",(_xlfn.XLOOKUP($E86,Sheet2!$A:$A,Sheet2!V:V,"N/A",0,1)))</f>
        <v>N/A</v>
      </c>
      <c r="N86" s="25"/>
      <c r="O86" s="25" t="str">
        <f>IF($F86="unclassified","N/A",(_xlfn.XLOOKUP($E86,Sheet2!$A:$A,Sheet2!W:W,"N/A",0,1)))</f>
        <v>N/A</v>
      </c>
      <c r="P86" s="25" t="str">
        <f>IF($F86="unclassified","N/A",(_xlfn.XLOOKUP($E86,Sheet2!$A:$A,Sheet2!X:X,"N/A",0,1)))</f>
        <v>N/A</v>
      </c>
      <c r="Q86" s="25" t="str">
        <f>IF($F86="unclassified","N/A",(_xlfn.XLOOKUP($E86,Sheet2!$A:$A,Sheet2!Y:Y,"N/A",0,1)))</f>
        <v>N/A</v>
      </c>
      <c r="R86" s="25" t="str">
        <f>IF($F86="unclassified","N/A",(_xlfn.XLOOKUP($E86,Sheet2!$A:$A,Sheet2!Z:Z,"N/A",0,1)))</f>
        <v>N/A</v>
      </c>
      <c r="S86" s="25" t="str">
        <f>IF($F86="unclassified","N/A",(_xlfn.XLOOKUP($E86,Sheet2!$A:$A,Sheet2!AA:AA,"N/A",0,1)))</f>
        <v>N/A</v>
      </c>
      <c r="T86" s="25" t="str">
        <f>IF($F86="unclassified","N/A",(_xlfn.XLOOKUP($E86,Sheet2!$A:$A,Sheet2!AB:AB,"N/A",0,1)))</f>
        <v>N/A</v>
      </c>
      <c r="U86" s="11" t="str">
        <f>IF($F86="unclassified","N/A",(AVERAGE(Table325[[#This Row],[PO nr]:[Delivery Date]])))</f>
        <v>N/A</v>
      </c>
      <c r="V86" s="21"/>
      <c r="W86" s="21"/>
      <c r="X86" s="21"/>
      <c r="Y86" s="21"/>
      <c r="Z86" s="21"/>
    </row>
    <row r="87" spans="3:26" ht="15" customHeight="1" x14ac:dyDescent="0.3">
      <c r="C87" t="str">
        <f>_xlfn.XLOOKUP(Table325[[#This Row],[Customer]],'Top 300'!C:C,'Top 300'!A:A,"0",2,1)</f>
        <v>0</v>
      </c>
      <c r="D87" s="30">
        <f>_xlfn.XLOOKUP(Table325[[#This Row],[File Name]],'Analyse 2 Detail 02-03'!A:A,'Analyse 2 Detail 02-03'!R:R,"Not Found",0,1)</f>
        <v>0</v>
      </c>
      <c r="E87" s="2" t="s">
        <v>141</v>
      </c>
      <c r="F87" s="64" t="s">
        <v>11</v>
      </c>
      <c r="G87" s="71">
        <v>0</v>
      </c>
      <c r="H87" s="25" t="str">
        <f>IF($F87="unclassified","N/A",(_xlfn.XLOOKUP($E87,Sheet2!$A:$A,Sheet2!Q:Q,"N/A",0,1)))</f>
        <v>N/A</v>
      </c>
      <c r="I87" s="25" t="str">
        <f>IF($F87="unclassified","N/A",(_xlfn.XLOOKUP($E87,Sheet2!$A:$A,Sheet2!R:R,"N/A",0,1)))</f>
        <v>N/A</v>
      </c>
      <c r="J87" s="25" t="str">
        <f>IF($F87="unclassified","N/A",(_xlfn.XLOOKUP($E87,Sheet2!$A:$A,Sheet2!S:S,"N/A",0,1)))</f>
        <v>N/A</v>
      </c>
      <c r="K87" s="25" t="str">
        <f>IF($F87="unclassified","N/A",(_xlfn.XLOOKUP($E87,Sheet2!$A:$A,Sheet2!T:T,"N/A",0,1)))</f>
        <v>N/A</v>
      </c>
      <c r="L87" s="25" t="str">
        <f>IF($F87="unclassified","N/A",(_xlfn.XLOOKUP($E87,Sheet2!$A:$A,Sheet2!U:U,"N/A",0,1)))</f>
        <v>N/A</v>
      </c>
      <c r="M87" s="9" t="str">
        <f>IF($F87="unclassified","N/A",(_xlfn.XLOOKUP($E87,Sheet2!$A:$A,Sheet2!V:V,"N/A",0,1)))</f>
        <v>N/A</v>
      </c>
      <c r="N87" s="25"/>
      <c r="O87" s="25" t="str">
        <f>IF($F87="unclassified","N/A",(_xlfn.XLOOKUP($E87,Sheet2!$A:$A,Sheet2!W:W,"N/A",0,1)))</f>
        <v>N/A</v>
      </c>
      <c r="P87" s="25" t="str">
        <f>IF($F87="unclassified","N/A",(_xlfn.XLOOKUP($E87,Sheet2!$A:$A,Sheet2!X:X,"N/A",0,1)))</f>
        <v>N/A</v>
      </c>
      <c r="Q87" s="25" t="str">
        <f>IF($F87="unclassified","N/A",(_xlfn.XLOOKUP($E87,Sheet2!$A:$A,Sheet2!Y:Y,"N/A",0,1)))</f>
        <v>N/A</v>
      </c>
      <c r="R87" s="25" t="str">
        <f>IF($F87="unclassified","N/A",(_xlfn.XLOOKUP($E87,Sheet2!$A:$A,Sheet2!Z:Z,"N/A",0,1)))</f>
        <v>N/A</v>
      </c>
      <c r="S87" s="25" t="str">
        <f>IF($F87="unclassified","N/A",(_xlfn.XLOOKUP($E87,Sheet2!$A:$A,Sheet2!AA:AA,"N/A",0,1)))</f>
        <v>N/A</v>
      </c>
      <c r="T87" s="25" t="str">
        <f>IF($F87="unclassified","N/A",(_xlfn.XLOOKUP($E87,Sheet2!$A:$A,Sheet2!AB:AB,"N/A",0,1)))</f>
        <v>N/A</v>
      </c>
      <c r="U87" s="11" t="str">
        <f>IF($F87="unclassified","N/A",(AVERAGE(Table325[[#This Row],[PO nr]:[Delivery Date]])))</f>
        <v>N/A</v>
      </c>
      <c r="V87" s="21"/>
      <c r="W87" s="21"/>
      <c r="X87" s="21"/>
      <c r="Y87" s="21"/>
      <c r="Z87" s="21"/>
    </row>
    <row r="88" spans="3:26" ht="15" customHeight="1" x14ac:dyDescent="0.3">
      <c r="C88" t="str">
        <f>_xlfn.XLOOKUP(Table325[[#This Row],[Customer]],'Top 300'!C:C,'Top 300'!A:A,"0",2,1)</f>
        <v>0</v>
      </c>
      <c r="D88" s="30">
        <f>_xlfn.XLOOKUP(Table325[[#This Row],[File Name]],'Analyse 2 Detail 02-03'!A:A,'Analyse 2 Detail 02-03'!R:R,"Not Found",0,1)</f>
        <v>0</v>
      </c>
      <c r="E88" s="2" t="s">
        <v>117</v>
      </c>
      <c r="F88" s="64" t="s">
        <v>11</v>
      </c>
      <c r="G88" s="71">
        <v>0</v>
      </c>
      <c r="H88" s="25" t="str">
        <f>IF($F88="unclassified","N/A",(_xlfn.XLOOKUP($E88,Sheet2!$A:$A,Sheet2!Q:Q,"N/A",0,1)))</f>
        <v>N/A</v>
      </c>
      <c r="I88" s="25" t="str">
        <f>IF($F88="unclassified","N/A",(_xlfn.XLOOKUP($E88,Sheet2!$A:$A,Sheet2!R:R,"N/A",0,1)))</f>
        <v>N/A</v>
      </c>
      <c r="J88" s="25" t="str">
        <f>IF($F88="unclassified","N/A",(_xlfn.XLOOKUP($E88,Sheet2!$A:$A,Sheet2!S:S,"N/A",0,1)))</f>
        <v>N/A</v>
      </c>
      <c r="K88" s="25" t="str">
        <f>IF($F88="unclassified","N/A",(_xlfn.XLOOKUP($E88,Sheet2!$A:$A,Sheet2!T:T,"N/A",0,1)))</f>
        <v>N/A</v>
      </c>
      <c r="L88" s="25" t="str">
        <f>IF($F88="unclassified","N/A",(_xlfn.XLOOKUP($E88,Sheet2!$A:$A,Sheet2!U:U,"N/A",0,1)))</f>
        <v>N/A</v>
      </c>
      <c r="M88" s="9" t="str">
        <f>IF($F88="unclassified","N/A",(_xlfn.XLOOKUP($E88,Sheet2!$A:$A,Sheet2!V:V,"N/A",0,1)))</f>
        <v>N/A</v>
      </c>
      <c r="N88" s="25"/>
      <c r="O88" s="25" t="str">
        <f>IF($F88="unclassified","N/A",(_xlfn.XLOOKUP($E88,Sheet2!$A:$A,Sheet2!W:W,"N/A",0,1)))</f>
        <v>N/A</v>
      </c>
      <c r="P88" s="25" t="str">
        <f>IF($F88="unclassified","N/A",(_xlfn.XLOOKUP($E88,Sheet2!$A:$A,Sheet2!X:X,"N/A",0,1)))</f>
        <v>N/A</v>
      </c>
      <c r="Q88" s="25" t="str">
        <f>IF($F88="unclassified","N/A",(_xlfn.XLOOKUP($E88,Sheet2!$A:$A,Sheet2!Y:Y,"N/A",0,1)))</f>
        <v>N/A</v>
      </c>
      <c r="R88" s="25" t="str">
        <f>IF($F88="unclassified","N/A",(_xlfn.XLOOKUP($E88,Sheet2!$A:$A,Sheet2!Z:Z,"N/A",0,1)))</f>
        <v>N/A</v>
      </c>
      <c r="S88" s="25" t="str">
        <f>IF($F88="unclassified","N/A",(_xlfn.XLOOKUP($E88,Sheet2!$A:$A,Sheet2!AA:AA,"N/A",0,1)))</f>
        <v>N/A</v>
      </c>
      <c r="T88" s="25" t="str">
        <f>IF($F88="unclassified","N/A",(_xlfn.XLOOKUP($E88,Sheet2!$A:$A,Sheet2!AB:AB,"N/A",0,1)))</f>
        <v>N/A</v>
      </c>
      <c r="U88" s="11" t="str">
        <f>IF($F88="unclassified","N/A",(AVERAGE(Table325[[#This Row],[PO nr]:[Delivery Date]])))</f>
        <v>N/A</v>
      </c>
      <c r="V88" s="21"/>
      <c r="W88" s="21"/>
      <c r="X88" s="21"/>
      <c r="Y88" s="21"/>
      <c r="Z88" s="21"/>
    </row>
    <row r="89" spans="3:26" ht="15" customHeight="1" x14ac:dyDescent="0.3">
      <c r="C89" t="str">
        <f>_xlfn.XLOOKUP(Table325[[#This Row],[Customer]],'Top 300'!C:C,'Top 300'!A:A,"0",2,1)</f>
        <v>0</v>
      </c>
      <c r="D89" s="30">
        <f>_xlfn.XLOOKUP(Table325[[#This Row],[File Name]],'Analyse 2 Detail 02-03'!A:A,'Analyse 2 Detail 02-03'!R:R,"Not Found",0,1)</f>
        <v>0</v>
      </c>
      <c r="E89" s="2" t="s">
        <v>168</v>
      </c>
      <c r="F89" s="64" t="s">
        <v>11</v>
      </c>
      <c r="G89" s="71">
        <v>0</v>
      </c>
      <c r="H89" s="25" t="str">
        <f>IF($F89="unclassified","N/A",(_xlfn.XLOOKUP($E89,Sheet2!$A:$A,Sheet2!Q:Q,"N/A",0,1)))</f>
        <v>N/A</v>
      </c>
      <c r="I89" s="25" t="str">
        <f>IF($F89="unclassified","N/A",(_xlfn.XLOOKUP($E89,Sheet2!$A:$A,Sheet2!R:R,"N/A",0,1)))</f>
        <v>N/A</v>
      </c>
      <c r="J89" s="25" t="str">
        <f>IF($F89="unclassified","N/A",(_xlfn.XLOOKUP($E89,Sheet2!$A:$A,Sheet2!S:S,"N/A",0,1)))</f>
        <v>N/A</v>
      </c>
      <c r="K89" s="25" t="str">
        <f>IF($F89="unclassified","N/A",(_xlfn.XLOOKUP($E89,Sheet2!$A:$A,Sheet2!T:T,"N/A",0,1)))</f>
        <v>N/A</v>
      </c>
      <c r="L89" s="25" t="str">
        <f>IF($F89="unclassified","N/A",(_xlfn.XLOOKUP($E89,Sheet2!$A:$A,Sheet2!U:U,"N/A",0,1)))</f>
        <v>N/A</v>
      </c>
      <c r="M89" s="9" t="str">
        <f>IF($F89="unclassified","N/A",(_xlfn.XLOOKUP($E89,Sheet2!$A:$A,Sheet2!V:V,"N/A",0,1)))</f>
        <v>N/A</v>
      </c>
      <c r="N89" s="25"/>
      <c r="O89" s="25" t="str">
        <f>IF($F89="unclassified","N/A",(_xlfn.XLOOKUP($E89,Sheet2!$A:$A,Sheet2!W:W,"N/A",0,1)))</f>
        <v>N/A</v>
      </c>
      <c r="P89" s="25" t="str">
        <f>IF($F89="unclassified","N/A",(_xlfn.XLOOKUP($E89,Sheet2!$A:$A,Sheet2!X:X,"N/A",0,1)))</f>
        <v>N/A</v>
      </c>
      <c r="Q89" s="25" t="str">
        <f>IF($F89="unclassified","N/A",(_xlfn.XLOOKUP($E89,Sheet2!$A:$A,Sheet2!Y:Y,"N/A",0,1)))</f>
        <v>N/A</v>
      </c>
      <c r="R89" s="25" t="str">
        <f>IF($F89="unclassified","N/A",(_xlfn.XLOOKUP($E89,Sheet2!$A:$A,Sheet2!Z:Z,"N/A",0,1)))</f>
        <v>N/A</v>
      </c>
      <c r="S89" s="25" t="str">
        <f>IF($F89="unclassified","N/A",(_xlfn.XLOOKUP($E89,Sheet2!$A:$A,Sheet2!AA:AA,"N/A",0,1)))</f>
        <v>N/A</v>
      </c>
      <c r="T89" s="25" t="str">
        <f>IF($F89="unclassified","N/A",(_xlfn.XLOOKUP($E89,Sheet2!$A:$A,Sheet2!AB:AB,"N/A",0,1)))</f>
        <v>N/A</v>
      </c>
      <c r="U89" s="11" t="str">
        <f>IF($F89="unclassified","N/A",(AVERAGE(Table325[[#This Row],[PO nr]:[Delivery Date]])))</f>
        <v>N/A</v>
      </c>
      <c r="V89" s="21"/>
      <c r="W89" s="21"/>
      <c r="X89" s="21"/>
      <c r="Y89" s="21"/>
      <c r="Z89" s="21"/>
    </row>
    <row r="90" spans="3:26" ht="15" customHeight="1" x14ac:dyDescent="0.3">
      <c r="C90" t="str">
        <f>_xlfn.XLOOKUP(Table325[[#This Row],[Customer]],'Top 300'!C:C,'Top 300'!A:A,"0",2,1)</f>
        <v>X</v>
      </c>
      <c r="D90" s="30" t="str">
        <f>_xlfn.XLOOKUP(Table325[[#This Row],[File Name]],'Analyse 2 Detail 02-03'!A:A,'Analyse 2 Detail 02-03'!R:R,"Not Found",0,1)</f>
        <v>QRS Healthcare BV</v>
      </c>
      <c r="E90" s="2" t="s">
        <v>180</v>
      </c>
      <c r="F90" s="64" t="s">
        <v>9</v>
      </c>
      <c r="G90" s="71">
        <v>0</v>
      </c>
      <c r="H90" s="25">
        <f>IF($F90="unclassified","N/A",(_xlfn.XLOOKUP($E90,Sheet2!$A:$A,Sheet2!Q:Q,"N/A",0,1)))</f>
        <v>1</v>
      </c>
      <c r="I90" s="25">
        <f>IF($F90="unclassified","N/A",(_xlfn.XLOOKUP($E90,Sheet2!$A:$A,Sheet2!R:R,"N/A",0,1)))</f>
        <v>1</v>
      </c>
      <c r="J90" s="25">
        <f>IF($F90="unclassified","N/A",(_xlfn.XLOOKUP($E90,Sheet2!$A:$A,Sheet2!S:S,"N/A",0,1)))</f>
        <v>1</v>
      </c>
      <c r="K90" s="25">
        <f>IF($F90="unclassified","N/A",(_xlfn.XLOOKUP($E90,Sheet2!$A:$A,Sheet2!T:T,"N/A",0,1)))</f>
        <v>1</v>
      </c>
      <c r="L90" s="25">
        <f>IF($F90="unclassified","N/A",(_xlfn.XLOOKUP($E90,Sheet2!$A:$A,Sheet2!U:U,"N/A",0,1)))</f>
        <v>1</v>
      </c>
      <c r="M90" s="9">
        <f>IF($F90="unclassified","N/A",(_xlfn.XLOOKUP($E90,Sheet2!$A:$A,Sheet2!V:V,"N/A",0,1)))</f>
        <v>1</v>
      </c>
      <c r="N90" s="25"/>
      <c r="O90" s="25">
        <f>IF($F90="unclassified","N/A",(_xlfn.XLOOKUP($E90,Sheet2!$A:$A,Sheet2!W:W,"N/A",0,1)))</f>
        <v>1</v>
      </c>
      <c r="P90" s="25">
        <f>IF($F90="unclassified","N/A",(_xlfn.XLOOKUP($E90,Sheet2!$A:$A,Sheet2!X:X,"N/A",0,1)))</f>
        <v>1</v>
      </c>
      <c r="Q90" s="25">
        <f>IF($F90="unclassified","N/A",(_xlfn.XLOOKUP($E90,Sheet2!$A:$A,Sheet2!Y:Y,"N/A",0,1)))</f>
        <v>1</v>
      </c>
      <c r="R90" s="25">
        <f>IF($F90="unclassified","N/A",(_xlfn.XLOOKUP($E90,Sheet2!$A:$A,Sheet2!Z:Z,"N/A",0,1)))</f>
        <v>1</v>
      </c>
      <c r="S90" s="25">
        <f>IF($F90="unclassified","N/A",(_xlfn.XLOOKUP($E90,Sheet2!$A:$A,Sheet2!AA:AA,"N/A",0,1)))</f>
        <v>1</v>
      </c>
      <c r="T90" s="25">
        <f>IF($F90="unclassified","N/A",(_xlfn.XLOOKUP($E90,Sheet2!$A:$A,Sheet2!AB:AB,"N/A",0,1)))</f>
        <v>1</v>
      </c>
      <c r="U90" s="11">
        <f>IF($F90="unclassified","N/A",(AVERAGE(Table325[[#This Row],[PO nr]:[Delivery Date]])))</f>
        <v>1</v>
      </c>
      <c r="V90" s="21"/>
      <c r="W90" s="21"/>
      <c r="X90" s="21"/>
      <c r="Y90" s="21"/>
      <c r="Z90" s="21"/>
    </row>
    <row r="91" spans="3:26" ht="15" customHeight="1" x14ac:dyDescent="0.3">
      <c r="C91" t="str">
        <f>_xlfn.XLOOKUP(Table325[[#This Row],[Customer]],'Top 300'!C:C,'Top 300'!A:A,"0",2,1)</f>
        <v>0</v>
      </c>
      <c r="D91" s="30" t="str">
        <f>_xlfn.XLOOKUP(Table325[[#This Row],[File Name]],'Analyse 2 Detail 02-03'!A:A,'Analyse 2 Detail 02-03'!R:R,"Not Found",0,1)</f>
        <v>Brocacef BV</v>
      </c>
      <c r="E91" s="2" t="s">
        <v>175</v>
      </c>
      <c r="F91" s="64" t="s">
        <v>9</v>
      </c>
      <c r="G91" s="71">
        <v>11</v>
      </c>
      <c r="H91" s="25">
        <f>IF($F91="unclassified","N/A",(_xlfn.XLOOKUP($E91,Sheet2!$A:$A,Sheet2!Q:Q,"N/A",0,1)))</f>
        <v>1</v>
      </c>
      <c r="I91" s="25">
        <f>IF($F91="unclassified","N/A",(_xlfn.XLOOKUP($E91,Sheet2!$A:$A,Sheet2!R:R,"N/A",0,1)))</f>
        <v>1</v>
      </c>
      <c r="J91" s="25">
        <f>IF($F91="unclassified","N/A",(_xlfn.XLOOKUP($E91,Sheet2!$A:$A,Sheet2!S:S,"N/A",0,1)))</f>
        <v>1</v>
      </c>
      <c r="K91" s="25">
        <f>IF($F91="unclassified","N/A",(_xlfn.XLOOKUP($E91,Sheet2!$A:$A,Sheet2!T:T,"N/A",0,1)))</f>
        <v>1</v>
      </c>
      <c r="L91" s="25">
        <f>IF($F91="unclassified","N/A",(_xlfn.XLOOKUP($E91,Sheet2!$A:$A,Sheet2!U:U,"N/A",0,1)))</f>
        <v>1</v>
      </c>
      <c r="M91" s="9">
        <f>IF($F91="unclassified","N/A",(_xlfn.XLOOKUP($E91,Sheet2!$A:$A,Sheet2!V:V,"N/A",0,1)))</f>
        <v>0</v>
      </c>
      <c r="N91" s="25"/>
      <c r="O91" s="25">
        <f>IF($F91="unclassified","N/A",(_xlfn.XLOOKUP($E91,Sheet2!$A:$A,Sheet2!W:W,"N/A",0,1)))</f>
        <v>1</v>
      </c>
      <c r="P91" s="25">
        <f>IF($F91="unclassified","N/A",(_xlfn.XLOOKUP($E91,Sheet2!$A:$A,Sheet2!X:X,"N/A",0,1)))</f>
        <v>1</v>
      </c>
      <c r="Q91" s="25">
        <f>IF($F91="unclassified","N/A",(_xlfn.XLOOKUP($E91,Sheet2!$A:$A,Sheet2!Y:Y,"N/A",0,1)))</f>
        <v>1</v>
      </c>
      <c r="R91" s="25">
        <f>IF($F91="unclassified","N/A",(_xlfn.XLOOKUP($E91,Sheet2!$A:$A,Sheet2!Z:Z,"N/A",0,1)))</f>
        <v>1</v>
      </c>
      <c r="S91" s="25">
        <f>IF($F91="unclassified","N/A",(_xlfn.XLOOKUP($E91,Sheet2!$A:$A,Sheet2!AA:AA,"N/A",0,1)))</f>
        <v>0</v>
      </c>
      <c r="T91" s="25">
        <f>IF($F91="unclassified","N/A",(_xlfn.XLOOKUP($E91,Sheet2!$A:$A,Sheet2!AB:AB,"N/A",0,1)))</f>
        <v>0.25</v>
      </c>
      <c r="U91" s="11">
        <f>IF($F91="unclassified","N/A",(AVERAGE(Table325[[#This Row],[PO nr]:[Delivery Date]])))</f>
        <v>0.77083333333333337</v>
      </c>
      <c r="V91" s="21" t="s">
        <v>218</v>
      </c>
      <c r="W91" s="21"/>
      <c r="X91" s="21"/>
      <c r="Y91" s="21"/>
      <c r="Z91" s="21"/>
    </row>
    <row r="92" spans="3:26" ht="15" customHeight="1" x14ac:dyDescent="0.3">
      <c r="C92" t="str">
        <f>_xlfn.XLOOKUP(Table325[[#This Row],[Customer]],'Top 300'!C:C,'Top 300'!A:A,"0",2,1)</f>
        <v>0</v>
      </c>
      <c r="D92" s="30" t="str">
        <f>_xlfn.XLOOKUP(Table325[[#This Row],[File Name]],'Analyse 2 Detail 02-03'!A:A,'Analyse 2 Detail 02-03'!R:R,"Not Found",0,1)</f>
        <v>Brocacef</v>
      </c>
      <c r="E92" s="2" t="s">
        <v>140</v>
      </c>
      <c r="F92" s="64" t="s">
        <v>9</v>
      </c>
      <c r="G92" s="71">
        <v>2</v>
      </c>
      <c r="H92" s="25">
        <f>IF($F92="unclassified","N/A",(_xlfn.XLOOKUP($E92,Sheet2!$A:$A,Sheet2!Q:Q,"N/A",0,1)))</f>
        <v>1</v>
      </c>
      <c r="I92" s="25">
        <f>IF($F92="unclassified","N/A",(_xlfn.XLOOKUP($E92,Sheet2!$A:$A,Sheet2!R:R,"N/A",0,1)))</f>
        <v>1</v>
      </c>
      <c r="J92" s="25">
        <f>IF($F92="unclassified","N/A",(_xlfn.XLOOKUP($E92,Sheet2!$A:$A,Sheet2!S:S,"N/A",0,1)))</f>
        <v>1</v>
      </c>
      <c r="K92" s="25">
        <f>IF($F92="unclassified","N/A",(_xlfn.XLOOKUP($E92,Sheet2!$A:$A,Sheet2!T:T,"N/A",0,1)))</f>
        <v>1</v>
      </c>
      <c r="L92" s="25">
        <f>IF($F92="unclassified","N/A",(_xlfn.XLOOKUP($E92,Sheet2!$A:$A,Sheet2!U:U,"N/A",0,1)))</f>
        <v>1</v>
      </c>
      <c r="M92" s="9">
        <f>IF($F92="unclassified","N/A",(_xlfn.XLOOKUP($E92,Sheet2!$A:$A,Sheet2!V:V,"N/A",0,1)))</f>
        <v>0</v>
      </c>
      <c r="N92" s="25"/>
      <c r="O92" s="25">
        <f>IF($F92="unclassified","N/A",(_xlfn.XLOOKUP($E92,Sheet2!$A:$A,Sheet2!W:W,"N/A",0,1)))</f>
        <v>1</v>
      </c>
      <c r="P92" s="25">
        <f>IF($F92="unclassified","N/A",(_xlfn.XLOOKUP($E92,Sheet2!$A:$A,Sheet2!X:X,"N/A",0,1)))</f>
        <v>1</v>
      </c>
      <c r="Q92" s="25">
        <f>IF($F92="unclassified","N/A",(_xlfn.XLOOKUP($E92,Sheet2!$A:$A,Sheet2!Y:Y,"N/A",0,1)))</f>
        <v>1</v>
      </c>
      <c r="R92" s="25">
        <f>IF($F92="unclassified","N/A",(_xlfn.XLOOKUP($E92,Sheet2!$A:$A,Sheet2!Z:Z,"N/A",0,1)))</f>
        <v>1</v>
      </c>
      <c r="S92" s="25">
        <f>IF($F92="unclassified","N/A",(_xlfn.XLOOKUP($E92,Sheet2!$A:$A,Sheet2!AA:AA,"N/A",0,1)))</f>
        <v>0</v>
      </c>
      <c r="T92" s="25">
        <f>IF($F92="unclassified","N/A",(_xlfn.XLOOKUP($E92,Sheet2!$A:$A,Sheet2!AB:AB,"N/A",0,1)))</f>
        <v>1</v>
      </c>
      <c r="U92" s="11">
        <f>IF($F92="unclassified","N/A",(AVERAGE(Table325[[#This Row],[PO nr]:[Delivery Date]])))</f>
        <v>0.83333333333333337</v>
      </c>
      <c r="V92" s="21" t="s">
        <v>219</v>
      </c>
      <c r="W92" s="21"/>
      <c r="X92" s="21"/>
      <c r="Y92" s="21"/>
      <c r="Z92" s="21"/>
    </row>
    <row r="93" spans="3:26" ht="15" customHeight="1" x14ac:dyDescent="0.3">
      <c r="C93" t="str">
        <f>_xlfn.XLOOKUP(Table325[[#This Row],[Customer]],'Top 300'!C:C,'Top 300'!A:A,"0",2,1)</f>
        <v>0</v>
      </c>
      <c r="D93" s="30" t="str">
        <f>_xlfn.XLOOKUP(Table325[[#This Row],[File Name]],'Analyse 2 Detail 02-03'!A:A,'Analyse 2 Detail 02-03'!R:R,"Not Found",0,1)</f>
        <v>Van Hoeckel</v>
      </c>
      <c r="E93" s="2" t="s">
        <v>118</v>
      </c>
      <c r="F93" s="64" t="s">
        <v>9</v>
      </c>
      <c r="G93" s="71">
        <v>2</v>
      </c>
      <c r="H93" s="25">
        <f>IF($F93="unclassified","N/A",(_xlfn.XLOOKUP($E93,Sheet2!$A:$A,Sheet2!Q:Q,"N/A",0,1)))</f>
        <v>0</v>
      </c>
      <c r="I93" s="25">
        <f>IF($F93="unclassified","N/A",(_xlfn.XLOOKUP($E93,Sheet2!$A:$A,Sheet2!R:R,"N/A",0,1)))</f>
        <v>0</v>
      </c>
      <c r="J93" s="25">
        <f>IF($F93="unclassified","N/A",(_xlfn.XLOOKUP($E93,Sheet2!$A:$A,Sheet2!S:S,"N/A",0,1)))</f>
        <v>1</v>
      </c>
      <c r="K93" s="25">
        <f>IF($F93="unclassified","N/A",(_xlfn.XLOOKUP($E93,Sheet2!$A:$A,Sheet2!T:T,"N/A",0,1)))</f>
        <v>1</v>
      </c>
      <c r="L93" s="25">
        <f>IF($F93="unclassified","N/A",(_xlfn.XLOOKUP($E93,Sheet2!$A:$A,Sheet2!U:U,"N/A",0,1)))</f>
        <v>1</v>
      </c>
      <c r="M93" s="25">
        <f>IF($F93="unclassified","N/A",(_xlfn.XLOOKUP($E93,Sheet2!$A:$A,Sheet2!V:V,"N/A",0,1)))</f>
        <v>0</v>
      </c>
      <c r="N93" s="25"/>
      <c r="O93" s="25">
        <f>IF($F93="unclassified","N/A",(_xlfn.XLOOKUP($E93,Sheet2!$A:$A,Sheet2!W:W,"N/A",0,1)))</f>
        <v>1</v>
      </c>
      <c r="P93" s="25">
        <f>IF($F93="unclassified","N/A",(_xlfn.XLOOKUP($E93,Sheet2!$A:$A,Sheet2!X:X,"N/A",0,1)))</f>
        <v>1</v>
      </c>
      <c r="Q93" s="25">
        <f>IF($F93="unclassified","N/A",(_xlfn.XLOOKUP($E93,Sheet2!$A:$A,Sheet2!Y:Y,"N/A",0,1)))</f>
        <v>1</v>
      </c>
      <c r="R93" s="25">
        <f>IF($F93="unclassified","N/A",(_xlfn.XLOOKUP($E93,Sheet2!$A:$A,Sheet2!Z:Z,"N/A",0,1)))</f>
        <v>1</v>
      </c>
      <c r="S93" s="25">
        <f>IF($F93="unclassified","N/A",(_xlfn.XLOOKUP($E93,Sheet2!$A:$A,Sheet2!AA:AA,"N/A",0,1)))</f>
        <v>0</v>
      </c>
      <c r="T93" s="25">
        <f>IF($F93="unclassified","N/A",(_xlfn.XLOOKUP($E93,Sheet2!$A:$A,Sheet2!AB:AB,"N/A",0,1)))</f>
        <v>1</v>
      </c>
      <c r="U93" s="11">
        <f>IF($F93="unclassified","N/A",(AVERAGE(Table325[[#This Row],[PO nr]:[Delivery Date]])))</f>
        <v>0.66666666666666663</v>
      </c>
      <c r="V93" s="84" t="s">
        <v>220</v>
      </c>
      <c r="W93" s="21" t="s">
        <v>222</v>
      </c>
      <c r="X93" s="21"/>
      <c r="Y93" s="21"/>
      <c r="Z93" s="21"/>
    </row>
    <row r="94" spans="3:26" ht="15" customHeight="1" x14ac:dyDescent="0.3">
      <c r="C94" t="str">
        <f>_xlfn.XLOOKUP(Table325[[#This Row],[Customer]],'Top 300'!C:C,'Top 300'!A:A,"0",2,1)</f>
        <v>0</v>
      </c>
      <c r="D94" s="30" t="str">
        <f>_xlfn.XLOOKUP(Table325[[#This Row],[File Name]],'Analyse 2 Detail 02-03'!A:A,'Analyse 2 Detail 02-03'!R:R,"Not Found",0,1)</f>
        <v>Van Hoeckel</v>
      </c>
      <c r="E94" s="2" t="s">
        <v>177</v>
      </c>
      <c r="F94" s="64" t="s">
        <v>9</v>
      </c>
      <c r="G94" s="71">
        <v>3</v>
      </c>
      <c r="H94" s="25">
        <f>IF($F94="unclassified","N/A",(_xlfn.XLOOKUP($E94,Sheet2!$A:$A,Sheet2!Q:Q,"N/A",0,1)))</f>
        <v>1</v>
      </c>
      <c r="I94" s="25">
        <f>IF($F94="unclassified","N/A",(_xlfn.XLOOKUP($E94,Sheet2!$A:$A,Sheet2!R:R,"N/A",0,1)))</f>
        <v>0</v>
      </c>
      <c r="J94" s="25">
        <f>IF($F94="unclassified","N/A",(_xlfn.XLOOKUP($E94,Sheet2!$A:$A,Sheet2!S:S,"N/A",0,1)))</f>
        <v>1</v>
      </c>
      <c r="K94" s="25">
        <f>IF($F94="unclassified","N/A",(_xlfn.XLOOKUP($E94,Sheet2!$A:$A,Sheet2!T:T,"N/A",0,1)))</f>
        <v>1</v>
      </c>
      <c r="L94" s="25">
        <f>IF($F94="unclassified","N/A",(_xlfn.XLOOKUP($E94,Sheet2!$A:$A,Sheet2!U:U,"N/A",0,1)))</f>
        <v>1</v>
      </c>
      <c r="M94" s="9">
        <f>IF($F94="unclassified","N/A",(_xlfn.XLOOKUP($E94,Sheet2!$A:$A,Sheet2!V:V,"N/A",0,1)))</f>
        <v>0</v>
      </c>
      <c r="N94" s="25"/>
      <c r="O94" s="25">
        <f>IF($F94="unclassified","N/A",(_xlfn.XLOOKUP($E94,Sheet2!$A:$A,Sheet2!W:W,"N/A",0,1)))</f>
        <v>1</v>
      </c>
      <c r="P94" s="25">
        <f>IF($F94="unclassified","N/A",(_xlfn.XLOOKUP($E94,Sheet2!$A:$A,Sheet2!X:X,"N/A",0,1)))</f>
        <v>1</v>
      </c>
      <c r="Q94" s="25">
        <f>IF($F94="unclassified","N/A",(_xlfn.XLOOKUP($E94,Sheet2!$A:$A,Sheet2!Y:Y,"N/A",0,1)))</f>
        <v>1</v>
      </c>
      <c r="R94" s="25">
        <f>IF($F94="unclassified","N/A",(_xlfn.XLOOKUP($E94,Sheet2!$A:$A,Sheet2!Z:Z,"N/A",0,1)))</f>
        <v>1</v>
      </c>
      <c r="S94" s="25">
        <f>IF($F94="unclassified","N/A",(_xlfn.XLOOKUP($E94,Sheet2!$A:$A,Sheet2!AA:AA,"N/A",0,1)))</f>
        <v>0</v>
      </c>
      <c r="T94" s="25">
        <f>IF($F94="unclassified","N/A",(_xlfn.XLOOKUP($E94,Sheet2!$A:$A,Sheet2!AB:AB,"N/A",0,1)))</f>
        <v>1</v>
      </c>
      <c r="U94" s="11">
        <f>IF($F94="unclassified","N/A",(AVERAGE(Table325[[#This Row],[PO nr]:[Delivery Date]])))</f>
        <v>0.75</v>
      </c>
      <c r="V94" s="84" t="s">
        <v>223</v>
      </c>
      <c r="W94" s="21" t="s">
        <v>222</v>
      </c>
      <c r="X94" s="21"/>
      <c r="Y94" s="21"/>
      <c r="Z94" s="21"/>
    </row>
    <row r="95" spans="3:26" ht="15" customHeight="1" x14ac:dyDescent="0.3">
      <c r="C95" t="str">
        <f>_xlfn.XLOOKUP(Table325[[#This Row],[Customer]],'Top 300'!C:C,'Top 300'!A:A,"0",2,1)</f>
        <v>0</v>
      </c>
      <c r="D95" s="30" t="str">
        <f>_xlfn.XLOOKUP(Table325[[#This Row],[File Name]],'Analyse 2 Detail 02-03'!A:A,'Analyse 2 Detail 02-03'!R:R,"Not Found",0,1)</f>
        <v>Van Hoeckel</v>
      </c>
      <c r="E95" s="2" t="s">
        <v>123</v>
      </c>
      <c r="F95" s="64" t="s">
        <v>9</v>
      </c>
      <c r="G95" s="71">
        <v>4</v>
      </c>
      <c r="H95" s="25">
        <f>IF($F95="unclassified","N/A",(_xlfn.XLOOKUP($E95,Sheet2!$A:$A,Sheet2!Q:Q,"N/A",0,1)))</f>
        <v>1</v>
      </c>
      <c r="I95" s="25">
        <f>IF($F95="unclassified","N/A",(_xlfn.XLOOKUP($E95,Sheet2!$A:$A,Sheet2!R:R,"N/A",0,1)))</f>
        <v>0</v>
      </c>
      <c r="J95" s="25">
        <f>IF($F95="unclassified","N/A",(_xlfn.XLOOKUP($E95,Sheet2!$A:$A,Sheet2!S:S,"N/A",0,1)))</f>
        <v>1</v>
      </c>
      <c r="K95" s="25">
        <f>IF($F95="unclassified","N/A",(_xlfn.XLOOKUP($E95,Sheet2!$A:$A,Sheet2!T:T,"N/A",0,1)))</f>
        <v>1</v>
      </c>
      <c r="L95" s="25">
        <f>IF($F95="unclassified","N/A",(_xlfn.XLOOKUP($E95,Sheet2!$A:$A,Sheet2!U:U,"N/A",0,1)))</f>
        <v>1</v>
      </c>
      <c r="M95" s="9">
        <f>IF($F95="unclassified","N/A",(_xlfn.XLOOKUP($E95,Sheet2!$A:$A,Sheet2!V:V,"N/A",0,1)))</f>
        <v>0</v>
      </c>
      <c r="N95" s="25"/>
      <c r="O95" s="25">
        <f>IF($F95="unclassified","N/A",(_xlfn.XLOOKUP($E95,Sheet2!$A:$A,Sheet2!W:W,"N/A",0,1)))</f>
        <v>1</v>
      </c>
      <c r="P95" s="25">
        <f>IF($F95="unclassified","N/A",(_xlfn.XLOOKUP($E95,Sheet2!$A:$A,Sheet2!X:X,"N/A",0,1)))</f>
        <v>1</v>
      </c>
      <c r="Q95" s="25">
        <f>IF($F95="unclassified","N/A",(_xlfn.XLOOKUP($E95,Sheet2!$A:$A,Sheet2!Y:Y,"N/A",0,1)))</f>
        <v>1</v>
      </c>
      <c r="R95" s="25">
        <f>IF($F95="unclassified","N/A",(_xlfn.XLOOKUP($E95,Sheet2!$A:$A,Sheet2!Z:Z,"N/A",0,1)))</f>
        <v>0</v>
      </c>
      <c r="S95" s="25">
        <f>IF($F95="unclassified","N/A",(_xlfn.XLOOKUP($E95,Sheet2!$A:$A,Sheet2!AA:AA,"N/A",0,1)))</f>
        <v>0</v>
      </c>
      <c r="T95" s="25">
        <f>IF($F95="unclassified","N/A",(_xlfn.XLOOKUP($E95,Sheet2!$A:$A,Sheet2!AB:AB,"N/A",0,1)))</f>
        <v>1</v>
      </c>
      <c r="U95" s="11">
        <f>IF($F95="unclassified","N/A",(AVERAGE(Table325[[#This Row],[PO nr]:[Delivery Date]])))</f>
        <v>0.66666666666666663</v>
      </c>
      <c r="V95" s="84" t="s">
        <v>221</v>
      </c>
      <c r="W95" s="21" t="s">
        <v>222</v>
      </c>
      <c r="X95" s="21"/>
      <c r="Y95" s="21"/>
      <c r="Z95" s="21"/>
    </row>
    <row r="96" spans="3:26" ht="15" customHeight="1" x14ac:dyDescent="0.3">
      <c r="C96" t="str">
        <f>_xlfn.XLOOKUP(Table325[[#This Row],[Customer]],'Top 300'!C:C,'Top 300'!A:A,"0",2,1)</f>
        <v>0</v>
      </c>
      <c r="D96" s="30" t="str">
        <f>_xlfn.XLOOKUP(Table325[[#This Row],[File Name]],'Analyse 2 Detail 02-03'!A:A,'Analyse 2 Detail 02-03'!R:R,"Not Found",0,1)</f>
        <v>G3 Medical B.V.</v>
      </c>
      <c r="E96" s="2" t="s">
        <v>105</v>
      </c>
      <c r="F96" s="64" t="s">
        <v>9</v>
      </c>
      <c r="G96" s="71">
        <v>0</v>
      </c>
      <c r="H96" s="25">
        <f>IF($F96="unclassified","N/A",(_xlfn.XLOOKUP($E96,Sheet2!$A:$A,Sheet2!Q:Q,"N/A",0,1)))</f>
        <v>1</v>
      </c>
      <c r="I96" s="25">
        <f>IF($F96="unclassified","N/A",(_xlfn.XLOOKUP($E96,Sheet2!$A:$A,Sheet2!R:R,"N/A",0,1)))</f>
        <v>1</v>
      </c>
      <c r="J96" s="25">
        <f>IF($F96="unclassified","N/A",(_xlfn.XLOOKUP($E96,Sheet2!$A:$A,Sheet2!S:S,"N/A",0,1)))</f>
        <v>1</v>
      </c>
      <c r="K96" s="25">
        <f>IF($F96="unclassified","N/A",(_xlfn.XLOOKUP($E96,Sheet2!$A:$A,Sheet2!T:T,"N/A",0,1)))</f>
        <v>1</v>
      </c>
      <c r="L96" s="25">
        <f>IF($F96="unclassified","N/A",(_xlfn.XLOOKUP($E96,Sheet2!$A:$A,Sheet2!U:U,"N/A",0,1)))</f>
        <v>1</v>
      </c>
      <c r="M96" s="9">
        <f>IF($F96="unclassified","N/A",(_xlfn.XLOOKUP($E96,Sheet2!$A:$A,Sheet2!V:V,"N/A",0,1)))</f>
        <v>1</v>
      </c>
      <c r="N96" s="25"/>
      <c r="O96" s="25">
        <f>IF($F96="unclassified","N/A",(_xlfn.XLOOKUP($E96,Sheet2!$A:$A,Sheet2!W:W,"N/A",0,1)))</f>
        <v>1</v>
      </c>
      <c r="P96" s="25">
        <f>IF($F96="unclassified","N/A",(_xlfn.XLOOKUP($E96,Sheet2!$A:$A,Sheet2!X:X,"N/A",0,1)))</f>
        <v>1</v>
      </c>
      <c r="Q96" s="25">
        <f>IF($F96="unclassified","N/A",(_xlfn.XLOOKUP($E96,Sheet2!$A:$A,Sheet2!Y:Y,"N/A",0,1)))</f>
        <v>1</v>
      </c>
      <c r="R96" s="25">
        <f>IF($F96="unclassified","N/A",(_xlfn.XLOOKUP($E96,Sheet2!$A:$A,Sheet2!Z:Z,"N/A",0,1)))</f>
        <v>1</v>
      </c>
      <c r="S96" s="25">
        <f>IF($F96="unclassified","N/A",(_xlfn.XLOOKUP($E96,Sheet2!$A:$A,Sheet2!AA:AA,"N/A",0,1)))</f>
        <v>1</v>
      </c>
      <c r="T96" s="25">
        <f>IF($F96="unclassified","N/A",(_xlfn.XLOOKUP($E96,Sheet2!$A:$A,Sheet2!AB:AB,"N/A",0,1)))</f>
        <v>1</v>
      </c>
      <c r="U96" s="11">
        <f>IF($F96="unclassified","N/A",(AVERAGE(Table325[[#This Row],[PO nr]:[Delivery Date]])))</f>
        <v>1</v>
      </c>
      <c r="V96" s="21"/>
      <c r="W96" s="21"/>
      <c r="X96" s="21"/>
      <c r="Y96" s="21"/>
      <c r="Z96" s="21"/>
    </row>
    <row r="97" spans="3:26" ht="15" customHeight="1" x14ac:dyDescent="0.3">
      <c r="C97" t="str">
        <f>_xlfn.XLOOKUP(Table325[[#This Row],[Customer]],'Top 300'!C:C,'Top 300'!A:A,"0",2,1)</f>
        <v>0</v>
      </c>
      <c r="D97" s="30" t="str">
        <f>_xlfn.XLOOKUP(Table325[[#This Row],[File Name]],'Analyse 2 Detail 02-03'!A:A,'Analyse 2 Detail 02-03'!R:R,"Not Found",0,1)</f>
        <v>G3 Medical B.V.</v>
      </c>
      <c r="E97" s="2" t="s">
        <v>126</v>
      </c>
      <c r="F97" s="64" t="s">
        <v>9</v>
      </c>
      <c r="G97" s="71">
        <v>0</v>
      </c>
      <c r="H97" s="25">
        <f>IF($F97="unclassified","N/A",(_xlfn.XLOOKUP($E97,Sheet2!$A:$A,Sheet2!Q:Q,"N/A",0,1)))</f>
        <v>1</v>
      </c>
      <c r="I97" s="25">
        <f>IF($F97="unclassified","N/A",(_xlfn.XLOOKUP($E97,Sheet2!$A:$A,Sheet2!R:R,"N/A",0,1)))</f>
        <v>1</v>
      </c>
      <c r="J97" s="25">
        <f>IF($F97="unclassified","N/A",(_xlfn.XLOOKUP($E97,Sheet2!$A:$A,Sheet2!S:S,"N/A",0,1)))</f>
        <v>1</v>
      </c>
      <c r="K97" s="25">
        <f>IF($F97="unclassified","N/A",(_xlfn.XLOOKUP($E97,Sheet2!$A:$A,Sheet2!T:T,"N/A",0,1)))</f>
        <v>1</v>
      </c>
      <c r="L97" s="25">
        <f>IF($F97="unclassified","N/A",(_xlfn.XLOOKUP($E97,Sheet2!$A:$A,Sheet2!U:U,"N/A",0,1)))</f>
        <v>1</v>
      </c>
      <c r="M97" s="9">
        <f>IF($F97="unclassified","N/A",(_xlfn.XLOOKUP($E97,Sheet2!$A:$A,Sheet2!V:V,"N/A",0,1)))</f>
        <v>1</v>
      </c>
      <c r="N97" s="25"/>
      <c r="O97" s="25">
        <f>IF($F97="unclassified","N/A",(_xlfn.XLOOKUP($E97,Sheet2!$A:$A,Sheet2!W:W,"N/A",0,1)))</f>
        <v>1</v>
      </c>
      <c r="P97" s="25">
        <f>IF($F97="unclassified","N/A",(_xlfn.XLOOKUP($E97,Sheet2!$A:$A,Sheet2!X:X,"N/A",0,1)))</f>
        <v>1</v>
      </c>
      <c r="Q97" s="25">
        <f>IF($F97="unclassified","N/A",(_xlfn.XLOOKUP($E97,Sheet2!$A:$A,Sheet2!Y:Y,"N/A",0,1)))</f>
        <v>1</v>
      </c>
      <c r="R97" s="25">
        <f>IF($F97="unclassified","N/A",(_xlfn.XLOOKUP($E97,Sheet2!$A:$A,Sheet2!Z:Z,"N/A",0,1)))</f>
        <v>1</v>
      </c>
      <c r="S97" s="25">
        <f>IF($F97="unclassified","N/A",(_xlfn.XLOOKUP($E97,Sheet2!$A:$A,Sheet2!AA:AA,"N/A",0,1)))</f>
        <v>1</v>
      </c>
      <c r="T97" s="25">
        <f>IF($F97="unclassified","N/A",(_xlfn.XLOOKUP($E97,Sheet2!$A:$A,Sheet2!AB:AB,"N/A",0,1)))</f>
        <v>1</v>
      </c>
      <c r="U97" s="11">
        <f>IF($F97="unclassified","N/A",(AVERAGE(Table325[[#This Row],[PO nr]:[Delivery Date]])))</f>
        <v>1</v>
      </c>
      <c r="V97" s="21"/>
      <c r="W97" s="21"/>
      <c r="X97" s="21"/>
      <c r="Y97" s="21"/>
      <c r="Z97" s="21"/>
    </row>
    <row r="98" spans="3:26" ht="15" customHeight="1" x14ac:dyDescent="0.3">
      <c r="C98" t="str">
        <f>_xlfn.XLOOKUP(Table325[[#This Row],[Customer]],'Top 300'!C:C,'Top 300'!A:A,"0",2,1)</f>
        <v>0</v>
      </c>
      <c r="D98" s="30">
        <f>_xlfn.XLOOKUP(Table325[[#This Row],[File Name]],'Analyse 2 Detail 02-03'!A:A,'Analyse 2 Detail 02-03'!R:R,"Not Found",0,1)</f>
        <v>0</v>
      </c>
      <c r="E98" s="2" t="s">
        <v>115</v>
      </c>
      <c r="F98" s="64" t="s">
        <v>11</v>
      </c>
      <c r="G98" s="71">
        <v>0</v>
      </c>
      <c r="H98" s="25" t="str">
        <f>IF($F98="unclassified","N/A",(_xlfn.XLOOKUP($E98,Sheet2!$A:$A,Sheet2!Q:Q,"N/A",0,1)))</f>
        <v>N/A</v>
      </c>
      <c r="I98" s="25" t="str">
        <f>IF($F98="unclassified","N/A",(_xlfn.XLOOKUP($E98,Sheet2!$A:$A,Sheet2!R:R,"N/A",0,1)))</f>
        <v>N/A</v>
      </c>
      <c r="J98" s="25" t="str">
        <f>IF($F98="unclassified","N/A",(_xlfn.XLOOKUP($E98,Sheet2!$A:$A,Sheet2!S:S,"N/A",0,1)))</f>
        <v>N/A</v>
      </c>
      <c r="K98" s="25" t="str">
        <f>IF($F98="unclassified","N/A",(_xlfn.XLOOKUP($E98,Sheet2!$A:$A,Sheet2!T:T,"N/A",0,1)))</f>
        <v>N/A</v>
      </c>
      <c r="L98" s="25" t="str">
        <f>IF($F98="unclassified","N/A",(_xlfn.XLOOKUP($E98,Sheet2!$A:$A,Sheet2!U:U,"N/A",0,1)))</f>
        <v>N/A</v>
      </c>
      <c r="M98" s="9" t="str">
        <f>IF($F98="unclassified","N/A",(_xlfn.XLOOKUP($E98,Sheet2!$A:$A,Sheet2!V:V,"N/A",0,1)))</f>
        <v>N/A</v>
      </c>
      <c r="N98" s="25"/>
      <c r="O98" s="25" t="str">
        <f>IF($F98="unclassified","N/A",(_xlfn.XLOOKUP($E98,Sheet2!$A:$A,Sheet2!W:W,"N/A",0,1)))</f>
        <v>N/A</v>
      </c>
      <c r="P98" s="25" t="str">
        <f>IF($F98="unclassified","N/A",(_xlfn.XLOOKUP($E98,Sheet2!$A:$A,Sheet2!X:X,"N/A",0,1)))</f>
        <v>N/A</v>
      </c>
      <c r="Q98" s="25" t="str">
        <f>IF($F98="unclassified","N/A",(_xlfn.XLOOKUP($E98,Sheet2!$A:$A,Sheet2!Y:Y,"N/A",0,1)))</f>
        <v>N/A</v>
      </c>
      <c r="R98" s="25" t="str">
        <f>IF($F98="unclassified","N/A",(_xlfn.XLOOKUP($E98,Sheet2!$A:$A,Sheet2!Z:Z,"N/A",0,1)))</f>
        <v>N/A</v>
      </c>
      <c r="S98" s="25" t="str">
        <f>IF($F98="unclassified","N/A",(_xlfn.XLOOKUP($E98,Sheet2!$A:$A,Sheet2!AA:AA,"N/A",0,1)))</f>
        <v>N/A</v>
      </c>
      <c r="T98" s="25" t="str">
        <f>IF($F98="unclassified","N/A",(_xlfn.XLOOKUP($E98,Sheet2!$A:$A,Sheet2!AB:AB,"N/A",0,1)))</f>
        <v>N/A</v>
      </c>
      <c r="U98" s="11" t="str">
        <f>IF($F98="unclassified","N/A",(AVERAGE(Table325[[#This Row],[PO nr]:[Delivery Date]])))</f>
        <v>N/A</v>
      </c>
      <c r="V98" s="21"/>
      <c r="W98" s="21"/>
      <c r="X98" s="21"/>
      <c r="Y98" s="21"/>
      <c r="Z98" s="21"/>
    </row>
    <row r="99" spans="3:26" ht="15" customHeight="1" x14ac:dyDescent="0.3">
      <c r="C99" t="str">
        <f>_xlfn.XLOOKUP(Table325[[#This Row],[Customer]],'Top 300'!C:C,'Top 300'!A:A,"0",2,1)</f>
        <v>0</v>
      </c>
      <c r="D99" s="30" t="str">
        <f>_xlfn.XLOOKUP(Table325[[#This Row],[File Name]],'Analyse 2 Detail 02-03'!A:A,'Analyse 2 Detail 02-03'!R:R,"Not Found",0,1)</f>
        <v>G3 Medical B.V.</v>
      </c>
      <c r="E99" s="2" t="s">
        <v>137</v>
      </c>
      <c r="F99" s="64" t="s">
        <v>9</v>
      </c>
      <c r="G99" s="71">
        <v>0</v>
      </c>
      <c r="H99" s="25">
        <f>IF($F99="unclassified","N/A",(_xlfn.XLOOKUP($E99,Sheet2!$A:$A,Sheet2!Q:Q,"N/A",0,1)))</f>
        <v>1</v>
      </c>
      <c r="I99" s="25">
        <f>IF($F99="unclassified","N/A",(_xlfn.XLOOKUP($E99,Sheet2!$A:$A,Sheet2!R:R,"N/A",0,1)))</f>
        <v>1</v>
      </c>
      <c r="J99" s="25">
        <f>IF($F99="unclassified","N/A",(_xlfn.XLOOKUP($E99,Sheet2!$A:$A,Sheet2!S:S,"N/A",0,1)))</f>
        <v>1</v>
      </c>
      <c r="K99" s="25">
        <f>IF($F99="unclassified","N/A",(_xlfn.XLOOKUP($E99,Sheet2!$A:$A,Sheet2!T:T,"N/A",0,1)))</f>
        <v>1</v>
      </c>
      <c r="L99" s="25">
        <f>IF($F99="unclassified","N/A",(_xlfn.XLOOKUP($E99,Sheet2!$A:$A,Sheet2!U:U,"N/A",0,1)))</f>
        <v>1</v>
      </c>
      <c r="M99" s="9">
        <f>IF($F99="unclassified","N/A",(_xlfn.XLOOKUP($E99,Sheet2!$A:$A,Sheet2!V:V,"N/A",0,1)))</f>
        <v>1</v>
      </c>
      <c r="N99" s="25"/>
      <c r="O99" s="25">
        <f>IF($F99="unclassified","N/A",(_xlfn.XLOOKUP($E99,Sheet2!$A:$A,Sheet2!W:W,"N/A",0,1)))</f>
        <v>1</v>
      </c>
      <c r="P99" s="25">
        <f>IF($F99="unclassified","N/A",(_xlfn.XLOOKUP($E99,Sheet2!$A:$A,Sheet2!X:X,"N/A",0,1)))</f>
        <v>1</v>
      </c>
      <c r="Q99" s="25">
        <f>IF($F99="unclassified","N/A",(_xlfn.XLOOKUP($E99,Sheet2!$A:$A,Sheet2!Y:Y,"N/A",0,1)))</f>
        <v>1</v>
      </c>
      <c r="R99" s="25">
        <f>IF($F99="unclassified","N/A",(_xlfn.XLOOKUP($E99,Sheet2!$A:$A,Sheet2!Z:Z,"N/A",0,1)))</f>
        <v>1</v>
      </c>
      <c r="S99" s="25">
        <f>IF($F99="unclassified","N/A",(_xlfn.XLOOKUP($E99,Sheet2!$A:$A,Sheet2!AA:AA,"N/A",0,1)))</f>
        <v>1</v>
      </c>
      <c r="T99" s="25">
        <f>IF($F99="unclassified","N/A",(_xlfn.XLOOKUP($E99,Sheet2!$A:$A,Sheet2!AB:AB,"N/A",0,1)))</f>
        <v>1</v>
      </c>
      <c r="U99" s="11">
        <f>IF($F99="unclassified","N/A",(AVERAGE(Table325[[#This Row],[PO nr]:[Delivery Date]])))</f>
        <v>1</v>
      </c>
      <c r="V99" s="21"/>
      <c r="W99" s="21"/>
      <c r="X99" s="21"/>
      <c r="Y99" s="21"/>
      <c r="Z99" s="21"/>
    </row>
    <row r="100" spans="3:26" ht="15" customHeight="1" x14ac:dyDescent="0.3">
      <c r="C100" t="str">
        <f>_xlfn.XLOOKUP(Table325[[#This Row],[Customer]],'Top 300'!C:C,'Top 300'!A:A,"0",2,1)</f>
        <v>0</v>
      </c>
      <c r="D100" s="30" t="str">
        <f>_xlfn.XLOOKUP(Table325[[#This Row],[File Name]],'Analyse 2 Detail 02-03'!A:A,'Analyse 2 Detail 02-03'!R:R,"Not Found",0,1)</f>
        <v>G3 Medical B.V.</v>
      </c>
      <c r="E100" s="2" t="s">
        <v>165</v>
      </c>
      <c r="F100" s="64" t="s">
        <v>9</v>
      </c>
      <c r="G100" s="71">
        <v>0</v>
      </c>
      <c r="H100" s="25">
        <f>IF($F100="unclassified","N/A",(_xlfn.XLOOKUP($E100,Sheet2!$A:$A,Sheet2!Q:Q,"N/A",0,1)))</f>
        <v>1</v>
      </c>
      <c r="I100" s="25">
        <f>IF($F100="unclassified","N/A",(_xlfn.XLOOKUP($E100,Sheet2!$A:$A,Sheet2!R:R,"N/A",0,1)))</f>
        <v>1</v>
      </c>
      <c r="J100" s="25">
        <f>IF($F100="unclassified","N/A",(_xlfn.XLOOKUP($E100,Sheet2!$A:$A,Sheet2!S:S,"N/A",0,1)))</f>
        <v>1</v>
      </c>
      <c r="K100" s="25">
        <f>IF($F100="unclassified","N/A",(_xlfn.XLOOKUP($E100,Sheet2!$A:$A,Sheet2!T:T,"N/A",0,1)))</f>
        <v>1</v>
      </c>
      <c r="L100" s="25">
        <f>IF($F100="unclassified","N/A",(_xlfn.XLOOKUP($E100,Sheet2!$A:$A,Sheet2!U:U,"N/A",0,1)))</f>
        <v>1</v>
      </c>
      <c r="M100" s="9">
        <f>IF($F100="unclassified","N/A",(_xlfn.XLOOKUP($E100,Sheet2!$A:$A,Sheet2!V:V,"N/A",0,1)))</f>
        <v>1</v>
      </c>
      <c r="N100" s="25"/>
      <c r="O100" s="25">
        <f>IF($F100="unclassified","N/A",(_xlfn.XLOOKUP($E100,Sheet2!$A:$A,Sheet2!W:W,"N/A",0,1)))</f>
        <v>1</v>
      </c>
      <c r="P100" s="25">
        <f>IF($F100="unclassified","N/A",(_xlfn.XLOOKUP($E100,Sheet2!$A:$A,Sheet2!X:X,"N/A",0,1)))</f>
        <v>1</v>
      </c>
      <c r="Q100" s="25">
        <f>IF($F100="unclassified","N/A",(_xlfn.XLOOKUP($E100,Sheet2!$A:$A,Sheet2!Y:Y,"N/A",0,1)))</f>
        <v>1</v>
      </c>
      <c r="R100" s="25">
        <f>IF($F100="unclassified","N/A",(_xlfn.XLOOKUP($E100,Sheet2!$A:$A,Sheet2!Z:Z,"N/A",0,1)))</f>
        <v>1</v>
      </c>
      <c r="S100" s="25">
        <f>IF($F100="unclassified","N/A",(_xlfn.XLOOKUP($E100,Sheet2!$A:$A,Sheet2!AA:AA,"N/A",0,1)))</f>
        <v>1</v>
      </c>
      <c r="T100" s="25">
        <f>IF($F100="unclassified","N/A",(_xlfn.XLOOKUP($E100,Sheet2!$A:$A,Sheet2!AB:AB,"N/A",0,1)))</f>
        <v>1</v>
      </c>
      <c r="U100" s="11">
        <f>IF($F100="unclassified","N/A",(AVERAGE(Table325[[#This Row],[PO nr]:[Delivery Date]])))</f>
        <v>1</v>
      </c>
      <c r="V100" s="21"/>
      <c r="W100" s="21"/>
      <c r="X100" s="21"/>
      <c r="Y100" s="21"/>
      <c r="Z100" s="21"/>
    </row>
    <row r="101" spans="3:26" ht="15" customHeight="1" x14ac:dyDescent="0.3">
      <c r="C101" t="str">
        <f>_xlfn.XLOOKUP(Table325[[#This Row],[Customer]],'Top 300'!C:C,'Top 300'!A:A,"0",2,1)</f>
        <v>0</v>
      </c>
      <c r="D101" s="30">
        <f>_xlfn.XLOOKUP(Table325[[#This Row],[File Name]],'Analyse 2 Detail 02-03'!A:A,'Analyse 2 Detail 02-03'!R:R,"Not Found",0,1)</f>
        <v>0</v>
      </c>
      <c r="E101" s="2" t="s">
        <v>149</v>
      </c>
      <c r="F101" s="64" t="s">
        <v>11</v>
      </c>
      <c r="G101" s="71">
        <v>0</v>
      </c>
      <c r="H101" s="25" t="str">
        <f>IF($F101="unclassified","N/A",(_xlfn.XLOOKUP($E101,Sheet2!$A:$A,Sheet2!Q:Q,"N/A",0,1)))</f>
        <v>N/A</v>
      </c>
      <c r="I101" s="25" t="str">
        <f>IF($F101="unclassified","N/A",(_xlfn.XLOOKUP($E101,Sheet2!$A:$A,Sheet2!R:R,"N/A",0,1)))</f>
        <v>N/A</v>
      </c>
      <c r="J101" s="25" t="str">
        <f>IF($F101="unclassified","N/A",(_xlfn.XLOOKUP($E101,Sheet2!$A:$A,Sheet2!S:S,"N/A",0,1)))</f>
        <v>N/A</v>
      </c>
      <c r="K101" s="25" t="str">
        <f>IF($F101="unclassified","N/A",(_xlfn.XLOOKUP($E101,Sheet2!$A:$A,Sheet2!T:T,"N/A",0,1)))</f>
        <v>N/A</v>
      </c>
      <c r="L101" s="25" t="str">
        <f>IF($F101="unclassified","N/A",(_xlfn.XLOOKUP($E101,Sheet2!$A:$A,Sheet2!U:U,"N/A",0,1)))</f>
        <v>N/A</v>
      </c>
      <c r="M101" s="9" t="str">
        <f>IF($F101="unclassified","N/A",(_xlfn.XLOOKUP($E101,Sheet2!$A:$A,Sheet2!V:V,"N/A",0,1)))</f>
        <v>N/A</v>
      </c>
      <c r="N101" s="25"/>
      <c r="O101" s="25" t="str">
        <f>IF($F101="unclassified","N/A",(_xlfn.XLOOKUP($E101,Sheet2!$A:$A,Sheet2!W:W,"N/A",0,1)))</f>
        <v>N/A</v>
      </c>
      <c r="P101" s="25" t="str">
        <f>IF($F101="unclassified","N/A",(_xlfn.XLOOKUP($E101,Sheet2!$A:$A,Sheet2!X:X,"N/A",0,1)))</f>
        <v>N/A</v>
      </c>
      <c r="Q101" s="25" t="str">
        <f>IF($F101="unclassified","N/A",(_xlfn.XLOOKUP($E101,Sheet2!$A:$A,Sheet2!Y:Y,"N/A",0,1)))</f>
        <v>N/A</v>
      </c>
      <c r="R101" s="25" t="str">
        <f>IF($F101="unclassified","N/A",(_xlfn.XLOOKUP($E101,Sheet2!$A:$A,Sheet2!Z:Z,"N/A",0,1)))</f>
        <v>N/A</v>
      </c>
      <c r="S101" s="25" t="str">
        <f>IF($F101="unclassified","N/A",(_xlfn.XLOOKUP($E101,Sheet2!$A:$A,Sheet2!AA:AA,"N/A",0,1)))</f>
        <v>N/A</v>
      </c>
      <c r="T101" s="25" t="str">
        <f>IF($F101="unclassified","N/A",(_xlfn.XLOOKUP($E101,Sheet2!$A:$A,Sheet2!AB:AB,"N/A",0,1)))</f>
        <v>N/A</v>
      </c>
      <c r="U101" s="11" t="str">
        <f>IF($F101="unclassified","N/A",(AVERAGE(Table325[[#This Row],[PO nr]:[Delivery Date]])))</f>
        <v>N/A</v>
      </c>
      <c r="V101" s="21"/>
      <c r="W101" s="21"/>
      <c r="X101" s="21"/>
      <c r="Y101" s="21"/>
      <c r="Z101" s="21"/>
    </row>
    <row r="102" spans="3:26" ht="15" customHeight="1" x14ac:dyDescent="0.3">
      <c r="C102" t="str">
        <f>_xlfn.XLOOKUP(Table325[[#This Row],[Customer]],'Top 300'!C:C,'Top 300'!A:A,"0",2,1)</f>
        <v>0</v>
      </c>
      <c r="D102" s="30">
        <f>_xlfn.XLOOKUP(Table325[[#This Row],[File Name]],'Analyse 2 Detail 02-03'!A:A,'Analyse 2 Detail 02-03'!R:R,"Not Found",0,1)</f>
        <v>0</v>
      </c>
      <c r="E102" s="2" t="s">
        <v>157</v>
      </c>
      <c r="F102" s="64" t="s">
        <v>11</v>
      </c>
      <c r="G102" s="71">
        <v>0</v>
      </c>
      <c r="H102" s="25" t="str">
        <f>IF($F102="unclassified","N/A",(_xlfn.XLOOKUP($E102,Sheet2!$A:$A,Sheet2!Q:Q,"N/A",0,1)))</f>
        <v>N/A</v>
      </c>
      <c r="I102" s="25" t="str">
        <f>IF($F102="unclassified","N/A",(_xlfn.XLOOKUP($E102,Sheet2!$A:$A,Sheet2!R:R,"N/A",0,1)))</f>
        <v>N/A</v>
      </c>
      <c r="J102" s="25" t="str">
        <f>IF($F102="unclassified","N/A",(_xlfn.XLOOKUP($E102,Sheet2!$A:$A,Sheet2!S:S,"N/A",0,1)))</f>
        <v>N/A</v>
      </c>
      <c r="K102" s="25" t="str">
        <f>IF($F102="unclassified","N/A",(_xlfn.XLOOKUP($E102,Sheet2!$A:$A,Sheet2!T:T,"N/A",0,1)))</f>
        <v>N/A</v>
      </c>
      <c r="L102" s="25" t="str">
        <f>IF($F102="unclassified","N/A",(_xlfn.XLOOKUP($E102,Sheet2!$A:$A,Sheet2!U:U,"N/A",0,1)))</f>
        <v>N/A</v>
      </c>
      <c r="M102" s="9" t="str">
        <f>IF($F102="unclassified","N/A",(_xlfn.XLOOKUP($E102,Sheet2!$A:$A,Sheet2!V:V,"N/A",0,1)))</f>
        <v>N/A</v>
      </c>
      <c r="N102" s="25"/>
      <c r="O102" s="25" t="str">
        <f>IF($F102="unclassified","N/A",(_xlfn.XLOOKUP($E102,Sheet2!$A:$A,Sheet2!W:W,"N/A",0,1)))</f>
        <v>N/A</v>
      </c>
      <c r="P102" s="25" t="str">
        <f>IF($F102="unclassified","N/A",(_xlfn.XLOOKUP($E102,Sheet2!$A:$A,Sheet2!X:X,"N/A",0,1)))</f>
        <v>N/A</v>
      </c>
      <c r="Q102" s="25" t="str">
        <f>IF($F102="unclassified","N/A",(_xlfn.XLOOKUP($E102,Sheet2!$A:$A,Sheet2!Y:Y,"N/A",0,1)))</f>
        <v>N/A</v>
      </c>
      <c r="R102" s="25" t="str">
        <f>IF($F102="unclassified","N/A",(_xlfn.XLOOKUP($E102,Sheet2!$A:$A,Sheet2!Z:Z,"N/A",0,1)))</f>
        <v>N/A</v>
      </c>
      <c r="S102" s="25" t="str">
        <f>IF($F102="unclassified","N/A",(_xlfn.XLOOKUP($E102,Sheet2!$A:$A,Sheet2!AA:AA,"N/A",0,1)))</f>
        <v>N/A</v>
      </c>
      <c r="T102" s="25" t="str">
        <f>IF($F102="unclassified","N/A",(_xlfn.XLOOKUP($E102,Sheet2!$A:$A,Sheet2!AB:AB,"N/A",0,1)))</f>
        <v>N/A</v>
      </c>
      <c r="U102" s="11" t="str">
        <f>IF($F102="unclassified","N/A",(AVERAGE(Table325[[#This Row],[PO nr]:[Delivery Date]])))</f>
        <v>N/A</v>
      </c>
      <c r="V102" s="21"/>
      <c r="W102" s="21"/>
      <c r="X102" s="21"/>
      <c r="Y102" s="21"/>
      <c r="Z102" s="21"/>
    </row>
    <row r="103" spans="3:26" ht="15" customHeight="1" x14ac:dyDescent="0.3">
      <c r="C103" t="str">
        <f>_xlfn.XLOOKUP(Table325[[#This Row],[Customer]],'Top 300'!C:C,'Top 300'!A:A,"0",2,1)</f>
        <v>0</v>
      </c>
      <c r="D103" s="30" t="str">
        <f>_xlfn.XLOOKUP(Table325[[#This Row],[File Name]],'Analyse 2 Detail 02-03'!A:A,'Analyse 2 Detail 02-03'!R:R,"Not Found",0,1)</f>
        <v>G3 Medical B.V.</v>
      </c>
      <c r="E103" s="2" t="s">
        <v>112</v>
      </c>
      <c r="F103" s="64" t="s">
        <v>9</v>
      </c>
      <c r="G103" s="71">
        <v>0</v>
      </c>
      <c r="H103" s="25">
        <f>IF($F103="unclassified","N/A",(_xlfn.XLOOKUP($E103,Sheet2!$A:$A,Sheet2!Q:Q,"N/A",0,1)))</f>
        <v>1</v>
      </c>
      <c r="I103" s="25">
        <f>IF($F103="unclassified","N/A",(_xlfn.XLOOKUP($E103,Sheet2!$A:$A,Sheet2!R:R,"N/A",0,1)))</f>
        <v>1</v>
      </c>
      <c r="J103" s="25">
        <f>IF($F103="unclassified","N/A",(_xlfn.XLOOKUP($E103,Sheet2!$A:$A,Sheet2!S:S,"N/A",0,1)))</f>
        <v>1</v>
      </c>
      <c r="K103" s="25">
        <f>IF($F103="unclassified","N/A",(_xlfn.XLOOKUP($E103,Sheet2!$A:$A,Sheet2!T:T,"N/A",0,1)))</f>
        <v>1</v>
      </c>
      <c r="L103" s="25">
        <f>IF($F103="unclassified","N/A",(_xlfn.XLOOKUP($E103,Sheet2!$A:$A,Sheet2!U:U,"N/A",0,1)))</f>
        <v>1</v>
      </c>
      <c r="M103" s="9">
        <f>IF($F103="unclassified","N/A",(_xlfn.XLOOKUP($E103,Sheet2!$A:$A,Sheet2!V:V,"N/A",0,1)))</f>
        <v>1</v>
      </c>
      <c r="N103" s="25"/>
      <c r="O103" s="25">
        <f>IF($F103="unclassified","N/A",(_xlfn.XLOOKUP($E103,Sheet2!$A:$A,Sheet2!W:W,"N/A",0,1)))</f>
        <v>1</v>
      </c>
      <c r="P103" s="25">
        <f>IF($F103="unclassified","N/A",(_xlfn.XLOOKUP($E103,Sheet2!$A:$A,Sheet2!X:X,"N/A",0,1)))</f>
        <v>1</v>
      </c>
      <c r="Q103" s="25">
        <f>IF($F103="unclassified","N/A",(_xlfn.XLOOKUP($E103,Sheet2!$A:$A,Sheet2!Y:Y,"N/A",0,1)))</f>
        <v>1</v>
      </c>
      <c r="R103" s="25">
        <f>IF($F103="unclassified","N/A",(_xlfn.XLOOKUP($E103,Sheet2!$A:$A,Sheet2!Z:Z,"N/A",0,1)))</f>
        <v>1</v>
      </c>
      <c r="S103" s="25">
        <f>IF($F103="unclassified","N/A",(_xlfn.XLOOKUP($E103,Sheet2!$A:$A,Sheet2!AA:AA,"N/A",0,1)))</f>
        <v>1</v>
      </c>
      <c r="T103" s="25">
        <f>IF($F103="unclassified","N/A",(_xlfn.XLOOKUP($E103,Sheet2!$A:$A,Sheet2!AB:AB,"N/A",0,1)))</f>
        <v>1</v>
      </c>
      <c r="U103" s="11">
        <f>IF($F103="unclassified","N/A",(AVERAGE(Table325[[#This Row],[PO nr]:[Delivery Date]])))</f>
        <v>1</v>
      </c>
      <c r="V103" s="21"/>
      <c r="W103" s="21"/>
      <c r="X103" s="21"/>
      <c r="Y103" s="21"/>
      <c r="Z103" s="21"/>
    </row>
    <row r="104" spans="3:26" ht="15" customHeight="1" x14ac:dyDescent="0.3">
      <c r="C104" t="str">
        <f>_xlfn.XLOOKUP(Table325[[#This Row],[Customer]],'Top 300'!C:C,'Top 300'!A:A,"0",2,1)</f>
        <v>0</v>
      </c>
      <c r="D104" s="30" t="str">
        <f>_xlfn.XLOOKUP(Table325[[#This Row],[File Name]],'Analyse 2 Detail 02-03'!A:A,'Analyse 2 Detail 02-03'!R:R,"Not Found",0,1)</f>
        <v>G3 Medical B.V.</v>
      </c>
      <c r="E104" s="2" t="s">
        <v>174</v>
      </c>
      <c r="F104" s="64" t="s">
        <v>9</v>
      </c>
      <c r="G104" s="71">
        <v>0</v>
      </c>
      <c r="H104" s="25">
        <f>IF($F104="unclassified","N/A",(_xlfn.XLOOKUP($E104,Sheet2!$A:$A,Sheet2!Q:Q,"N/A",0,1)))</f>
        <v>1</v>
      </c>
      <c r="I104" s="25">
        <f>IF($F104="unclassified","N/A",(_xlfn.XLOOKUP($E104,Sheet2!$A:$A,Sheet2!R:R,"N/A",0,1)))</f>
        <v>1</v>
      </c>
      <c r="J104" s="25">
        <f>IF($F104="unclassified","N/A",(_xlfn.XLOOKUP($E104,Sheet2!$A:$A,Sheet2!S:S,"N/A",0,1)))</f>
        <v>1</v>
      </c>
      <c r="K104" s="25">
        <f>IF($F104="unclassified","N/A",(_xlfn.XLOOKUP($E104,Sheet2!$A:$A,Sheet2!T:T,"N/A",0,1)))</f>
        <v>1</v>
      </c>
      <c r="L104" s="25">
        <f>IF($F104="unclassified","N/A",(_xlfn.XLOOKUP($E104,Sheet2!$A:$A,Sheet2!U:U,"N/A",0,1)))</f>
        <v>1</v>
      </c>
      <c r="M104" s="9">
        <f>IF($F104="unclassified","N/A",(_xlfn.XLOOKUP($E104,Sheet2!$A:$A,Sheet2!V:V,"N/A",0,1)))</f>
        <v>1</v>
      </c>
      <c r="N104" s="25"/>
      <c r="O104" s="25">
        <f>IF($F104="unclassified","N/A",(_xlfn.XLOOKUP($E104,Sheet2!$A:$A,Sheet2!W:W,"N/A",0,1)))</f>
        <v>1</v>
      </c>
      <c r="P104" s="25">
        <f>IF($F104="unclassified","N/A",(_xlfn.XLOOKUP($E104,Sheet2!$A:$A,Sheet2!X:X,"N/A",0,1)))</f>
        <v>1</v>
      </c>
      <c r="Q104" s="25">
        <f>IF($F104="unclassified","N/A",(_xlfn.XLOOKUP($E104,Sheet2!$A:$A,Sheet2!Y:Y,"N/A",0,1)))</f>
        <v>1</v>
      </c>
      <c r="R104" s="25">
        <f>IF($F104="unclassified","N/A",(_xlfn.XLOOKUP($E104,Sheet2!$A:$A,Sheet2!Z:Z,"N/A",0,1)))</f>
        <v>1</v>
      </c>
      <c r="S104" s="25">
        <f>IF($F104="unclassified","N/A",(_xlfn.XLOOKUP($E104,Sheet2!$A:$A,Sheet2!AA:AA,"N/A",0,1)))</f>
        <v>1</v>
      </c>
      <c r="T104" s="25">
        <f>IF($F104="unclassified","N/A",(_xlfn.XLOOKUP($E104,Sheet2!$A:$A,Sheet2!AB:AB,"N/A",0,1)))</f>
        <v>1</v>
      </c>
      <c r="U104" s="11">
        <f>IF($F104="unclassified","N/A",(AVERAGE(Table325[[#This Row],[PO nr]:[Delivery Date]])))</f>
        <v>1</v>
      </c>
      <c r="V104" s="21"/>
      <c r="W104" s="21"/>
      <c r="X104" s="21"/>
      <c r="Y104" s="21"/>
      <c r="Z104" s="21"/>
    </row>
    <row r="105" spans="3:26" ht="15" customHeight="1" thickBot="1" x14ac:dyDescent="0.35">
      <c r="C105" t="str">
        <f>_xlfn.XLOOKUP(Table325[[#This Row],[Customer]],'Top 300'!C:C,'Top 300'!A:A,"0",2,1)</f>
        <v>0</v>
      </c>
      <c r="D105" s="31" t="str">
        <f>_xlfn.XLOOKUP(Table325[[#This Row],[File Name]],'Analyse 2 Detail 02-03'!A:A,'Analyse 2 Detail 02-03'!R:R,"Not Found",0,1)</f>
        <v>G3 Medical B.V.</v>
      </c>
      <c r="E105" s="32" t="s">
        <v>178</v>
      </c>
      <c r="F105" s="65" t="s">
        <v>9</v>
      </c>
      <c r="G105" s="72">
        <v>0</v>
      </c>
      <c r="H105" s="25">
        <f>IF($F105="unclassified","N/A",(_xlfn.XLOOKUP($E105,Sheet2!$A:$A,Sheet2!Q:Q,"N/A",0,1)))</f>
        <v>1</v>
      </c>
      <c r="I105" s="25">
        <f>IF($F105="unclassified","N/A",(_xlfn.XLOOKUP($E105,Sheet2!$A:$A,Sheet2!R:R,"N/A",0,1)))</f>
        <v>1</v>
      </c>
      <c r="J105" s="25">
        <f>IF($F105="unclassified","N/A",(_xlfn.XLOOKUP($E105,Sheet2!$A:$A,Sheet2!S:S,"N/A",0,1)))</f>
        <v>1</v>
      </c>
      <c r="K105" s="25">
        <f>IF($F105="unclassified","N/A",(_xlfn.XLOOKUP($E105,Sheet2!$A:$A,Sheet2!T:T,"N/A",0,1)))</f>
        <v>1</v>
      </c>
      <c r="L105" s="25">
        <f>IF($F105="unclassified","N/A",(_xlfn.XLOOKUP($E105,Sheet2!$A:$A,Sheet2!U:U,"N/A",0,1)))</f>
        <v>1</v>
      </c>
      <c r="M105" s="25">
        <f>IF($F105="unclassified","N/A",(_xlfn.XLOOKUP($E105,Sheet2!$A:$A,Sheet2!V:V,"N/A",0,1)))</f>
        <v>1</v>
      </c>
      <c r="N105" s="25"/>
      <c r="O105" s="25">
        <f>IF($F105="unclassified","N/A",(_xlfn.XLOOKUP($E105,Sheet2!$A:$A,Sheet2!W:W,"N/A",0,1)))</f>
        <v>1</v>
      </c>
      <c r="P105" s="25">
        <f>IF($F105="unclassified","N/A",(_xlfn.XLOOKUP($E105,Sheet2!$A:$A,Sheet2!X:X,"N/A",0,1)))</f>
        <v>1</v>
      </c>
      <c r="Q105" s="25">
        <f>IF($F105="unclassified","N/A",(_xlfn.XLOOKUP($E105,Sheet2!$A:$A,Sheet2!Y:Y,"N/A",0,1)))</f>
        <v>1</v>
      </c>
      <c r="R105" s="25">
        <f>IF($F105="unclassified","N/A",(_xlfn.XLOOKUP($E105,Sheet2!$A:$A,Sheet2!Z:Z,"N/A",0,1)))</f>
        <v>1</v>
      </c>
      <c r="S105" s="25">
        <f>IF($F105="unclassified","N/A",(_xlfn.XLOOKUP($E105,Sheet2!$A:$A,Sheet2!AA:AA,"N/A",0,1)))</f>
        <v>1</v>
      </c>
      <c r="T105" s="25">
        <f>IF($F105="unclassified","N/A",(_xlfn.XLOOKUP($E105,Sheet2!$A:$A,Sheet2!AB:AB,"N/A",0,1)))</f>
        <v>1</v>
      </c>
      <c r="U105" s="11">
        <f>IF($F105="unclassified","N/A",(AVERAGE(Table325[[#This Row],[PO nr]:[Delivery Date]])))</f>
        <v>1</v>
      </c>
      <c r="V105" s="69"/>
      <c r="W105" s="69"/>
      <c r="X105" s="69"/>
      <c r="Y105" s="69"/>
      <c r="Z105" s="21"/>
    </row>
    <row r="111" spans="3:26" ht="33.6" x14ac:dyDescent="0.65">
      <c r="D111" s="117" t="s">
        <v>2366</v>
      </c>
    </row>
    <row r="112" spans="3:26" ht="15" customHeight="1" thickBot="1" x14ac:dyDescent="0.35">
      <c r="E112" s="59">
        <f>COUNTA(Table3253[File Name])</f>
        <v>99</v>
      </c>
      <c r="F112">
        <f>COUNTIF(Table3253[Recognised doc type],"extracted")</f>
        <v>76</v>
      </c>
      <c r="G112" s="24">
        <f>SUM(Table3253['# Missing fields])</f>
        <v>69</v>
      </c>
      <c r="H112" s="25">
        <f>AVERAGE(Table3253[PO nr])</f>
        <v>1</v>
      </c>
      <c r="I112" s="25">
        <f>AVERAGE(Table3253[Supplier Order Nr])</f>
        <v>1</v>
      </c>
      <c r="J112" s="25">
        <f>AVERAGE(Table3253[Order Date])</f>
        <v>1</v>
      </c>
      <c r="K112" s="25">
        <f>AVERAGE(Table3253[Supplier Name])</f>
        <v>1</v>
      </c>
      <c r="L112" s="25">
        <f>AVERAGE(Table3253[Customer name])</f>
        <v>1</v>
      </c>
      <c r="M112" s="25">
        <f>AVERAGE(Table3253[Currency])</f>
        <v>1</v>
      </c>
      <c r="N112" s="86"/>
      <c r="O112" s="25">
        <f>AVERAGE(Table3253[Article Number])</f>
        <v>1</v>
      </c>
      <c r="P112" s="25">
        <f>AVERAGE(Table3253[Description])</f>
        <v>1</v>
      </c>
      <c r="Q112" s="25">
        <f>AVERAGE(Table3253[Quantity])</f>
        <v>1</v>
      </c>
      <c r="R112" s="25">
        <f>AVERAGE(Table3253[UoM])</f>
        <v>1</v>
      </c>
      <c r="S112" s="25">
        <f>AVERAGE(Table3253[Unit Price])</f>
        <v>1</v>
      </c>
      <c r="T112" s="25">
        <f>AVERAGE(Table3253[Delivery Date])</f>
        <v>1</v>
      </c>
      <c r="U112" s="5">
        <f>AVERAGE(H112:T112)</f>
        <v>1</v>
      </c>
    </row>
    <row r="113" spans="4:26" ht="15" customHeight="1" thickBot="1" x14ac:dyDescent="0.35">
      <c r="D113" s="6"/>
      <c r="E113" s="7"/>
      <c r="F113" s="7"/>
      <c r="G113" s="27"/>
      <c r="H113" s="145" t="s">
        <v>193</v>
      </c>
      <c r="I113" s="146"/>
      <c r="J113" s="146"/>
      <c r="K113" s="146"/>
      <c r="L113" s="146"/>
      <c r="M113" s="146"/>
      <c r="N113" s="146"/>
      <c r="O113" s="146"/>
      <c r="P113" s="146"/>
      <c r="Q113" s="146"/>
      <c r="R113" s="146"/>
      <c r="S113" s="146"/>
      <c r="T113" s="147"/>
      <c r="U113" s="7"/>
      <c r="V113" s="19"/>
      <c r="W113" s="19"/>
      <c r="X113" s="18"/>
      <c r="Y113" s="18"/>
      <c r="Z113" s="18"/>
    </row>
    <row r="114" spans="4:26" ht="15" customHeight="1" thickBot="1" x14ac:dyDescent="0.35">
      <c r="D114" s="73" t="s">
        <v>42</v>
      </c>
      <c r="E114" s="74" t="s">
        <v>0</v>
      </c>
      <c r="F114" s="75" t="s">
        <v>44</v>
      </c>
      <c r="G114" s="82" t="s">
        <v>45</v>
      </c>
      <c r="H114" s="76" t="s">
        <v>47</v>
      </c>
      <c r="I114" s="77" t="s">
        <v>191</v>
      </c>
      <c r="J114" s="76" t="s">
        <v>48</v>
      </c>
      <c r="K114" s="76" t="s">
        <v>49</v>
      </c>
      <c r="L114" s="76" t="s">
        <v>50</v>
      </c>
      <c r="M114" s="76" t="s">
        <v>51</v>
      </c>
      <c r="N114" s="87" t="s">
        <v>52</v>
      </c>
      <c r="O114" s="76" t="s">
        <v>192</v>
      </c>
      <c r="P114" s="76" t="s">
        <v>54</v>
      </c>
      <c r="Q114" s="76" t="s">
        <v>55</v>
      </c>
      <c r="R114" s="76" t="s">
        <v>56</v>
      </c>
      <c r="S114" s="76" t="s">
        <v>57</v>
      </c>
      <c r="T114" s="78" t="s">
        <v>58</v>
      </c>
      <c r="U114" s="79" t="s">
        <v>194</v>
      </c>
      <c r="V114" s="80" t="s">
        <v>59</v>
      </c>
      <c r="W114" s="80" t="s">
        <v>196</v>
      </c>
      <c r="X114" s="80" t="s">
        <v>60</v>
      </c>
      <c r="Y114" s="81" t="s">
        <v>61</v>
      </c>
      <c r="Z114" s="92" t="s">
        <v>208</v>
      </c>
    </row>
    <row r="115" spans="4:26" ht="15" customHeight="1" x14ac:dyDescent="0.3">
      <c r="D115" s="28" t="str">
        <f>_xlfn.XLOOKUP(Table3253[[#This Row],[File Name]],'Analyse 2 Detail 02-03'!A:A,'Analyse 2 Detail 02-03'!R:R,"Not Found",0,1)</f>
        <v>Mölnlycke Health Care NV</v>
      </c>
      <c r="E115" s="2" t="s">
        <v>132</v>
      </c>
      <c r="F115" s="63" t="s">
        <v>9</v>
      </c>
      <c r="G115" s="70">
        <v>0</v>
      </c>
      <c r="H115" s="25">
        <f>IF($F115="unclassified","N/A",(_xlfn.XLOOKUP($E115,Sheet2!$A:$A,Sheet2!Q:Q,"N/A",0,1)))</f>
        <v>1</v>
      </c>
      <c r="I115" s="25">
        <f>IF($F115="unclassified","N/A",(_xlfn.XLOOKUP($E115,Sheet2!$A:$A,Sheet2!R:R,"N/A",0,1)))</f>
        <v>1</v>
      </c>
      <c r="J115" s="25">
        <f>IF($F115="unclassified","N/A",(_xlfn.XLOOKUP($E115,Sheet2!$A:$A,Sheet2!S:S,"N/A",0,1)))</f>
        <v>1</v>
      </c>
      <c r="K115" s="25">
        <f>IF($F115="unclassified","N/A",(_xlfn.XLOOKUP($E115,Sheet2!$A:$A,Sheet2!T:T,"N/A",0,1)))</f>
        <v>1</v>
      </c>
      <c r="L115" s="25">
        <f>IF($F115="unclassified","N/A",(_xlfn.XLOOKUP($E115,Sheet2!$A:$A,Sheet2!U:U,"N/A",0,1)))</f>
        <v>1</v>
      </c>
      <c r="M115" s="25">
        <f>IF($F115="unclassified","N/A",(_xlfn.XLOOKUP($E115,Sheet2!$A:$A,Sheet2!V:V,"N/A",0,1)))</f>
        <v>1</v>
      </c>
      <c r="N115" s="25"/>
      <c r="O115" s="25">
        <f>IF($F115="unclassified","N/A",(_xlfn.XLOOKUP($E115,Sheet2!$A:$A,Sheet2!W:W,"N/A",0,1)))</f>
        <v>1</v>
      </c>
      <c r="P115" s="25">
        <f>IF($F115="unclassified","N/A",(_xlfn.XLOOKUP($E115,Sheet2!$A:$A,Sheet2!X:X,"N/A",0,1)))</f>
        <v>1</v>
      </c>
      <c r="Q115" s="25">
        <f>IF($F115="unclassified","N/A",(_xlfn.XLOOKUP($E115,Sheet2!$A:$A,Sheet2!Y:Y,"N/A",0,1)))</f>
        <v>1</v>
      </c>
      <c r="R115" s="25">
        <f>IF($F115="unclassified","N/A",(_xlfn.XLOOKUP($E115,Sheet2!$A:$A,Sheet2!Z:Z,"N/A",0,1)))</f>
        <v>1</v>
      </c>
      <c r="S115" s="25">
        <f>IF($F115="unclassified","N/A",(_xlfn.XLOOKUP($E115,Sheet2!$A:$A,Sheet2!AA:AA,"N/A",0,1)))</f>
        <v>1</v>
      </c>
      <c r="T115" s="25">
        <f>IF($F115="unclassified","N/A",(_xlfn.XLOOKUP($E115,Sheet2!$A:$A,Sheet2!AB:AB,"N/A",0,1)))</f>
        <v>1</v>
      </c>
      <c r="U115" s="11">
        <f>IF($F115="unclassified","N/A",(AVERAGE(Table3253[[#This Row],[PO nr]:[Delivery Date]])))</f>
        <v>1</v>
      </c>
      <c r="V115" s="20"/>
      <c r="W115" s="39"/>
      <c r="X115" s="39"/>
      <c r="Y115" s="20"/>
      <c r="Z115" s="21"/>
    </row>
    <row r="116" spans="4:26" ht="15" customHeight="1" x14ac:dyDescent="0.3">
      <c r="D116" s="30" t="str">
        <f>_xlfn.XLOOKUP(Table3253[[#This Row],[File Name]],'Analyse 2 Detail 02-03'!A:A,'Analyse 2 Detail 02-03'!R:R,"Not Found",0,1)</f>
        <v>Mölnlycke Health Care B.V.</v>
      </c>
      <c r="E116" s="2" t="s">
        <v>169</v>
      </c>
      <c r="F116" s="64" t="s">
        <v>9</v>
      </c>
      <c r="G116" s="71">
        <v>0</v>
      </c>
      <c r="H116" s="25">
        <f>IF($F116="unclassified","N/A",(_xlfn.XLOOKUP($E116,Sheet2!$A:$A,Sheet2!Q:Q,"N/A",0,1)))</f>
        <v>1</v>
      </c>
      <c r="I116" s="25">
        <f>IF($F116="unclassified","N/A",(_xlfn.XLOOKUP($E116,Sheet2!$A:$A,Sheet2!R:R,"N/A",0,1)))</f>
        <v>1</v>
      </c>
      <c r="J116" s="25">
        <f>IF($F116="unclassified","N/A",(_xlfn.XLOOKUP($E116,Sheet2!$A:$A,Sheet2!S:S,"N/A",0,1)))</f>
        <v>1</v>
      </c>
      <c r="K116" s="25">
        <f>IF($F116="unclassified","N/A",(_xlfn.XLOOKUP($E116,Sheet2!$A:$A,Sheet2!T:T,"N/A",0,1)))</f>
        <v>1</v>
      </c>
      <c r="L116" s="25">
        <f>IF($F116="unclassified","N/A",(_xlfn.XLOOKUP($E116,Sheet2!$A:$A,Sheet2!U:U,"N/A",0,1)))</f>
        <v>1</v>
      </c>
      <c r="M116" s="25">
        <f>IF($F116="unclassified","N/A",(_xlfn.XLOOKUP($E116,Sheet2!$A:$A,Sheet2!V:V,"N/A",0,1)))</f>
        <v>1</v>
      </c>
      <c r="N116" s="25"/>
      <c r="O116" s="25">
        <f>IF($F116="unclassified","N/A",(_xlfn.XLOOKUP($E116,Sheet2!$A:$A,Sheet2!W:W,"N/A",0,1)))</f>
        <v>1</v>
      </c>
      <c r="P116" s="25">
        <f>IF($F116="unclassified","N/A",(_xlfn.XLOOKUP($E116,Sheet2!$A:$A,Sheet2!X:X,"N/A",0,1)))</f>
        <v>1</v>
      </c>
      <c r="Q116" s="25">
        <f>IF($F116="unclassified","N/A",(_xlfn.XLOOKUP($E116,Sheet2!$A:$A,Sheet2!Y:Y,"N/A",0,1)))</f>
        <v>1</v>
      </c>
      <c r="R116" s="25">
        <f>IF($F116="unclassified","N/A",(_xlfn.XLOOKUP($E116,Sheet2!$A:$A,Sheet2!Z:Z,"N/A",0,1)))</f>
        <v>1</v>
      </c>
      <c r="S116" s="25">
        <f>IF($F116="unclassified","N/A",(_xlfn.XLOOKUP($E116,Sheet2!$A:$A,Sheet2!AA:AA,"N/A",0,1)))</f>
        <v>1</v>
      </c>
      <c r="T116" s="25">
        <f>IF($F116="unclassified","N/A",(_xlfn.XLOOKUP($E116,Sheet2!$A:$A,Sheet2!AB:AB,"N/A",0,1)))</f>
        <v>1</v>
      </c>
      <c r="U116" s="11">
        <f>IF($F116="unclassified","N/A",(AVERAGE(Table3253[[#This Row],[PO nr]:[Delivery Date]])))</f>
        <v>1</v>
      </c>
      <c r="V116" s="21"/>
      <c r="X116" s="54"/>
      <c r="Y116" s="55"/>
      <c r="Z116" s="55"/>
    </row>
    <row r="117" spans="4:26" ht="15" customHeight="1" x14ac:dyDescent="0.3">
      <c r="D117" s="30" t="str">
        <f>_xlfn.XLOOKUP(Table3253[[#This Row],[File Name]],'Analyse 2 Detail 02-03'!A:A,'Analyse 2 Detail 02-03'!R:R,"Not Found",0,1)</f>
        <v>Mölnlycke Health Care B.V.</v>
      </c>
      <c r="E117" s="2" t="s">
        <v>139</v>
      </c>
      <c r="F117" s="64" t="s">
        <v>9</v>
      </c>
      <c r="G117" s="71">
        <v>0</v>
      </c>
      <c r="H117" s="25">
        <f>IF($F117="unclassified","N/A",(_xlfn.XLOOKUP($E117,Sheet2!$A:$A,Sheet2!Q:Q,"N/A",0,1)))</f>
        <v>1</v>
      </c>
      <c r="I117" s="25">
        <f>IF($F117="unclassified","N/A",(_xlfn.XLOOKUP($E117,Sheet2!$A:$A,Sheet2!R:R,"N/A",0,1)))</f>
        <v>1</v>
      </c>
      <c r="J117" s="25">
        <f>IF($F117="unclassified","N/A",(_xlfn.XLOOKUP($E117,Sheet2!$A:$A,Sheet2!S:S,"N/A",0,1)))</f>
        <v>1</v>
      </c>
      <c r="K117" s="25">
        <f>IF($F117="unclassified","N/A",(_xlfn.XLOOKUP($E117,Sheet2!$A:$A,Sheet2!T:T,"N/A",0,1)))</f>
        <v>1</v>
      </c>
      <c r="L117" s="25">
        <f>IF($F117="unclassified","N/A",(_xlfn.XLOOKUP($E117,Sheet2!$A:$A,Sheet2!U:U,"N/A",0,1)))</f>
        <v>1</v>
      </c>
      <c r="M117" s="25">
        <f>IF($F117="unclassified","N/A",(_xlfn.XLOOKUP($E117,Sheet2!$A:$A,Sheet2!V:V,"N/A",0,1)))</f>
        <v>1</v>
      </c>
      <c r="N117" s="25"/>
      <c r="O117" s="25">
        <f>IF($F117="unclassified","N/A",(_xlfn.XLOOKUP($E117,Sheet2!$A:$A,Sheet2!W:W,"N/A",0,1)))</f>
        <v>1</v>
      </c>
      <c r="P117" s="25">
        <f>IF($F117="unclassified","N/A",(_xlfn.XLOOKUP($E117,Sheet2!$A:$A,Sheet2!X:X,"N/A",0,1)))</f>
        <v>1</v>
      </c>
      <c r="Q117" s="25">
        <f>IF($F117="unclassified","N/A",(_xlfn.XLOOKUP($E117,Sheet2!$A:$A,Sheet2!Y:Y,"N/A",0,1)))</f>
        <v>1</v>
      </c>
      <c r="R117" s="25">
        <f>IF($F117="unclassified","N/A",(_xlfn.XLOOKUP($E117,Sheet2!$A:$A,Sheet2!Z:Z,"N/A",0,1)))</f>
        <v>1</v>
      </c>
      <c r="S117" s="25">
        <f>IF($F117="unclassified","N/A",(_xlfn.XLOOKUP($E117,Sheet2!$A:$A,Sheet2!AA:AA,"N/A",0,1)))</f>
        <v>1</v>
      </c>
      <c r="T117" s="25">
        <f>IF($F117="unclassified","N/A",(_xlfn.XLOOKUP($E117,Sheet2!$A:$A,Sheet2!AB:AB,"N/A",0,1)))</f>
        <v>1</v>
      </c>
      <c r="U117" s="11">
        <f>IF($F117="unclassified","N/A",(AVERAGE(Table3253[[#This Row],[PO nr]:[Delivery Date]])))</f>
        <v>1</v>
      </c>
      <c r="V117" s="21"/>
      <c r="W117" s="39"/>
      <c r="X117" s="39"/>
      <c r="Y117" s="21"/>
      <c r="Z117" s="21"/>
    </row>
    <row r="118" spans="4:26" ht="15" customHeight="1" x14ac:dyDescent="0.3">
      <c r="D118" s="30" t="str">
        <f>_xlfn.XLOOKUP(Table3253[[#This Row],[File Name]],'Analyse 2 Detail 02-03'!A:A,'Analyse 2 Detail 02-03'!R:R,"Not Found",0,1)</f>
        <v>Mölnlycke Health Care B.V.</v>
      </c>
      <c r="E118" s="2" t="s">
        <v>161</v>
      </c>
      <c r="F118" s="64" t="s">
        <v>9</v>
      </c>
      <c r="G118" s="71">
        <v>0</v>
      </c>
      <c r="H118" s="25">
        <f>IF($F118="unclassified","N/A",(_xlfn.XLOOKUP($E118,Sheet2!$A:$A,Sheet2!Q:Q,"N/A",0,1)))</f>
        <v>1</v>
      </c>
      <c r="I118" s="25">
        <f>IF($F118="unclassified","N/A",(_xlfn.XLOOKUP($E118,Sheet2!$A:$A,Sheet2!R:R,"N/A",0,1)))</f>
        <v>1</v>
      </c>
      <c r="J118" s="25">
        <f>IF($F118="unclassified","N/A",(_xlfn.XLOOKUP($E118,Sheet2!$A:$A,Sheet2!S:S,"N/A",0,1)))</f>
        <v>1</v>
      </c>
      <c r="K118" s="25">
        <f>IF($F118="unclassified","N/A",(_xlfn.XLOOKUP($E118,Sheet2!$A:$A,Sheet2!T:T,"N/A",0,1)))</f>
        <v>1</v>
      </c>
      <c r="L118" s="25">
        <f>IF($F118="unclassified","N/A",(_xlfn.XLOOKUP($E118,Sheet2!$A:$A,Sheet2!U:U,"N/A",0,1)))</f>
        <v>1</v>
      </c>
      <c r="M118" s="25">
        <f>IF($F118="unclassified","N/A",(_xlfn.XLOOKUP($E118,Sheet2!$A:$A,Sheet2!V:V,"N/A",0,1)))</f>
        <v>1</v>
      </c>
      <c r="N118" s="25"/>
      <c r="O118" s="25">
        <f>IF($F118="unclassified","N/A",(_xlfn.XLOOKUP($E118,Sheet2!$A:$A,Sheet2!W:W,"N/A",0,1)))</f>
        <v>1</v>
      </c>
      <c r="P118" s="25">
        <f>IF($F118="unclassified","N/A",(_xlfn.XLOOKUP($E118,Sheet2!$A:$A,Sheet2!X:X,"N/A",0,1)))</f>
        <v>1</v>
      </c>
      <c r="Q118" s="25">
        <f>IF($F118="unclassified","N/A",(_xlfn.XLOOKUP($E118,Sheet2!$A:$A,Sheet2!Y:Y,"N/A",0,1)))</f>
        <v>1</v>
      </c>
      <c r="R118" s="25">
        <f>IF($F118="unclassified","N/A",(_xlfn.XLOOKUP($E118,Sheet2!$A:$A,Sheet2!Z:Z,"N/A",0,1)))</f>
        <v>1</v>
      </c>
      <c r="S118" s="25">
        <f>IF($F118="unclassified","N/A",(_xlfn.XLOOKUP($E118,Sheet2!$A:$A,Sheet2!AA:AA,"N/A",0,1)))</f>
        <v>1</v>
      </c>
      <c r="T118" s="25">
        <f>IF($F118="unclassified","N/A",(_xlfn.XLOOKUP($E118,Sheet2!$A:$A,Sheet2!AB:AB,"N/A",0,1)))</f>
        <v>1</v>
      </c>
      <c r="U118" s="11">
        <f>IF($F118="unclassified","N/A",(AVERAGE(Table3253[[#This Row],[PO nr]:[Delivery Date]])))</f>
        <v>1</v>
      </c>
      <c r="V118" s="21"/>
      <c r="W118" s="39"/>
      <c r="X118" s="40"/>
      <c r="Y118" s="56"/>
      <c r="Z118" s="56"/>
    </row>
    <row r="119" spans="4:26" ht="15" customHeight="1" x14ac:dyDescent="0.3">
      <c r="D119" s="30" t="str">
        <f>_xlfn.XLOOKUP(Table3253[[#This Row],[File Name]],'Analyse 2 Detail 02-03'!A:A,'Analyse 2 Detail 02-03'!R:R,"Not Found",0,1)</f>
        <v>Mölnlycke Health Care B.V.</v>
      </c>
      <c r="E119" s="2" t="s">
        <v>143</v>
      </c>
      <c r="F119" s="64" t="s">
        <v>9</v>
      </c>
      <c r="G119" s="71">
        <v>0</v>
      </c>
      <c r="H119" s="25">
        <f>IF($F119="unclassified","N/A",(_xlfn.XLOOKUP($E119,Sheet2!$A:$A,Sheet2!Q:Q,"N/A",0,1)))</f>
        <v>1</v>
      </c>
      <c r="I119" s="25">
        <f>IF($F119="unclassified","N/A",(_xlfn.XLOOKUP($E119,Sheet2!$A:$A,Sheet2!R:R,"N/A",0,1)))</f>
        <v>1</v>
      </c>
      <c r="J119" s="25">
        <f>IF($F119="unclassified","N/A",(_xlfn.XLOOKUP($E119,Sheet2!$A:$A,Sheet2!S:S,"N/A",0,1)))</f>
        <v>1</v>
      </c>
      <c r="K119" s="25">
        <f>IF($F119="unclassified","N/A",(_xlfn.XLOOKUP($E119,Sheet2!$A:$A,Sheet2!T:T,"N/A",0,1)))</f>
        <v>1</v>
      </c>
      <c r="L119" s="25">
        <f>IF($F119="unclassified","N/A",(_xlfn.XLOOKUP($E119,Sheet2!$A:$A,Sheet2!U:U,"N/A",0,1)))</f>
        <v>1</v>
      </c>
      <c r="M119" s="25">
        <f>IF($F119="unclassified","N/A",(_xlfn.XLOOKUP($E119,Sheet2!$A:$A,Sheet2!V:V,"N/A",0,1)))</f>
        <v>1</v>
      </c>
      <c r="N119" s="25"/>
      <c r="O119" s="25">
        <f>IF($F119="unclassified","N/A",(_xlfn.XLOOKUP($E119,Sheet2!$A:$A,Sheet2!W:W,"N/A",0,1)))</f>
        <v>1</v>
      </c>
      <c r="P119" s="25">
        <f>IF($F119="unclassified","N/A",(_xlfn.XLOOKUP($E119,Sheet2!$A:$A,Sheet2!X:X,"N/A",0,1)))</f>
        <v>1</v>
      </c>
      <c r="Q119" s="25">
        <f>IF($F119="unclassified","N/A",(_xlfn.XLOOKUP($E119,Sheet2!$A:$A,Sheet2!Y:Y,"N/A",0,1)))</f>
        <v>1</v>
      </c>
      <c r="R119" s="25">
        <f>IF($F119="unclassified","N/A",(_xlfn.XLOOKUP($E119,Sheet2!$A:$A,Sheet2!Z:Z,"N/A",0,1)))</f>
        <v>1</v>
      </c>
      <c r="S119" s="25">
        <f>IF($F119="unclassified","N/A",(_xlfn.XLOOKUP($E119,Sheet2!$A:$A,Sheet2!AA:AA,"N/A",0,1)))</f>
        <v>1</v>
      </c>
      <c r="T119" s="25">
        <f>IF($F119="unclassified","N/A",(_xlfn.XLOOKUP($E119,Sheet2!$A:$A,Sheet2!AB:AB,"N/A",0,1)))</f>
        <v>1</v>
      </c>
      <c r="U119" s="11">
        <f>IF($F119="unclassified","N/A",(AVERAGE(Table3253[[#This Row],[PO nr]:[Delivery Date]])))</f>
        <v>1</v>
      </c>
      <c r="V119" s="21"/>
      <c r="X119" s="54"/>
      <c r="Y119" s="55"/>
      <c r="Z119" s="55"/>
    </row>
    <row r="120" spans="4:26" ht="15" customHeight="1" x14ac:dyDescent="0.3">
      <c r="D120" s="43">
        <f>_xlfn.XLOOKUP(Table3253[[#This Row],[File Name]],'Analyse 2 Detail 02-03'!A:A,'Analyse 2 Detail 02-03'!R:R,"Not Found",0,1)</f>
        <v>0</v>
      </c>
      <c r="E120" s="2" t="s">
        <v>173</v>
      </c>
      <c r="F120" s="64" t="s">
        <v>11</v>
      </c>
      <c r="G120" s="71">
        <v>0</v>
      </c>
      <c r="H120" s="25" t="str">
        <f>IF($F120="unclassified","N/A",(_xlfn.XLOOKUP($E120,Sheet2!$A:$A,Sheet2!Q:Q,"N/A",0,1)))</f>
        <v>N/A</v>
      </c>
      <c r="I120" s="25" t="str">
        <f>IF($F120="unclassified","N/A",(_xlfn.XLOOKUP($E120,Sheet2!$A:$A,Sheet2!R:R,"N/A",0,1)))</f>
        <v>N/A</v>
      </c>
      <c r="J120" s="25" t="str">
        <f>IF($F120="unclassified","N/A",(_xlfn.XLOOKUP($E120,Sheet2!$A:$A,Sheet2!S:S,"N/A",0,1)))</f>
        <v>N/A</v>
      </c>
      <c r="K120" s="25" t="str">
        <f>IF($F120="unclassified","N/A",(_xlfn.XLOOKUP($E120,Sheet2!$A:$A,Sheet2!T:T,"N/A",0,1)))</f>
        <v>N/A</v>
      </c>
      <c r="L120" s="25" t="str">
        <f>IF($F120="unclassified","N/A",(_xlfn.XLOOKUP($E120,Sheet2!$A:$A,Sheet2!U:U,"N/A",0,1)))</f>
        <v>N/A</v>
      </c>
      <c r="M120" s="25" t="str">
        <f>IF($F120="unclassified","N/A",(_xlfn.XLOOKUP($E120,Sheet2!$A:$A,Sheet2!V:V,"N/A",0,1)))</f>
        <v>N/A</v>
      </c>
      <c r="N120" s="25"/>
      <c r="O120" s="25" t="str">
        <f>IF($F120="unclassified","N/A",(_xlfn.XLOOKUP($E120,Sheet2!$A:$A,Sheet2!W:W,"N/A",0,1)))</f>
        <v>N/A</v>
      </c>
      <c r="P120" s="25" t="str">
        <f>IF($F120="unclassified","N/A",(_xlfn.XLOOKUP($E120,Sheet2!$A:$A,Sheet2!X:X,"N/A",0,1)))</f>
        <v>N/A</v>
      </c>
      <c r="Q120" s="25" t="str">
        <f>IF($F120="unclassified","N/A",(_xlfn.XLOOKUP($E120,Sheet2!$A:$A,Sheet2!Y:Y,"N/A",0,1)))</f>
        <v>N/A</v>
      </c>
      <c r="R120" s="25" t="str">
        <f>IF($F120="unclassified","N/A",(_xlfn.XLOOKUP($E120,Sheet2!$A:$A,Sheet2!Z:Z,"N/A",0,1)))</f>
        <v>N/A</v>
      </c>
      <c r="S120" s="25" t="str">
        <f>IF($F120="unclassified","N/A",(_xlfn.XLOOKUP($E120,Sheet2!$A:$A,Sheet2!AA:AA,"N/A",0,1)))</f>
        <v>N/A</v>
      </c>
      <c r="T120" s="25" t="str">
        <f>IF($F120="unclassified","N/A",(_xlfn.XLOOKUP($E120,Sheet2!$A:$A,Sheet2!AB:AB,"N/A",0,1)))</f>
        <v>N/A</v>
      </c>
      <c r="U120" s="11" t="str">
        <f>IF($F120="unclassified","N/A",(AVERAGE(Table3253[[#This Row],[PO nr]:[Delivery Date]])))</f>
        <v>N/A</v>
      </c>
      <c r="V120" s="50" t="s">
        <v>1816</v>
      </c>
      <c r="W120" s="21" t="s">
        <v>1814</v>
      </c>
      <c r="X120" s="51"/>
      <c r="Y120" s="57"/>
      <c r="Z120" s="57"/>
    </row>
    <row r="121" spans="4:26" ht="15" customHeight="1" x14ac:dyDescent="0.3">
      <c r="D121" s="43" t="str">
        <f>_xlfn.XLOOKUP(Table3253[[#This Row],[File Name]],'Analyse 2 Detail 02-03'!A:A,'Analyse 2 Detail 02-03'!R:R,"Not Found",0,1)</f>
        <v>Essity Belgium NV</v>
      </c>
      <c r="E121" s="2" t="s">
        <v>129</v>
      </c>
      <c r="F121" s="64" t="s">
        <v>9</v>
      </c>
      <c r="G121" s="71">
        <v>0</v>
      </c>
      <c r="H121" s="25">
        <f>IF($F121="unclassified","N/A",(_xlfn.XLOOKUP($E121,Sheet2!$A:$A,Sheet2!Q:Q,"N/A",0,1)))</f>
        <v>1</v>
      </c>
      <c r="I121" s="25">
        <f>IF($F121="unclassified","N/A",(_xlfn.XLOOKUP($E121,Sheet2!$A:$A,Sheet2!R:R,"N/A",0,1)))</f>
        <v>1</v>
      </c>
      <c r="J121" s="25">
        <f>IF($F121="unclassified","N/A",(_xlfn.XLOOKUP($E121,Sheet2!$A:$A,Sheet2!S:S,"N/A",0,1)))</f>
        <v>1</v>
      </c>
      <c r="K121" s="25">
        <f>IF($F121="unclassified","N/A",(_xlfn.XLOOKUP($E121,Sheet2!$A:$A,Sheet2!T:T,"N/A",0,1)))</f>
        <v>1</v>
      </c>
      <c r="L121" s="25">
        <f>IF($F121="unclassified","N/A",(_xlfn.XLOOKUP($E121,Sheet2!$A:$A,Sheet2!U:U,"N/A",0,1)))</f>
        <v>1</v>
      </c>
      <c r="M121" s="25">
        <f>IF($F121="unclassified","N/A",(_xlfn.XLOOKUP($E121,Sheet2!$A:$A,Sheet2!V:V,"N/A",0,1)))</f>
        <v>1</v>
      </c>
      <c r="N121" s="25"/>
      <c r="O121" s="25">
        <f>IF($F121="unclassified","N/A",(_xlfn.XLOOKUP($E121,Sheet2!$A:$A,Sheet2!W:W,"N/A",0,1)))</f>
        <v>1</v>
      </c>
      <c r="P121" s="25">
        <f>IF($F121="unclassified","N/A",(_xlfn.XLOOKUP($E121,Sheet2!$A:$A,Sheet2!X:X,"N/A",0,1)))</f>
        <v>1</v>
      </c>
      <c r="Q121" s="25">
        <f>IF($F121="unclassified","N/A",(_xlfn.XLOOKUP($E121,Sheet2!$A:$A,Sheet2!Y:Y,"N/A",0,1)))</f>
        <v>1</v>
      </c>
      <c r="R121" s="25">
        <f>IF($F121="unclassified","N/A",(_xlfn.XLOOKUP($E121,Sheet2!$A:$A,Sheet2!Z:Z,"N/A",0,1)))</f>
        <v>1</v>
      </c>
      <c r="S121" s="25">
        <v>1</v>
      </c>
      <c r="T121" s="25">
        <f>IF($F121="unclassified","N/A",(_xlfn.XLOOKUP($E121,Sheet2!$A:$A,Sheet2!AB:AB,"N/A",0,1)))</f>
        <v>1</v>
      </c>
      <c r="U121" s="11">
        <f>IF($F121="unclassified","N/A",(AVERAGE(Table3253[[#This Row],[PO nr]:[Delivery Date]])))</f>
        <v>1</v>
      </c>
      <c r="V121" s="50"/>
      <c r="W121" s="83"/>
      <c r="X121" s="51"/>
      <c r="Y121" s="57"/>
      <c r="Z121" s="57"/>
    </row>
    <row r="122" spans="4:26" ht="15" customHeight="1" x14ac:dyDescent="0.3">
      <c r="D122" s="30" t="str">
        <f>_xlfn.XLOOKUP(Table3253[[#This Row],[File Name]],'Analyse 2 Detail 02-03'!A:A,'Analyse 2 Detail 02-03'!R:R,"Not Found",0,1)</f>
        <v>Essity Belgium NV</v>
      </c>
      <c r="E122" s="2" t="s">
        <v>129</v>
      </c>
      <c r="F122" s="64" t="s">
        <v>9</v>
      </c>
      <c r="G122" s="71">
        <v>0</v>
      </c>
      <c r="H122" s="25">
        <f>IF($F122="unclassified","N/A",(_xlfn.XLOOKUP($E122,Sheet2!$A:$A,Sheet2!Q:Q,"N/A",0,1)))</f>
        <v>1</v>
      </c>
      <c r="I122" s="25">
        <f>IF($F122="unclassified","N/A",(_xlfn.XLOOKUP($E122,Sheet2!$A:$A,Sheet2!R:R,"N/A",0,1)))</f>
        <v>1</v>
      </c>
      <c r="J122" s="25">
        <f>IF($F122="unclassified","N/A",(_xlfn.XLOOKUP($E122,Sheet2!$A:$A,Sheet2!S:S,"N/A",0,1)))</f>
        <v>1</v>
      </c>
      <c r="K122" s="25">
        <f>IF($F122="unclassified","N/A",(_xlfn.XLOOKUP($E122,Sheet2!$A:$A,Sheet2!T:T,"N/A",0,1)))</f>
        <v>1</v>
      </c>
      <c r="L122" s="25">
        <f>IF($F122="unclassified","N/A",(_xlfn.XLOOKUP($E122,Sheet2!$A:$A,Sheet2!U:U,"N/A",0,1)))</f>
        <v>1</v>
      </c>
      <c r="M122" s="25">
        <f>IF($F122="unclassified","N/A",(_xlfn.XLOOKUP($E122,Sheet2!$A:$A,Sheet2!V:V,"N/A",0,1)))</f>
        <v>1</v>
      </c>
      <c r="N122" s="25"/>
      <c r="O122" s="25">
        <f>IF($F122="unclassified","N/A",(_xlfn.XLOOKUP($E122,Sheet2!$A:$A,Sheet2!W:W,"N/A",0,1)))</f>
        <v>1</v>
      </c>
      <c r="P122" s="25">
        <f>IF($F122="unclassified","N/A",(_xlfn.XLOOKUP($E122,Sheet2!$A:$A,Sheet2!X:X,"N/A",0,1)))</f>
        <v>1</v>
      </c>
      <c r="Q122" s="25">
        <f>IF($F122="unclassified","N/A",(_xlfn.XLOOKUP($E122,Sheet2!$A:$A,Sheet2!Y:Y,"N/A",0,1)))</f>
        <v>1</v>
      </c>
      <c r="R122" s="25">
        <f>IF($F122="unclassified","N/A",(_xlfn.XLOOKUP($E122,Sheet2!$A:$A,Sheet2!Z:Z,"N/A",0,1)))</f>
        <v>1</v>
      </c>
      <c r="S122" s="25">
        <v>1</v>
      </c>
      <c r="T122" s="25">
        <f>IF($F122="unclassified","N/A",(_xlfn.XLOOKUP($E122,Sheet2!$A:$A,Sheet2!AB:AB,"N/A",0,1)))</f>
        <v>1</v>
      </c>
      <c r="U122" s="11">
        <f>IF($F122="unclassified","N/A",(AVERAGE(Table3253[[#This Row],[PO nr]:[Delivery Date]])))</f>
        <v>1</v>
      </c>
      <c r="V122" s="21" t="s">
        <v>2367</v>
      </c>
      <c r="X122" s="54"/>
      <c r="Y122" s="55"/>
      <c r="Z122" s="55"/>
    </row>
    <row r="123" spans="4:26" ht="15" customHeight="1" x14ac:dyDescent="0.3">
      <c r="D123" s="30" t="str">
        <f>_xlfn.XLOOKUP(Table3253[[#This Row],[File Name]],'Analyse 2 Detail 02-03'!A:A,'Analyse 2 Detail 02-03'!R:R,"Not Found",0,1)</f>
        <v>Essity Netherlands B.V.</v>
      </c>
      <c r="E123" s="2" t="s">
        <v>170</v>
      </c>
      <c r="F123" s="64" t="s">
        <v>9</v>
      </c>
      <c r="G123" s="71">
        <v>1</v>
      </c>
      <c r="H123" s="25">
        <f>IF($F123="unclassified","N/A",(_xlfn.XLOOKUP($E123,Sheet2!$A:$A,Sheet2!Q:Q,"N/A",0,1)))</f>
        <v>1</v>
      </c>
      <c r="I123" s="25">
        <f>IF($F123="unclassified","N/A",(_xlfn.XLOOKUP($E123,Sheet2!$A:$A,Sheet2!R:R,"N/A",0,1)))</f>
        <v>1</v>
      </c>
      <c r="J123" s="25">
        <f>IF($F123="unclassified","N/A",(_xlfn.XLOOKUP($E123,Sheet2!$A:$A,Sheet2!S:S,"N/A",0,1)))</f>
        <v>1</v>
      </c>
      <c r="K123" s="25">
        <f>IF($F123="unclassified","N/A",(_xlfn.XLOOKUP($E123,Sheet2!$A:$A,Sheet2!T:T,"N/A",0,1)))</f>
        <v>1</v>
      </c>
      <c r="L123" s="25">
        <f>IF($F123="unclassified","N/A",(_xlfn.XLOOKUP($E123,Sheet2!$A:$A,Sheet2!U:U,"N/A",0,1)))</f>
        <v>1</v>
      </c>
      <c r="M123" s="25">
        <f>IF($F123="unclassified","N/A",(_xlfn.XLOOKUP($E123,Sheet2!$A:$A,Sheet2!V:V,"N/A",0,1)))</f>
        <v>1</v>
      </c>
      <c r="N123" s="25"/>
      <c r="O123" s="25">
        <f>IF($F123="unclassified","N/A",(_xlfn.XLOOKUP($E123,Sheet2!$A:$A,Sheet2!W:W,"N/A",0,1)))</f>
        <v>1</v>
      </c>
      <c r="P123" s="25">
        <f>IF($F123="unclassified","N/A",(_xlfn.XLOOKUP($E123,Sheet2!$A:$A,Sheet2!X:X,"N/A",0,1)))</f>
        <v>1</v>
      </c>
      <c r="Q123" s="25">
        <f>IF($F123="unclassified","N/A",(_xlfn.XLOOKUP($E123,Sheet2!$A:$A,Sheet2!Y:Y,"N/A",0,1)))</f>
        <v>1</v>
      </c>
      <c r="R123" s="25">
        <f>IF($F123="unclassified","N/A",(_xlfn.XLOOKUP($E123,Sheet2!$A:$A,Sheet2!Z:Z,"N/A",0,1)))</f>
        <v>1</v>
      </c>
      <c r="S123" s="25">
        <f>IF($F123="unclassified","N/A",(_xlfn.XLOOKUP($E123,Sheet2!$A:$A,Sheet2!AA:AA,"N/A",0,1)))</f>
        <v>1</v>
      </c>
      <c r="T123" s="25">
        <v>1</v>
      </c>
      <c r="U123" s="11">
        <f>IF($F123="unclassified","N/A",(AVERAGE(Table3253[[#This Row],[PO nr]:[Delivery Date]])))</f>
        <v>1</v>
      </c>
      <c r="V123" s="84" t="s">
        <v>199</v>
      </c>
      <c r="W123" t="s">
        <v>200</v>
      </c>
      <c r="X123" s="54"/>
      <c r="Y123" s="56"/>
      <c r="Z123" s="56"/>
    </row>
    <row r="124" spans="4:26" ht="15" customHeight="1" x14ac:dyDescent="0.3">
      <c r="D124" s="30" t="str">
        <f>_xlfn.XLOOKUP(Table3253[[#This Row],[File Name]],'Analyse 2 Detail 02-03'!A:A,'Analyse 2 Detail 02-03'!R:R,"Not Found",0,1)</f>
        <v>Essity Netherlands B.V.</v>
      </c>
      <c r="E124" s="2" t="s">
        <v>106</v>
      </c>
      <c r="F124" s="64" t="s">
        <v>9</v>
      </c>
      <c r="G124" s="71">
        <v>2</v>
      </c>
      <c r="H124" s="25">
        <f>IF($F124="unclassified","N/A",(_xlfn.XLOOKUP($E124,Sheet2!$A:$A,Sheet2!Q:Q,"N/A",0,1)))</f>
        <v>1</v>
      </c>
      <c r="I124" s="25">
        <f>IF($F124="unclassified","N/A",(_xlfn.XLOOKUP($E124,Sheet2!$A:$A,Sheet2!R:R,"N/A",0,1)))</f>
        <v>1</v>
      </c>
      <c r="J124" s="25">
        <f>IF($F124="unclassified","N/A",(_xlfn.XLOOKUP($E124,Sheet2!$A:$A,Sheet2!S:S,"N/A",0,1)))</f>
        <v>1</v>
      </c>
      <c r="K124" s="25">
        <f>IF($F124="unclassified","N/A",(_xlfn.XLOOKUP($E124,Sheet2!$A:$A,Sheet2!T:T,"N/A",0,1)))</f>
        <v>1</v>
      </c>
      <c r="L124" s="25">
        <f>IF($F124="unclassified","N/A",(_xlfn.XLOOKUP($E124,Sheet2!$A:$A,Sheet2!U:U,"N/A",0,1)))</f>
        <v>1</v>
      </c>
      <c r="M124" s="25">
        <f>IF($F124="unclassified","N/A",(_xlfn.XLOOKUP($E124,Sheet2!$A:$A,Sheet2!V:V,"N/A",0,1)))</f>
        <v>1</v>
      </c>
      <c r="N124" s="25"/>
      <c r="O124" s="25">
        <f>IF($F124="unclassified","N/A",(_xlfn.XLOOKUP($E124,Sheet2!$A:$A,Sheet2!W:W,"N/A",0,1)))</f>
        <v>1</v>
      </c>
      <c r="P124" s="25">
        <f>IF($F124="unclassified","N/A",(_xlfn.XLOOKUP($E124,Sheet2!$A:$A,Sheet2!X:X,"N/A",0,1)))</f>
        <v>1</v>
      </c>
      <c r="Q124" s="25">
        <f>IF($F124="unclassified","N/A",(_xlfn.XLOOKUP($E124,Sheet2!$A:$A,Sheet2!Y:Y,"N/A",0,1)))</f>
        <v>1</v>
      </c>
      <c r="R124" s="25">
        <f>IF($F124="unclassified","N/A",(_xlfn.XLOOKUP($E124,Sheet2!$A:$A,Sheet2!Z:Z,"N/A",0,1)))</f>
        <v>1</v>
      </c>
      <c r="S124" s="25">
        <f>IF($F124="unclassified","N/A",(_xlfn.XLOOKUP($E124,Sheet2!$A:$A,Sheet2!AA:AA,"N/A",0,1)))</f>
        <v>1</v>
      </c>
      <c r="T124" s="25">
        <v>1</v>
      </c>
      <c r="U124" s="11">
        <f>IF($F124="unclassified","N/A",(AVERAGE(Table3253[[#This Row],[PO nr]:[Delivery Date]])))</f>
        <v>1</v>
      </c>
      <c r="V124" s="84" t="s">
        <v>199</v>
      </c>
      <c r="W124" t="s">
        <v>200</v>
      </c>
      <c r="X124" s="41"/>
      <c r="Y124" s="55"/>
      <c r="Z124" s="55"/>
    </row>
    <row r="125" spans="4:26" ht="15" customHeight="1" x14ac:dyDescent="0.3">
      <c r="D125" s="30" t="str">
        <f>_xlfn.XLOOKUP(Table3253[[#This Row],[File Name]],'Analyse 2 Detail 02-03'!A:A,'Analyse 2 Detail 02-03'!R:R,"Not Found",0,1)</f>
        <v>Essity Belgium NV</v>
      </c>
      <c r="E125" s="2" t="s">
        <v>136</v>
      </c>
      <c r="F125" s="64" t="s">
        <v>9</v>
      </c>
      <c r="G125" s="71">
        <v>4</v>
      </c>
      <c r="H125" s="25">
        <f>IF($F125="unclassified","N/A",(_xlfn.XLOOKUP($E125,Sheet2!$A:$A,Sheet2!Q:Q,"N/A",0,1)))</f>
        <v>1</v>
      </c>
      <c r="I125" s="25">
        <f>IF($F125="unclassified","N/A",(_xlfn.XLOOKUP($E125,Sheet2!$A:$A,Sheet2!R:R,"N/A",0,1)))</f>
        <v>1</v>
      </c>
      <c r="J125" s="25">
        <f>IF($F125="unclassified","N/A",(_xlfn.XLOOKUP($E125,Sheet2!$A:$A,Sheet2!S:S,"N/A",0,1)))</f>
        <v>1</v>
      </c>
      <c r="K125" s="25">
        <f>IF($F125="unclassified","N/A",(_xlfn.XLOOKUP($E125,Sheet2!$A:$A,Sheet2!T:T,"N/A",0,1)))</f>
        <v>1</v>
      </c>
      <c r="L125" s="25">
        <f>IF($F125="unclassified","N/A",(_xlfn.XLOOKUP($E125,Sheet2!$A:$A,Sheet2!U:U,"N/A",0,1)))</f>
        <v>1</v>
      </c>
      <c r="M125" s="25">
        <f>IF($F125="unclassified","N/A",(_xlfn.XLOOKUP($E125,Sheet2!$A:$A,Sheet2!V:V,"N/A",0,1)))</f>
        <v>1</v>
      </c>
      <c r="N125" s="25"/>
      <c r="O125" s="25">
        <f>IF($F125="unclassified","N/A",(_xlfn.XLOOKUP($E125,Sheet2!$A:$A,Sheet2!W:W,"N/A",0,1)))</f>
        <v>1</v>
      </c>
      <c r="P125" s="25">
        <f>IF($F125="unclassified","N/A",(_xlfn.XLOOKUP($E125,Sheet2!$A:$A,Sheet2!X:X,"N/A",0,1)))</f>
        <v>1</v>
      </c>
      <c r="Q125" s="25">
        <f>IF($F125="unclassified","N/A",(_xlfn.XLOOKUP($E125,Sheet2!$A:$A,Sheet2!Y:Y,"N/A",0,1)))</f>
        <v>1</v>
      </c>
      <c r="R125" s="25">
        <f>IF($F125="unclassified","N/A",(_xlfn.XLOOKUP($E125,Sheet2!$A:$A,Sheet2!Z:Z,"N/A",0,1)))</f>
        <v>1</v>
      </c>
      <c r="S125" s="25">
        <v>1</v>
      </c>
      <c r="T125" s="25">
        <v>1</v>
      </c>
      <c r="U125" s="11">
        <f>IF($F125="unclassified","N/A",(AVERAGE(Table3253[[#This Row],[PO nr]:[Delivery Date]])))</f>
        <v>1</v>
      </c>
      <c r="V125" s="21" t="s">
        <v>195</v>
      </c>
      <c r="W125" s="39" t="s">
        <v>197</v>
      </c>
      <c r="X125" s="39" t="s">
        <v>2329</v>
      </c>
      <c r="Y125" s="21"/>
      <c r="Z125" s="21"/>
    </row>
    <row r="126" spans="4:26" ht="15" customHeight="1" x14ac:dyDescent="0.3">
      <c r="D126" s="30" t="str">
        <f>_xlfn.XLOOKUP(Table3253[[#This Row],[File Name]],'Analyse 2 Detail 02-03'!A:A,'Analyse 2 Detail 02-03'!R:R,"Not Found",0,1)</f>
        <v>Essity Belgium NV</v>
      </c>
      <c r="E126" s="2" t="s">
        <v>136</v>
      </c>
      <c r="F126" s="64" t="s">
        <v>9</v>
      </c>
      <c r="G126" s="71">
        <v>1</v>
      </c>
      <c r="H126" s="25">
        <f>IF($F126="unclassified","N/A",(_xlfn.XLOOKUP($E126,Sheet2!$A:$A,Sheet2!Q:Q,"N/A",0,1)))</f>
        <v>1</v>
      </c>
      <c r="I126" s="25">
        <f>IF($F126="unclassified","N/A",(_xlfn.XLOOKUP($E126,Sheet2!$A:$A,Sheet2!R:R,"N/A",0,1)))</f>
        <v>1</v>
      </c>
      <c r="J126" s="25">
        <f>IF($F126="unclassified","N/A",(_xlfn.XLOOKUP($E126,Sheet2!$A:$A,Sheet2!S:S,"N/A",0,1)))</f>
        <v>1</v>
      </c>
      <c r="K126" s="25">
        <f>IF($F126="unclassified","N/A",(_xlfn.XLOOKUP($E126,Sheet2!$A:$A,Sheet2!T:T,"N/A",0,1)))</f>
        <v>1</v>
      </c>
      <c r="L126" s="25">
        <f>IF($F126="unclassified","N/A",(_xlfn.XLOOKUP($E126,Sheet2!$A:$A,Sheet2!U:U,"N/A",0,1)))</f>
        <v>1</v>
      </c>
      <c r="M126" s="25">
        <f>IF($F126="unclassified","N/A",(_xlfn.XLOOKUP($E126,Sheet2!$A:$A,Sheet2!V:V,"N/A",0,1)))</f>
        <v>1</v>
      </c>
      <c r="N126" s="25"/>
      <c r="O126" s="25">
        <f>IF($F126="unclassified","N/A",(_xlfn.XLOOKUP($E126,Sheet2!$A:$A,Sheet2!W:W,"N/A",0,1)))</f>
        <v>1</v>
      </c>
      <c r="P126" s="25">
        <f>IF($F126="unclassified","N/A",(_xlfn.XLOOKUP($E126,Sheet2!$A:$A,Sheet2!X:X,"N/A",0,1)))</f>
        <v>1</v>
      </c>
      <c r="Q126" s="25">
        <f>IF($F126="unclassified","N/A",(_xlfn.XLOOKUP($E126,Sheet2!$A:$A,Sheet2!Y:Y,"N/A",0,1)))</f>
        <v>1</v>
      </c>
      <c r="R126" s="25">
        <f>IF($F126="unclassified","N/A",(_xlfn.XLOOKUP($E126,Sheet2!$A:$A,Sheet2!Z:Z,"N/A",0,1)))</f>
        <v>1</v>
      </c>
      <c r="S126" s="25">
        <v>1</v>
      </c>
      <c r="T126" s="25">
        <v>1</v>
      </c>
      <c r="U126" s="11">
        <f>IF($F126="unclassified","N/A",(AVERAGE(Table3253[[#This Row],[PO nr]:[Delivery Date]])))</f>
        <v>1</v>
      </c>
      <c r="V126" s="21" t="s">
        <v>2368</v>
      </c>
      <c r="W126" s="39" t="s">
        <v>197</v>
      </c>
      <c r="X126" s="39" t="s">
        <v>2329</v>
      </c>
      <c r="Y126" s="55"/>
      <c r="Z126" s="55"/>
    </row>
    <row r="127" spans="4:26" ht="15" customHeight="1" x14ac:dyDescent="0.3">
      <c r="D127" s="30" t="str">
        <f>_xlfn.XLOOKUP(Table3253[[#This Row],[File Name]],'Analyse 2 Detail 02-03'!A:A,'Analyse 2 Detail 02-03'!R:R,"Not Found",0,1)</f>
        <v>Essity Netherlands B.V. Health &amp; Medical</v>
      </c>
      <c r="E127" s="2" t="s">
        <v>166</v>
      </c>
      <c r="F127" s="64" t="s">
        <v>9</v>
      </c>
      <c r="G127" s="71">
        <v>0</v>
      </c>
      <c r="H127" s="25">
        <f>IF($F127="unclassified","N/A",(_xlfn.XLOOKUP($E127,Sheet2!$A:$A,Sheet2!Q:Q,"N/A",0,1)))</f>
        <v>1</v>
      </c>
      <c r="I127" s="25">
        <f>IF($F127="unclassified","N/A",(_xlfn.XLOOKUP($E127,Sheet2!$A:$A,Sheet2!R:R,"N/A",0,1)))</f>
        <v>1</v>
      </c>
      <c r="J127" s="25">
        <f>IF($F127="unclassified","N/A",(_xlfn.XLOOKUP($E127,Sheet2!$A:$A,Sheet2!S:S,"N/A",0,1)))</f>
        <v>1</v>
      </c>
      <c r="K127" s="25">
        <f>IF($F127="unclassified","N/A",(_xlfn.XLOOKUP($E127,Sheet2!$A:$A,Sheet2!T:T,"N/A",0,1)))</f>
        <v>1</v>
      </c>
      <c r="L127" s="25">
        <f>IF($F127="unclassified","N/A",(_xlfn.XLOOKUP($E127,Sheet2!$A:$A,Sheet2!U:U,"N/A",0,1)))</f>
        <v>1</v>
      </c>
      <c r="M127" s="25">
        <f>IF($F127="unclassified","N/A",(_xlfn.XLOOKUP($E127,Sheet2!$A:$A,Sheet2!V:V,"N/A",0,1)))</f>
        <v>1</v>
      </c>
      <c r="N127" s="25"/>
      <c r="O127" s="25">
        <f>IF($F127="unclassified","N/A",(_xlfn.XLOOKUP($E127,Sheet2!$A:$A,Sheet2!W:W,"N/A",0,1)))</f>
        <v>1</v>
      </c>
      <c r="P127" s="25">
        <f>IF($F127="unclassified","N/A",(_xlfn.XLOOKUP($E127,Sheet2!$A:$A,Sheet2!X:X,"N/A",0,1)))</f>
        <v>1</v>
      </c>
      <c r="Q127" s="25">
        <f>IF($F127="unclassified","N/A",(_xlfn.XLOOKUP($E127,Sheet2!$A:$A,Sheet2!Y:Y,"N/A",0,1)))</f>
        <v>1</v>
      </c>
      <c r="R127" s="25">
        <f>IF($F127="unclassified","N/A",(_xlfn.XLOOKUP($E127,Sheet2!$A:$A,Sheet2!Z:Z,"N/A",0,1)))</f>
        <v>1</v>
      </c>
      <c r="S127" s="25">
        <f>IF($F127="unclassified","N/A",(_xlfn.XLOOKUP($E127,Sheet2!$A:$A,Sheet2!AA:AA,"N/A",0,1)))</f>
        <v>1</v>
      </c>
      <c r="T127" s="25">
        <v>1</v>
      </c>
      <c r="U127" s="11">
        <f>IF($F127="unclassified","N/A",(AVERAGE(Table3253[[#This Row],[PO nr]:[Delivery Date]])))</f>
        <v>1</v>
      </c>
      <c r="V127" s="21" t="s">
        <v>2370</v>
      </c>
      <c r="W127" s="39"/>
      <c r="X127" s="39"/>
      <c r="Y127" s="21"/>
      <c r="Z127" s="21"/>
    </row>
    <row r="128" spans="4:26" ht="15" customHeight="1" x14ac:dyDescent="0.3">
      <c r="D128" s="30" t="str">
        <f>_xlfn.XLOOKUP(Table3253[[#This Row],[File Name]],'Analyse 2 Detail 02-03'!A:A,'Analyse 2 Detail 02-03'!R:R,"Not Found",0,1)</f>
        <v>Essity Netherlands B.V.</v>
      </c>
      <c r="E128" s="2" t="s">
        <v>128</v>
      </c>
      <c r="F128" s="64" t="s">
        <v>9</v>
      </c>
      <c r="G128" s="71">
        <v>0</v>
      </c>
      <c r="H128" s="25">
        <f>IF($F128="unclassified","N/A",(_xlfn.XLOOKUP($E128,Sheet2!$A:$A,Sheet2!Q:Q,"N/A",0,1)))</f>
        <v>1</v>
      </c>
      <c r="I128" s="25">
        <f>IF($F128="unclassified","N/A",(_xlfn.XLOOKUP($E128,Sheet2!$A:$A,Sheet2!R:R,"N/A",0,1)))</f>
        <v>1</v>
      </c>
      <c r="J128" s="25">
        <f>IF($F128="unclassified","N/A",(_xlfn.XLOOKUP($E128,Sheet2!$A:$A,Sheet2!S:S,"N/A",0,1)))</f>
        <v>1</v>
      </c>
      <c r="K128" s="25">
        <f>IF($F128="unclassified","N/A",(_xlfn.XLOOKUP($E128,Sheet2!$A:$A,Sheet2!T:T,"N/A",0,1)))</f>
        <v>1</v>
      </c>
      <c r="L128" s="25">
        <f>IF($F128="unclassified","N/A",(_xlfn.XLOOKUP($E128,Sheet2!$A:$A,Sheet2!U:U,"N/A",0,1)))</f>
        <v>1</v>
      </c>
      <c r="M128" s="25">
        <f>IF($F128="unclassified","N/A",(_xlfn.XLOOKUP($E128,Sheet2!$A:$A,Sheet2!V:V,"N/A",0,1)))</f>
        <v>1</v>
      </c>
      <c r="N128" s="25"/>
      <c r="O128" s="25">
        <f>IF($F128="unclassified","N/A",(_xlfn.XLOOKUP($E128,Sheet2!$A:$A,Sheet2!W:W,"N/A",0,1)))</f>
        <v>1</v>
      </c>
      <c r="P128" s="25">
        <f>IF($F128="unclassified","N/A",(_xlfn.XLOOKUP($E128,Sheet2!$A:$A,Sheet2!X:X,"N/A",0,1)))</f>
        <v>1</v>
      </c>
      <c r="Q128" s="25">
        <f>IF($F128="unclassified","N/A",(_xlfn.XLOOKUP($E128,Sheet2!$A:$A,Sheet2!Y:Y,"N/A",0,1)))</f>
        <v>1</v>
      </c>
      <c r="R128" s="25">
        <f>IF($F128="unclassified","N/A",(_xlfn.XLOOKUP($E128,Sheet2!$A:$A,Sheet2!Z:Z,"N/A",0,1)))</f>
        <v>1</v>
      </c>
      <c r="S128" s="25">
        <f>IF($F128="unclassified","N/A",(_xlfn.XLOOKUP($E128,Sheet2!$A:$A,Sheet2!AA:AA,"N/A",0,1)))</f>
        <v>1</v>
      </c>
      <c r="T128" s="25">
        <f>IF($F128="unclassified","N/A",(_xlfn.XLOOKUP($E128,Sheet2!$A:$A,Sheet2!AB:AB,"N/A",0,1)))</f>
        <v>1</v>
      </c>
      <c r="U128" s="11">
        <f>IF($F128="unclassified","N/A",(AVERAGE(Table3253[[#This Row],[PO nr]:[Delivery Date]])))</f>
        <v>1</v>
      </c>
      <c r="V128" s="21"/>
      <c r="W128" s="39"/>
      <c r="X128" s="40"/>
      <c r="Y128" s="56"/>
      <c r="Z128" s="56"/>
    </row>
    <row r="129" spans="4:26" ht="15" customHeight="1" x14ac:dyDescent="0.3">
      <c r="D129" s="30" t="str">
        <f>_xlfn.XLOOKUP(Table3253[[#This Row],[File Name]],'Analyse 2 Detail 02-03'!A:A,'Analyse 2 Detail 02-03'!R:R,"Not Found",0,1)</f>
        <v>Essity Netherlands B.V.</v>
      </c>
      <c r="E129" s="2" t="s">
        <v>167</v>
      </c>
      <c r="F129" s="64" t="s">
        <v>9</v>
      </c>
      <c r="G129" s="71">
        <v>0</v>
      </c>
      <c r="H129" s="25">
        <f>IF($F129="unclassified","N/A",(_xlfn.XLOOKUP($E129,Sheet2!$A:$A,Sheet2!Q:Q,"N/A",0,1)))</f>
        <v>1</v>
      </c>
      <c r="I129" s="25">
        <f>IF($F129="unclassified","N/A",(_xlfn.XLOOKUP($E129,Sheet2!$A:$A,Sheet2!R:R,"N/A",0,1)))</f>
        <v>1</v>
      </c>
      <c r="J129" s="25">
        <f>IF($F129="unclassified","N/A",(_xlfn.XLOOKUP($E129,Sheet2!$A:$A,Sheet2!S:S,"N/A",0,1)))</f>
        <v>1</v>
      </c>
      <c r="K129" s="25">
        <f>IF($F129="unclassified","N/A",(_xlfn.XLOOKUP($E129,Sheet2!$A:$A,Sheet2!T:T,"N/A",0,1)))</f>
        <v>1</v>
      </c>
      <c r="L129" s="25">
        <f>IF($F129="unclassified","N/A",(_xlfn.XLOOKUP($E129,Sheet2!$A:$A,Sheet2!U:U,"N/A",0,1)))</f>
        <v>1</v>
      </c>
      <c r="M129" s="25">
        <f>IF($F129="unclassified","N/A",(_xlfn.XLOOKUP($E129,Sheet2!$A:$A,Sheet2!V:V,"N/A",0,1)))</f>
        <v>1</v>
      </c>
      <c r="N129" s="25"/>
      <c r="O129" s="25">
        <f>IF($F129="unclassified","N/A",(_xlfn.XLOOKUP($E129,Sheet2!$A:$A,Sheet2!W:W,"N/A",0,1)))</f>
        <v>1</v>
      </c>
      <c r="P129" s="25">
        <f>IF($F129="unclassified","N/A",(_xlfn.XLOOKUP($E129,Sheet2!$A:$A,Sheet2!X:X,"N/A",0,1)))</f>
        <v>1</v>
      </c>
      <c r="Q129" s="25">
        <f>IF($F129="unclassified","N/A",(_xlfn.XLOOKUP($E129,Sheet2!$A:$A,Sheet2!Y:Y,"N/A",0,1)))</f>
        <v>1</v>
      </c>
      <c r="R129" s="25">
        <f>IF($F129="unclassified","N/A",(_xlfn.XLOOKUP($E129,Sheet2!$A:$A,Sheet2!Z:Z,"N/A",0,1)))</f>
        <v>1</v>
      </c>
      <c r="S129" s="25">
        <f>IF($F129="unclassified","N/A",(_xlfn.XLOOKUP($E129,Sheet2!$A:$A,Sheet2!AA:AA,"N/A",0,1)))</f>
        <v>1</v>
      </c>
      <c r="T129" s="25">
        <f>IF($F129="unclassified","N/A",(_xlfn.XLOOKUP($E129,Sheet2!$A:$A,Sheet2!AB:AB,"N/A",0,1)))</f>
        <v>1</v>
      </c>
      <c r="U129" s="11">
        <f>IF($F129="unclassified","N/A",(AVERAGE(Table3253[[#This Row],[PO nr]:[Delivery Date]])))</f>
        <v>1</v>
      </c>
      <c r="V129" s="21"/>
      <c r="W129" s="39"/>
      <c r="X129" s="39"/>
      <c r="Y129" s="21"/>
      <c r="Z129" s="21"/>
    </row>
    <row r="130" spans="4:26" ht="15" customHeight="1" x14ac:dyDescent="0.3">
      <c r="D130" s="43" t="str">
        <f>_xlfn.XLOOKUP(Table3253[[#This Row],[File Name]],'Analyse 2 Detail 02-03'!A:A,'Analyse 2 Detail 02-03'!R:R,"Not Found",0,1)</f>
        <v>Essity Netherlands B.V.</v>
      </c>
      <c r="E130" s="2" t="s">
        <v>144</v>
      </c>
      <c r="F130" s="64" t="s">
        <v>9</v>
      </c>
      <c r="G130" s="71">
        <v>1</v>
      </c>
      <c r="H130" s="25">
        <f>IF($F130="unclassified","N/A",(_xlfn.XLOOKUP($E130,Sheet2!$A:$A,Sheet2!Q:Q,"N/A",0,1)))</f>
        <v>1</v>
      </c>
      <c r="I130" s="25">
        <f>IF($F130="unclassified","N/A",(_xlfn.XLOOKUP($E130,Sheet2!$A:$A,Sheet2!R:R,"N/A",0,1)))</f>
        <v>1</v>
      </c>
      <c r="J130" s="25">
        <f>IF($F130="unclassified","N/A",(_xlfn.XLOOKUP($E130,Sheet2!$A:$A,Sheet2!S:S,"N/A",0,1)))</f>
        <v>1</v>
      </c>
      <c r="K130" s="25">
        <f>IF($F130="unclassified","N/A",(_xlfn.XLOOKUP($E130,Sheet2!$A:$A,Sheet2!T:T,"N/A",0,1)))</f>
        <v>1</v>
      </c>
      <c r="L130" s="25">
        <f>IF($F130="unclassified","N/A",(_xlfn.XLOOKUP($E130,Sheet2!$A:$A,Sheet2!U:U,"N/A",0,1)))</f>
        <v>1</v>
      </c>
      <c r="M130" s="25">
        <f>IF($F130="unclassified","N/A",(_xlfn.XLOOKUP($E130,Sheet2!$A:$A,Sheet2!V:V,"N/A",0,1)))</f>
        <v>1</v>
      </c>
      <c r="N130" s="25"/>
      <c r="O130" s="25">
        <f>IF($F130="unclassified","N/A",(_xlfn.XLOOKUP($E130,Sheet2!$A:$A,Sheet2!W:W,"N/A",0,1)))</f>
        <v>1</v>
      </c>
      <c r="P130" s="25">
        <f>IF($F130="unclassified","N/A",(_xlfn.XLOOKUP($E130,Sheet2!$A:$A,Sheet2!X:X,"N/A",0,1)))</f>
        <v>1</v>
      </c>
      <c r="Q130" s="25">
        <f>IF($F130="unclassified","N/A",(_xlfn.XLOOKUP($E130,Sheet2!$A:$A,Sheet2!Y:Y,"N/A",0,1)))</f>
        <v>1</v>
      </c>
      <c r="R130" s="25">
        <f>IF($F130="unclassified","N/A",(_xlfn.XLOOKUP($E130,Sheet2!$A:$A,Sheet2!Z:Z,"N/A",0,1)))</f>
        <v>1</v>
      </c>
      <c r="S130" s="25">
        <f>IF($F130="unclassified","N/A",(_xlfn.XLOOKUP($E130,Sheet2!$A:$A,Sheet2!AA:AA,"N/A",0,1)))</f>
        <v>1</v>
      </c>
      <c r="T130" s="25">
        <v>1</v>
      </c>
      <c r="U130" s="11">
        <f>IF($F130="unclassified","N/A",(AVERAGE(Table3253[[#This Row],[PO nr]:[Delivery Date]])))</f>
        <v>1</v>
      </c>
      <c r="V130" s="84" t="s">
        <v>199</v>
      </c>
      <c r="W130" t="s">
        <v>200</v>
      </c>
      <c r="X130" s="51"/>
      <c r="Y130" s="58"/>
      <c r="Z130" s="58"/>
    </row>
    <row r="131" spans="4:26" ht="15" customHeight="1" x14ac:dyDescent="0.3">
      <c r="D131" s="30" t="str">
        <f>_xlfn.XLOOKUP(Table3253[[#This Row],[File Name]],'Analyse 2 Detail 02-03'!A:A,'Analyse 2 Detail 02-03'!R:R,"Not Found",0,1)</f>
        <v>Essity Netherlands B.V.</v>
      </c>
      <c r="E131" s="2" t="s">
        <v>163</v>
      </c>
      <c r="F131" s="64" t="s">
        <v>9</v>
      </c>
      <c r="G131" s="71">
        <v>1</v>
      </c>
      <c r="H131" s="25">
        <f>IF($F131="unclassified","N/A",(_xlfn.XLOOKUP($E131,Sheet2!$A:$A,Sheet2!Q:Q,"N/A",0,1)))</f>
        <v>1</v>
      </c>
      <c r="I131" s="25">
        <f>IF($F131="unclassified","N/A",(_xlfn.XLOOKUP($E131,Sheet2!$A:$A,Sheet2!R:R,"N/A",0,1)))</f>
        <v>1</v>
      </c>
      <c r="J131" s="25">
        <f>IF($F131="unclassified","N/A",(_xlfn.XLOOKUP($E131,Sheet2!$A:$A,Sheet2!S:S,"N/A",0,1)))</f>
        <v>1</v>
      </c>
      <c r="K131" s="25">
        <f>IF($F131="unclassified","N/A",(_xlfn.XLOOKUP($E131,Sheet2!$A:$A,Sheet2!T:T,"N/A",0,1)))</f>
        <v>1</v>
      </c>
      <c r="L131" s="25">
        <f>IF($F131="unclassified","N/A",(_xlfn.XLOOKUP($E131,Sheet2!$A:$A,Sheet2!U:U,"N/A",0,1)))</f>
        <v>1</v>
      </c>
      <c r="M131" s="25">
        <f>IF($F131="unclassified","N/A",(_xlfn.XLOOKUP($E131,Sheet2!$A:$A,Sheet2!V:V,"N/A",0,1)))</f>
        <v>1</v>
      </c>
      <c r="N131" s="25"/>
      <c r="O131" s="25">
        <f>IF($F131="unclassified","N/A",(_xlfn.XLOOKUP($E131,Sheet2!$A:$A,Sheet2!W:W,"N/A",0,1)))</f>
        <v>1</v>
      </c>
      <c r="P131" s="25">
        <f>IF($F131="unclassified","N/A",(_xlfn.XLOOKUP($E131,Sheet2!$A:$A,Sheet2!X:X,"N/A",0,1)))</f>
        <v>1</v>
      </c>
      <c r="Q131" s="25">
        <f>IF($F131="unclassified","N/A",(_xlfn.XLOOKUP($E131,Sheet2!$A:$A,Sheet2!Y:Y,"N/A",0,1)))</f>
        <v>1</v>
      </c>
      <c r="R131" s="25">
        <f>IF($F131="unclassified","N/A",(_xlfn.XLOOKUP($E131,Sheet2!$A:$A,Sheet2!Z:Z,"N/A",0,1)))</f>
        <v>1</v>
      </c>
      <c r="S131" s="25">
        <f>IF($F131="unclassified","N/A",(_xlfn.XLOOKUP($E131,Sheet2!$A:$A,Sheet2!AA:AA,"N/A",0,1)))</f>
        <v>1</v>
      </c>
      <c r="T131" s="25">
        <v>1</v>
      </c>
      <c r="U131" s="11">
        <f>IF($F131="unclassified","N/A",(AVERAGE(Table3253[[#This Row],[PO nr]:[Delivery Date]])))</f>
        <v>1</v>
      </c>
      <c r="V131" s="84" t="s">
        <v>199</v>
      </c>
      <c r="W131" t="s">
        <v>200</v>
      </c>
      <c r="X131" s="41"/>
      <c r="Y131" s="55"/>
      <c r="Z131" s="55"/>
    </row>
    <row r="132" spans="4:26" ht="15" customHeight="1" x14ac:dyDescent="0.3">
      <c r="D132" s="30" t="str">
        <f>_xlfn.XLOOKUP(Table3253[[#This Row],[File Name]],'Analyse 2 Detail 02-03'!A:A,'Analyse 2 Detail 02-03'!R:R,"Not Found",0,1)</f>
        <v>Essity Netherlands B.V.</v>
      </c>
      <c r="E132" s="2" t="s">
        <v>159</v>
      </c>
      <c r="F132" s="64" t="s">
        <v>9</v>
      </c>
      <c r="G132" s="71">
        <v>1</v>
      </c>
      <c r="H132" s="25">
        <f>IF($F132="unclassified","N/A",(_xlfn.XLOOKUP($E132,Sheet2!$A:$A,Sheet2!Q:Q,"N/A",0,1)))</f>
        <v>1</v>
      </c>
      <c r="I132" s="25">
        <f>IF($F132="unclassified","N/A",(_xlfn.XLOOKUP($E132,Sheet2!$A:$A,Sheet2!R:R,"N/A",0,1)))</f>
        <v>1</v>
      </c>
      <c r="J132" s="25">
        <f>IF($F132="unclassified","N/A",(_xlfn.XLOOKUP($E132,Sheet2!$A:$A,Sheet2!S:S,"N/A",0,1)))</f>
        <v>1</v>
      </c>
      <c r="K132" s="25">
        <f>IF($F132="unclassified","N/A",(_xlfn.XLOOKUP($E132,Sheet2!$A:$A,Sheet2!T:T,"N/A",0,1)))</f>
        <v>1</v>
      </c>
      <c r="L132" s="25">
        <f>IF($F132="unclassified","N/A",(_xlfn.XLOOKUP($E132,Sheet2!$A:$A,Sheet2!U:U,"N/A",0,1)))</f>
        <v>1</v>
      </c>
      <c r="M132" s="25">
        <f>IF($F132="unclassified","N/A",(_xlfn.XLOOKUP($E132,Sheet2!$A:$A,Sheet2!V:V,"N/A",0,1)))</f>
        <v>1</v>
      </c>
      <c r="N132" s="25"/>
      <c r="O132" s="25">
        <f>IF($F132="unclassified","N/A",(_xlfn.XLOOKUP($E132,Sheet2!$A:$A,Sheet2!W:W,"N/A",0,1)))</f>
        <v>1</v>
      </c>
      <c r="P132" s="25">
        <f>IF($F132="unclassified","N/A",(_xlfn.XLOOKUP($E132,Sheet2!$A:$A,Sheet2!X:X,"N/A",0,1)))</f>
        <v>1</v>
      </c>
      <c r="Q132" s="25">
        <f>IF($F132="unclassified","N/A",(_xlfn.XLOOKUP($E132,Sheet2!$A:$A,Sheet2!Y:Y,"N/A",0,1)))</f>
        <v>1</v>
      </c>
      <c r="R132" s="25">
        <f>IF($F132="unclassified","N/A",(_xlfn.XLOOKUP($E132,Sheet2!$A:$A,Sheet2!Z:Z,"N/A",0,1)))</f>
        <v>1</v>
      </c>
      <c r="S132" s="25">
        <f>IF($F132="unclassified","N/A",(_xlfn.XLOOKUP($E132,Sheet2!$A:$A,Sheet2!AA:AA,"N/A",0,1)))</f>
        <v>1</v>
      </c>
      <c r="T132" s="25">
        <v>1</v>
      </c>
      <c r="U132" s="11">
        <f>IF($F132="unclassified","N/A",(AVERAGE(Table3253[[#This Row],[PO nr]:[Delivery Date]])))</f>
        <v>1</v>
      </c>
      <c r="V132" s="84" t="s">
        <v>199</v>
      </c>
      <c r="W132" t="s">
        <v>200</v>
      </c>
      <c r="X132" s="39"/>
      <c r="Y132" s="21"/>
      <c r="Z132" s="21"/>
    </row>
    <row r="133" spans="4:26" ht="15" customHeight="1" x14ac:dyDescent="0.3">
      <c r="D133" s="30" t="str">
        <f>_xlfn.XLOOKUP(Table3253[[#This Row],[File Name]],'Analyse 2 Detail 02-03'!A:A,'Analyse 2 Detail 02-03'!R:R,"Not Found",0,1)</f>
        <v>Becton Dickinson BV</v>
      </c>
      <c r="E133" s="2" t="s">
        <v>185</v>
      </c>
      <c r="F133" s="64" t="s">
        <v>9</v>
      </c>
      <c r="G133" s="71">
        <v>0</v>
      </c>
      <c r="H133" s="25">
        <f>IF($F133="unclassified","N/A",(_xlfn.XLOOKUP($E133,Sheet2!$A:$A,Sheet2!Q:Q,"N/A",0,1)))</f>
        <v>1</v>
      </c>
      <c r="I133" s="25">
        <f>IF($F133="unclassified","N/A",(_xlfn.XLOOKUP($E133,Sheet2!$A:$A,Sheet2!R:R,"N/A",0,1)))</f>
        <v>1</v>
      </c>
      <c r="J133" s="25">
        <f>IF($F133="unclassified","N/A",(_xlfn.XLOOKUP($E133,Sheet2!$A:$A,Sheet2!S:S,"N/A",0,1)))</f>
        <v>1</v>
      </c>
      <c r="K133" s="25">
        <f>IF($F133="unclassified","N/A",(_xlfn.XLOOKUP($E133,Sheet2!$A:$A,Sheet2!T:T,"N/A",0,1)))</f>
        <v>1</v>
      </c>
      <c r="L133" s="25">
        <f>IF($F133="unclassified","N/A",(_xlfn.XLOOKUP($E133,Sheet2!$A:$A,Sheet2!U:U,"N/A",0,1)))</f>
        <v>1</v>
      </c>
      <c r="M133" s="25">
        <f>IF($F133="unclassified","N/A",(_xlfn.XLOOKUP($E133,Sheet2!$A:$A,Sheet2!V:V,"N/A",0,1)))</f>
        <v>1</v>
      </c>
      <c r="N133" s="25"/>
      <c r="O133" s="25">
        <f>IF($F133="unclassified","N/A",(_xlfn.XLOOKUP($E133,Sheet2!$A:$A,Sheet2!W:W,"N/A",0,1)))</f>
        <v>1</v>
      </c>
      <c r="P133" s="25">
        <f>IF($F133="unclassified","N/A",(_xlfn.XLOOKUP($E133,Sheet2!$A:$A,Sheet2!X:X,"N/A",0,1)))</f>
        <v>1</v>
      </c>
      <c r="Q133" s="25">
        <f>IF($F133="unclassified","N/A",(_xlfn.XLOOKUP($E133,Sheet2!$A:$A,Sheet2!Y:Y,"N/A",0,1)))</f>
        <v>1</v>
      </c>
      <c r="R133" s="25">
        <f>IF($F133="unclassified","N/A",(_xlfn.XLOOKUP($E133,Sheet2!$A:$A,Sheet2!Z:Z,"N/A",0,1)))</f>
        <v>1</v>
      </c>
      <c r="S133" s="25">
        <f>IF($F133="unclassified","N/A",(_xlfn.XLOOKUP($E133,Sheet2!$A:$A,Sheet2!AA:AA,"N/A",0,1)))</f>
        <v>1</v>
      </c>
      <c r="T133" s="25">
        <f>IF($F133="unclassified","N/A",(_xlfn.XLOOKUP($E133,Sheet2!$A:$A,Sheet2!AB:AB,"N/A",0,1)))</f>
        <v>1</v>
      </c>
      <c r="U133" s="11">
        <f>IF($F133="unclassified","N/A",(AVERAGE(Table3253[[#This Row],[PO nr]:[Delivery Date]])))</f>
        <v>1</v>
      </c>
      <c r="V133" s="21"/>
      <c r="W133" s="39"/>
      <c r="X133" s="41"/>
      <c r="Y133" s="55"/>
      <c r="Z133" s="56"/>
    </row>
    <row r="134" spans="4:26" ht="15" customHeight="1" x14ac:dyDescent="0.3">
      <c r="D134" s="30" t="str">
        <f>_xlfn.XLOOKUP(Table3253[[#This Row],[File Name]],'Analyse 2 Detail 02-03'!A:A,'Analyse 2 Detail 02-03'!R:R,"Not Found",0,1)</f>
        <v>Becton Dickinson BV</v>
      </c>
      <c r="E134" s="2" t="s">
        <v>172</v>
      </c>
      <c r="F134" s="64" t="s">
        <v>9</v>
      </c>
      <c r="G134" s="71">
        <v>0</v>
      </c>
      <c r="H134" s="25">
        <f>IF($F134="unclassified","N/A",(_xlfn.XLOOKUP($E134,Sheet2!$A:$A,Sheet2!Q:Q,"N/A",0,1)))</f>
        <v>1</v>
      </c>
      <c r="I134" s="25">
        <f>IF($F134="unclassified","N/A",(_xlfn.XLOOKUP($E134,Sheet2!$A:$A,Sheet2!R:R,"N/A",0,1)))</f>
        <v>1</v>
      </c>
      <c r="J134" s="25">
        <f>IF($F134="unclassified","N/A",(_xlfn.XLOOKUP($E134,Sheet2!$A:$A,Sheet2!S:S,"N/A",0,1)))</f>
        <v>1</v>
      </c>
      <c r="K134" s="25">
        <f>IF($F134="unclassified","N/A",(_xlfn.XLOOKUP($E134,Sheet2!$A:$A,Sheet2!T:T,"N/A",0,1)))</f>
        <v>1</v>
      </c>
      <c r="L134" s="25">
        <f>IF($F134="unclassified","N/A",(_xlfn.XLOOKUP($E134,Sheet2!$A:$A,Sheet2!U:U,"N/A",0,1)))</f>
        <v>1</v>
      </c>
      <c r="M134" s="25">
        <f>IF($F134="unclassified","N/A",(_xlfn.XLOOKUP($E134,Sheet2!$A:$A,Sheet2!V:V,"N/A",0,1)))</f>
        <v>1</v>
      </c>
      <c r="N134" s="25"/>
      <c r="O134" s="25">
        <f>IF($F134="unclassified","N/A",(_xlfn.XLOOKUP($E134,Sheet2!$A:$A,Sheet2!W:W,"N/A",0,1)))</f>
        <v>1</v>
      </c>
      <c r="P134" s="25">
        <f>IF($F134="unclassified","N/A",(_xlfn.XLOOKUP($E134,Sheet2!$A:$A,Sheet2!X:X,"N/A",0,1)))</f>
        <v>1</v>
      </c>
      <c r="Q134" s="25">
        <f>IF($F134="unclassified","N/A",(_xlfn.XLOOKUP($E134,Sheet2!$A:$A,Sheet2!Y:Y,"N/A",0,1)))</f>
        <v>1</v>
      </c>
      <c r="R134" s="25">
        <v>1</v>
      </c>
      <c r="S134" s="25">
        <f>IF($F134="unclassified","N/A",(_xlfn.XLOOKUP($E134,Sheet2!$A:$A,Sheet2!AA:AA,"N/A",0,1)))</f>
        <v>1</v>
      </c>
      <c r="T134" s="25">
        <f>IF($F134="unclassified","N/A",(_xlfn.XLOOKUP($E134,Sheet2!$A:$A,Sheet2!AB:AB,"N/A",0,1)))</f>
        <v>1</v>
      </c>
      <c r="U134" s="11">
        <f>IF($F134="unclassified","N/A",(AVERAGE(Table3253[[#This Row],[PO nr]:[Delivery Date]])))</f>
        <v>1</v>
      </c>
      <c r="V134" s="21" t="s">
        <v>201</v>
      </c>
      <c r="W134" s="39"/>
      <c r="X134" s="39"/>
      <c r="Y134" s="21"/>
      <c r="Z134" s="21"/>
    </row>
    <row r="135" spans="4:26" ht="15" customHeight="1" x14ac:dyDescent="0.3">
      <c r="D135" s="30" t="str">
        <f>_xlfn.XLOOKUP(Table3253[[#This Row],[File Name]],'Analyse 2 Detail 02-03'!A:A,'Analyse 2 Detail 02-03'!R:R,"Not Found",0,1)</f>
        <v>Becton Dickinson BV</v>
      </c>
      <c r="E135" s="2" t="s">
        <v>152</v>
      </c>
      <c r="F135" s="64" t="s">
        <v>9</v>
      </c>
      <c r="G135" s="71">
        <v>2</v>
      </c>
      <c r="H135" s="25">
        <f>IF($F135="unclassified","N/A",(_xlfn.XLOOKUP($E135,Sheet2!$A:$A,Sheet2!Q:Q,"N/A",0,1)))</f>
        <v>1</v>
      </c>
      <c r="I135" s="25">
        <f>IF($F135="unclassified","N/A",(_xlfn.XLOOKUP($E135,Sheet2!$A:$A,Sheet2!R:R,"N/A",0,1)))</f>
        <v>1</v>
      </c>
      <c r="J135" s="25">
        <f>IF($F135="unclassified","N/A",(_xlfn.XLOOKUP($E135,Sheet2!$A:$A,Sheet2!S:S,"N/A",0,1)))</f>
        <v>1</v>
      </c>
      <c r="K135" s="25">
        <f>IF($F135="unclassified","N/A",(_xlfn.XLOOKUP($E135,Sheet2!$A:$A,Sheet2!T:T,"N/A",0,1)))</f>
        <v>1</v>
      </c>
      <c r="L135" s="25">
        <f>IF($F135="unclassified","N/A",(_xlfn.XLOOKUP($E135,Sheet2!$A:$A,Sheet2!U:U,"N/A",0,1)))</f>
        <v>1</v>
      </c>
      <c r="M135" s="25">
        <f>IF($F135="unclassified","N/A",(_xlfn.XLOOKUP($E135,Sheet2!$A:$A,Sheet2!V:V,"N/A",0,1)))</f>
        <v>1</v>
      </c>
      <c r="N135" s="25"/>
      <c r="O135" s="25">
        <f>IF($F135="unclassified","N/A",(_xlfn.XLOOKUP($E135,Sheet2!$A:$A,Sheet2!W:W,"N/A",0,1)))</f>
        <v>1</v>
      </c>
      <c r="P135" s="25">
        <f>IF($F135="unclassified","N/A",(_xlfn.XLOOKUP($E135,Sheet2!$A:$A,Sheet2!X:X,"N/A",0,1)))</f>
        <v>1</v>
      </c>
      <c r="Q135" s="25">
        <f>IF($F135="unclassified","N/A",(_xlfn.XLOOKUP($E135,Sheet2!$A:$A,Sheet2!Y:Y,"N/A",0,1)))</f>
        <v>1</v>
      </c>
      <c r="R135" s="25">
        <v>1</v>
      </c>
      <c r="S135" s="25">
        <f>IF($F135="unclassified","N/A",(_xlfn.XLOOKUP($E135,Sheet2!$A:$A,Sheet2!AA:AA,"N/A",0,1)))</f>
        <v>1</v>
      </c>
      <c r="T135" s="25">
        <f>IF($F135="unclassified","N/A",(_xlfn.XLOOKUP($E135,Sheet2!$A:$A,Sheet2!AB:AB,"N/A",0,1)))</f>
        <v>1</v>
      </c>
      <c r="U135" s="11">
        <f>IF($F135="unclassified","N/A",(AVERAGE(Table3253[[#This Row],[PO nr]:[Delivery Date]])))</f>
        <v>1</v>
      </c>
      <c r="V135" s="21" t="s">
        <v>201</v>
      </c>
      <c r="W135" s="39" t="s">
        <v>202</v>
      </c>
      <c r="X135" s="39" t="s">
        <v>2332</v>
      </c>
      <c r="Y135" s="21"/>
      <c r="Z135" s="21"/>
    </row>
    <row r="136" spans="4:26" ht="15" customHeight="1" x14ac:dyDescent="0.3">
      <c r="D136" s="30" t="str">
        <f>_xlfn.XLOOKUP(Table3253[[#This Row],[File Name]],'Analyse 2 Detail 02-03'!A:A,'Analyse 2 Detail 02-03'!R:R,"Not Found",0,1)</f>
        <v>Medline Int'l Belgium BV</v>
      </c>
      <c r="E136" s="2" t="s">
        <v>142</v>
      </c>
      <c r="F136" s="64" t="s">
        <v>9</v>
      </c>
      <c r="G136" s="71">
        <v>2</v>
      </c>
      <c r="H136" s="25">
        <f>IF($F136="unclassified","N/A",(_xlfn.XLOOKUP($E136,Sheet2!$A:$A,Sheet2!Q:Q,"N/A",0,1)))</f>
        <v>1</v>
      </c>
      <c r="I136" s="25">
        <f>IF($F136="unclassified","N/A",(_xlfn.XLOOKUP($E136,Sheet2!$A:$A,Sheet2!R:R,"N/A",0,1)))</f>
        <v>1</v>
      </c>
      <c r="J136" s="25">
        <f>IF($F136="unclassified","N/A",(_xlfn.XLOOKUP($E136,Sheet2!$A:$A,Sheet2!S:S,"N/A",0,1)))</f>
        <v>1</v>
      </c>
      <c r="K136" s="25">
        <f>IF($F136="unclassified","N/A",(_xlfn.XLOOKUP($E136,Sheet2!$A:$A,Sheet2!T:T,"N/A",0,1)))</f>
        <v>1</v>
      </c>
      <c r="L136" s="25">
        <f>IF($F136="unclassified","N/A",(_xlfn.XLOOKUP($E136,Sheet2!$A:$A,Sheet2!U:U,"N/A",0,1)))</f>
        <v>1</v>
      </c>
      <c r="M136" s="25">
        <f>IF($F136="unclassified","N/A",(_xlfn.XLOOKUP($E136,Sheet2!$A:$A,Sheet2!V:V,"N/A",0,1)))</f>
        <v>1</v>
      </c>
      <c r="N136" s="25"/>
      <c r="O136" s="25">
        <f>IF($F136="unclassified","N/A",(_xlfn.XLOOKUP($E136,Sheet2!$A:$A,Sheet2!W:W,"N/A",0,1)))</f>
        <v>1</v>
      </c>
      <c r="P136" s="25">
        <v>1</v>
      </c>
      <c r="Q136" s="25">
        <f>IF($F136="unclassified","N/A",(_xlfn.XLOOKUP($E136,Sheet2!$A:$A,Sheet2!Y:Y,"N/A",0,1)))</f>
        <v>1</v>
      </c>
      <c r="R136" s="25">
        <v>1</v>
      </c>
      <c r="S136" s="25">
        <f>IF($F136="unclassified","N/A",(_xlfn.XLOOKUP($E136,Sheet2!$A:$A,Sheet2!AA:AA,"N/A",0,1)))</f>
        <v>1</v>
      </c>
      <c r="T136" s="25">
        <f>IF($F136="unclassified","N/A",(_xlfn.XLOOKUP($E136,Sheet2!$A:$A,Sheet2!AB:AB,"N/A",0,1)))</f>
        <v>1</v>
      </c>
      <c r="U136" s="11">
        <f>IF($F136="unclassified","N/A",(AVERAGE(Table3253[[#This Row],[PO nr]:[Delivery Date]])))</f>
        <v>1</v>
      </c>
      <c r="V136" s="21" t="s">
        <v>203</v>
      </c>
      <c r="W136" s="21" t="s">
        <v>204</v>
      </c>
      <c r="X136" s="50" t="s">
        <v>2334</v>
      </c>
      <c r="Y136" s="21"/>
      <c r="Z136" s="21"/>
    </row>
    <row r="137" spans="4:26" ht="15" customHeight="1" x14ac:dyDescent="0.3">
      <c r="D137" s="30" t="str">
        <f>_xlfn.XLOOKUP(Table3253[[#This Row],[File Name]],'Analyse 2 Detail 02-03'!A:A,'Analyse 2 Detail 02-03'!R:R,"Not Found",0,1)</f>
        <v>VYGON NEDERLAND B.V.</v>
      </c>
      <c r="E137" s="2" t="s">
        <v>121</v>
      </c>
      <c r="F137" s="64" t="s">
        <v>11</v>
      </c>
      <c r="G137" s="71">
        <v>0</v>
      </c>
      <c r="H137" s="25" t="str">
        <f>IF($F137="unclassified","N/A",(_xlfn.XLOOKUP($E137,Sheet2!$A:$A,Sheet2!Q:Q,"N/A",0,1)))</f>
        <v>N/A</v>
      </c>
      <c r="I137" s="25" t="str">
        <f>IF($F137="unclassified","N/A",(_xlfn.XLOOKUP($E137,Sheet2!$A:$A,Sheet2!R:R,"N/A",0,1)))</f>
        <v>N/A</v>
      </c>
      <c r="J137" s="25" t="str">
        <f>IF($F137="unclassified","N/A",(_xlfn.XLOOKUP($E137,Sheet2!$A:$A,Sheet2!S:S,"N/A",0,1)))</f>
        <v>N/A</v>
      </c>
      <c r="K137" s="25" t="str">
        <f>IF($F137="unclassified","N/A",(_xlfn.XLOOKUP($E137,Sheet2!$A:$A,Sheet2!T:T,"N/A",0,1)))</f>
        <v>N/A</v>
      </c>
      <c r="L137" s="25" t="str">
        <f>IF($F137="unclassified","N/A",(_xlfn.XLOOKUP($E137,Sheet2!$A:$A,Sheet2!U:U,"N/A",0,1)))</f>
        <v>N/A</v>
      </c>
      <c r="M137" s="25" t="str">
        <f>IF($F137="unclassified","N/A",(_xlfn.XLOOKUP($E137,Sheet2!$A:$A,Sheet2!V:V,"N/A",0,1)))</f>
        <v>N/A</v>
      </c>
      <c r="N137" s="25"/>
      <c r="O137" s="25" t="str">
        <f>IF($F137="unclassified","N/A",(_xlfn.XLOOKUP($E137,Sheet2!$A:$A,Sheet2!W:W,"N/A",0,1)))</f>
        <v>N/A</v>
      </c>
      <c r="P137" s="25" t="str">
        <f>IF($F137="unclassified","N/A",(_xlfn.XLOOKUP($E137,Sheet2!$A:$A,Sheet2!X:X,"N/A",0,1)))</f>
        <v>N/A</v>
      </c>
      <c r="Q137" s="25" t="str">
        <f>IF($F137="unclassified","N/A",(_xlfn.XLOOKUP($E137,Sheet2!$A:$A,Sheet2!Y:Y,"N/A",0,1)))</f>
        <v>N/A</v>
      </c>
      <c r="R137" s="25" t="str">
        <f>IF($F137="unclassified","N/A",(_xlfn.XLOOKUP($E137,Sheet2!$A:$A,Sheet2!Z:Z,"N/A",0,1)))</f>
        <v>N/A</v>
      </c>
      <c r="S137" s="25" t="str">
        <f>IF($F137="unclassified","N/A",(_xlfn.XLOOKUP($E137,Sheet2!$A:$A,Sheet2!AA:AA,"N/A",0,1)))</f>
        <v>N/A</v>
      </c>
      <c r="T137" s="25" t="str">
        <f>IF($F137="unclassified","N/A",(_xlfn.XLOOKUP($E137,Sheet2!$A:$A,Sheet2!AB:AB,"N/A",0,1)))</f>
        <v>N/A</v>
      </c>
      <c r="U137" s="11" t="str">
        <f>IF($F137="unclassified","N/A",(AVERAGE(Table3253[[#This Row],[PO nr]:[Delivery Date]])))</f>
        <v>N/A</v>
      </c>
      <c r="V137" s="21"/>
      <c r="W137" s="21"/>
      <c r="X137" s="21"/>
      <c r="Y137" s="21"/>
      <c r="Z137" s="21"/>
    </row>
    <row r="138" spans="4:26" ht="15" customHeight="1" x14ac:dyDescent="0.3">
      <c r="D138" s="30" t="str">
        <f>_xlfn.XLOOKUP(Table3253[[#This Row],[File Name]],'Analyse 2 Detail 02-03'!A:A,'Analyse 2 Detail 02-03'!R:R,"Not Found",0,1)</f>
        <v>VYGON NEDERLAND B.V.</v>
      </c>
      <c r="E138" s="2" t="s">
        <v>121</v>
      </c>
      <c r="F138" s="64" t="s">
        <v>11</v>
      </c>
      <c r="G138" s="71">
        <v>0</v>
      </c>
      <c r="H138" s="25" t="str">
        <f>IF($F138="unclassified","N/A",(_xlfn.XLOOKUP($E138,Sheet2!$A:$A,Sheet2!Q:Q,"N/A",0,1)))</f>
        <v>N/A</v>
      </c>
      <c r="I138" s="25" t="str">
        <f>IF($F138="unclassified","N/A",(_xlfn.XLOOKUP($E138,Sheet2!$A:$A,Sheet2!R:R,"N/A",0,1)))</f>
        <v>N/A</v>
      </c>
      <c r="J138" s="25" t="str">
        <f>IF($F138="unclassified","N/A",(_xlfn.XLOOKUP($E138,Sheet2!$A:$A,Sheet2!S:S,"N/A",0,1)))</f>
        <v>N/A</v>
      </c>
      <c r="K138" s="25" t="str">
        <f>IF($F138="unclassified","N/A",(_xlfn.XLOOKUP($E138,Sheet2!$A:$A,Sheet2!T:T,"N/A",0,1)))</f>
        <v>N/A</v>
      </c>
      <c r="L138" s="25" t="str">
        <f>IF($F138="unclassified","N/A",(_xlfn.XLOOKUP($E138,Sheet2!$A:$A,Sheet2!U:U,"N/A",0,1)))</f>
        <v>N/A</v>
      </c>
      <c r="M138" s="25" t="str">
        <f>IF($F138="unclassified","N/A",(_xlfn.XLOOKUP($E138,Sheet2!$A:$A,Sheet2!V:V,"N/A",0,1)))</f>
        <v>N/A</v>
      </c>
      <c r="N138" s="25"/>
      <c r="O138" s="25" t="str">
        <f>IF($F138="unclassified","N/A",(_xlfn.XLOOKUP($E138,Sheet2!$A:$A,Sheet2!W:W,"N/A",0,1)))</f>
        <v>N/A</v>
      </c>
      <c r="P138" s="25" t="str">
        <f>IF($F138="unclassified","N/A",(_xlfn.XLOOKUP($E138,Sheet2!$A:$A,Sheet2!X:X,"N/A",0,1)))</f>
        <v>N/A</v>
      </c>
      <c r="Q138" s="25" t="str">
        <f>IF($F138="unclassified","N/A",(_xlfn.XLOOKUP($E138,Sheet2!$A:$A,Sheet2!Y:Y,"N/A",0,1)))</f>
        <v>N/A</v>
      </c>
      <c r="R138" s="25" t="str">
        <f>IF($F138="unclassified","N/A",(_xlfn.XLOOKUP($E138,Sheet2!$A:$A,Sheet2!Z:Z,"N/A",0,1)))</f>
        <v>N/A</v>
      </c>
      <c r="S138" s="25" t="str">
        <f>IF($F138="unclassified","N/A",(_xlfn.XLOOKUP($E138,Sheet2!$A:$A,Sheet2!AA:AA,"N/A",0,1)))</f>
        <v>N/A</v>
      </c>
      <c r="T138" s="25" t="str">
        <f>IF($F138="unclassified","N/A",(_xlfn.XLOOKUP($E138,Sheet2!$A:$A,Sheet2!AB:AB,"N/A",0,1)))</f>
        <v>N/A</v>
      </c>
      <c r="U138" s="11" t="str">
        <f>IF($F138="unclassified","N/A",(AVERAGE(Table3253[[#This Row],[PO nr]:[Delivery Date]])))</f>
        <v>N/A</v>
      </c>
      <c r="V138" s="21"/>
      <c r="W138" s="21"/>
      <c r="X138" s="21"/>
      <c r="Y138" s="21"/>
      <c r="Z138" s="21"/>
    </row>
    <row r="139" spans="4:26" ht="15" customHeight="1" x14ac:dyDescent="0.3">
      <c r="D139" s="30" t="str">
        <f>_xlfn.XLOOKUP(Table3253[[#This Row],[File Name]],'Analyse 2 Detail 02-03'!A:A,'Analyse 2 Detail 02-03'!R:R,"Not Found",0,1)</f>
        <v>VYGON NEDERLAND B.V.</v>
      </c>
      <c r="E139" s="2" t="s">
        <v>121</v>
      </c>
      <c r="F139" s="64" t="s">
        <v>9</v>
      </c>
      <c r="G139" s="71">
        <v>3</v>
      </c>
      <c r="H139" s="25">
        <f>IF($F139="unclassified","N/A",(_xlfn.XLOOKUP($E139,Sheet2!$A:$A,Sheet2!Q:Q,"N/A",0,1)))</f>
        <v>1</v>
      </c>
      <c r="I139" s="25">
        <f>IF($F139="unclassified","N/A",(_xlfn.XLOOKUP($E139,Sheet2!$A:$A,Sheet2!R:R,"N/A",0,1)))</f>
        <v>1</v>
      </c>
      <c r="J139" s="25">
        <f>IF($F139="unclassified","N/A",(_xlfn.XLOOKUP($E139,Sheet2!$A:$A,Sheet2!S:S,"N/A",0,1)))</f>
        <v>1</v>
      </c>
      <c r="K139" s="25">
        <f>IF($F139="unclassified","N/A",(_xlfn.XLOOKUP($E139,Sheet2!$A:$A,Sheet2!T:T,"N/A",0,1)))</f>
        <v>1</v>
      </c>
      <c r="L139" s="25">
        <f>IF($F139="unclassified","N/A",(_xlfn.XLOOKUP($E139,Sheet2!$A:$A,Sheet2!U:U,"N/A",0,1)))</f>
        <v>1</v>
      </c>
      <c r="M139" s="25">
        <v>1</v>
      </c>
      <c r="N139" s="25"/>
      <c r="O139" s="25">
        <f>IF($F139="unclassified","N/A",(_xlfn.XLOOKUP($E139,Sheet2!$A:$A,Sheet2!W:W,"N/A",0,1)))</f>
        <v>1</v>
      </c>
      <c r="P139" s="25">
        <f>IF($F139="unclassified","N/A",(_xlfn.XLOOKUP($E139,Sheet2!$A:$A,Sheet2!X:X,"N/A",0,1)))</f>
        <v>1</v>
      </c>
      <c r="Q139" s="25">
        <f>IF($F139="unclassified","N/A",(_xlfn.XLOOKUP($E139,Sheet2!$A:$A,Sheet2!Y:Y,"N/A",0,1)))</f>
        <v>1</v>
      </c>
      <c r="R139" s="25">
        <v>1</v>
      </c>
      <c r="S139" s="25">
        <v>1</v>
      </c>
      <c r="T139" s="25">
        <f>IF($F139="unclassified","N/A",(_xlfn.XLOOKUP($E139,Sheet2!$A:$A,Sheet2!AB:AB,"N/A",0,1)))</f>
        <v>1</v>
      </c>
      <c r="U139" s="11">
        <f>IF($F139="unclassified","N/A",(AVERAGE(Table3253[[#This Row],[PO nr]:[Delivery Date]])))</f>
        <v>1</v>
      </c>
      <c r="V139" s="84" t="s">
        <v>205</v>
      </c>
      <c r="W139" s="21" t="s">
        <v>206</v>
      </c>
      <c r="X139" s="50" t="s">
        <v>2335</v>
      </c>
      <c r="Y139" s="21"/>
      <c r="Z139" s="21"/>
    </row>
    <row r="140" spans="4:26" ht="15" customHeight="1" x14ac:dyDescent="0.3">
      <c r="D140" s="30" t="str">
        <f>_xlfn.XLOOKUP(Table3253[[#This Row],[File Name]],'Analyse 2 Detail 02-03'!A:A,'Analyse 2 Detail 02-03'!R:R,"Not Found",0,1)</f>
        <v>King Belgium SA/NV</v>
      </c>
      <c r="E140" s="2" t="s">
        <v>181</v>
      </c>
      <c r="F140" s="64" t="s">
        <v>9</v>
      </c>
      <c r="G140" s="71">
        <v>0</v>
      </c>
      <c r="H140" s="25">
        <f>IF($F140="unclassified","N/A",(_xlfn.XLOOKUP($E140,Sheet2!$A:$A,Sheet2!Q:Q,"N/A",0,1)))</f>
        <v>1</v>
      </c>
      <c r="I140" s="25">
        <f>IF($F140="unclassified","N/A",(_xlfn.XLOOKUP($E140,Sheet2!$A:$A,Sheet2!R:R,"N/A",0,1)))</f>
        <v>1</v>
      </c>
      <c r="J140" s="25">
        <f>IF($F140="unclassified","N/A",(_xlfn.XLOOKUP($E140,Sheet2!$A:$A,Sheet2!S:S,"N/A",0,1)))</f>
        <v>1</v>
      </c>
      <c r="K140" s="25">
        <f>IF($F140="unclassified","N/A",(_xlfn.XLOOKUP($E140,Sheet2!$A:$A,Sheet2!T:T,"N/A",0,1)))</f>
        <v>1</v>
      </c>
      <c r="L140" s="25">
        <f>IF($F140="unclassified","N/A",(_xlfn.XLOOKUP($E140,Sheet2!$A:$A,Sheet2!U:U,"N/A",0,1)))</f>
        <v>1</v>
      </c>
      <c r="M140" s="25">
        <f>IF($F140="unclassified","N/A",(_xlfn.XLOOKUP($E140,Sheet2!$A:$A,Sheet2!V:V,"N/A",0,1)))</f>
        <v>1</v>
      </c>
      <c r="N140" s="25"/>
      <c r="O140" s="25">
        <f>IF($F140="unclassified","N/A",(_xlfn.XLOOKUP($E140,Sheet2!$A:$A,Sheet2!W:W,"N/A",0,1)))</f>
        <v>1</v>
      </c>
      <c r="P140" s="25">
        <f>IF($F140="unclassified","N/A",(_xlfn.XLOOKUP($E140,Sheet2!$A:$A,Sheet2!X:X,"N/A",0,1)))</f>
        <v>1</v>
      </c>
      <c r="Q140" s="25">
        <f>IF($F140="unclassified","N/A",(_xlfn.XLOOKUP($E140,Sheet2!$A:$A,Sheet2!Y:Y,"N/A",0,1)))</f>
        <v>1</v>
      </c>
      <c r="R140" s="25">
        <f>IF($F140="unclassified","N/A",(_xlfn.XLOOKUP($E140,Sheet2!$A:$A,Sheet2!Z:Z,"N/A",0,1)))</f>
        <v>1</v>
      </c>
      <c r="S140" s="25">
        <f>IF($F140="unclassified","N/A",(_xlfn.XLOOKUP($E140,Sheet2!$A:$A,Sheet2!AA:AA,"N/A",0,1)))</f>
        <v>1</v>
      </c>
      <c r="T140" s="25">
        <f>IF($F140="unclassified","N/A",(_xlfn.XLOOKUP($E140,Sheet2!$A:$A,Sheet2!AB:AB,"N/A",0,1)))</f>
        <v>1</v>
      </c>
      <c r="U140" s="11">
        <f>IF($F140="unclassified","N/A",(AVERAGE(Table3253[[#This Row],[PO nr]:[Delivery Date]])))</f>
        <v>1</v>
      </c>
      <c r="V140" s="21"/>
      <c r="W140" s="21"/>
      <c r="X140" s="21"/>
      <c r="Y140" s="21"/>
      <c r="Z140" s="21"/>
    </row>
    <row r="141" spans="4:26" ht="15" customHeight="1" x14ac:dyDescent="0.3">
      <c r="D141" s="30" t="str">
        <f>_xlfn.XLOOKUP(Table3253[[#This Row],[File Name]],'Analyse 2 Detail 02-03'!A:A,'Analyse 2 Detail 02-03'!R:R,"Not Found",0,1)</f>
        <v>King Belgium SA/NV</v>
      </c>
      <c r="E141" s="2" t="s">
        <v>120</v>
      </c>
      <c r="F141" s="64" t="s">
        <v>9</v>
      </c>
      <c r="G141" s="71">
        <v>0</v>
      </c>
      <c r="H141" s="25">
        <f>IF($F141="unclassified","N/A",(_xlfn.XLOOKUP($E141,Sheet2!$A:$A,Sheet2!Q:Q,"N/A",0,1)))</f>
        <v>1</v>
      </c>
      <c r="I141" s="25">
        <f>IF($F141="unclassified","N/A",(_xlfn.XLOOKUP($E141,Sheet2!$A:$A,Sheet2!R:R,"N/A",0,1)))</f>
        <v>1</v>
      </c>
      <c r="J141" s="25">
        <f>IF($F141="unclassified","N/A",(_xlfn.XLOOKUP($E141,Sheet2!$A:$A,Sheet2!S:S,"N/A",0,1)))</f>
        <v>1</v>
      </c>
      <c r="K141" s="25">
        <f>IF($F141="unclassified","N/A",(_xlfn.XLOOKUP($E141,Sheet2!$A:$A,Sheet2!T:T,"N/A",0,1)))</f>
        <v>1</v>
      </c>
      <c r="L141" s="25">
        <f>IF($F141="unclassified","N/A",(_xlfn.XLOOKUP($E141,Sheet2!$A:$A,Sheet2!U:U,"N/A",0,1)))</f>
        <v>1</v>
      </c>
      <c r="M141" s="25">
        <f>IF($F141="unclassified","N/A",(_xlfn.XLOOKUP($E141,Sheet2!$A:$A,Sheet2!V:V,"N/A",0,1)))</f>
        <v>1</v>
      </c>
      <c r="N141" s="25"/>
      <c r="O141" s="25">
        <f>IF($F141="unclassified","N/A",(_xlfn.XLOOKUP($E141,Sheet2!$A:$A,Sheet2!W:W,"N/A",0,1)))</f>
        <v>1</v>
      </c>
      <c r="P141" s="25">
        <f>IF($F141="unclassified","N/A",(_xlfn.XLOOKUP($E141,Sheet2!$A:$A,Sheet2!X:X,"N/A",0,1)))</f>
        <v>1</v>
      </c>
      <c r="Q141" s="25">
        <f>IF($F141="unclassified","N/A",(_xlfn.XLOOKUP($E141,Sheet2!$A:$A,Sheet2!Y:Y,"N/A",0,1)))</f>
        <v>1</v>
      </c>
      <c r="R141" s="25">
        <f>IF($F141="unclassified","N/A",(_xlfn.XLOOKUP($E141,Sheet2!$A:$A,Sheet2!Z:Z,"N/A",0,1)))</f>
        <v>1</v>
      </c>
      <c r="S141" s="25">
        <f>IF($F141="unclassified","N/A",(_xlfn.XLOOKUP($E141,Sheet2!$A:$A,Sheet2!AA:AA,"N/A",0,1)))</f>
        <v>1</v>
      </c>
      <c r="T141" s="25">
        <f>IF($F141="unclassified","N/A",(_xlfn.XLOOKUP($E141,Sheet2!$A:$A,Sheet2!AB:AB,"N/A",0,1)))</f>
        <v>1</v>
      </c>
      <c r="U141" s="11">
        <f>IF($F141="unclassified","N/A",(AVERAGE(Table3253[[#This Row],[PO nr]:[Delivery Date]])))</f>
        <v>1</v>
      </c>
      <c r="V141" s="21"/>
      <c r="W141" s="21"/>
      <c r="X141" s="21"/>
      <c r="Y141" s="21"/>
      <c r="Z141" s="21"/>
    </row>
    <row r="142" spans="4:26" ht="15" customHeight="1" x14ac:dyDescent="0.3">
      <c r="D142" s="30" t="str">
        <f>_xlfn.XLOOKUP(Table3253[[#This Row],[File Name]],'Analyse 2 Detail 02-03'!A:A,'Analyse 2 Detail 02-03'!R:R,"Not Found",0,1)</f>
        <v>King Belgium SA/NV</v>
      </c>
      <c r="E142" s="2" t="s">
        <v>145</v>
      </c>
      <c r="F142" s="64" t="s">
        <v>9</v>
      </c>
      <c r="G142" s="71">
        <v>0</v>
      </c>
      <c r="H142" s="25">
        <f>IF($F142="unclassified","N/A",(_xlfn.XLOOKUP($E142,Sheet2!$A:$A,Sheet2!Q:Q,"N/A",0,1)))</f>
        <v>1</v>
      </c>
      <c r="I142" s="25">
        <f>IF($F142="unclassified","N/A",(_xlfn.XLOOKUP($E142,Sheet2!$A:$A,Sheet2!R:R,"N/A",0,1)))</f>
        <v>1</v>
      </c>
      <c r="J142" s="25">
        <f>IF($F142="unclassified","N/A",(_xlfn.XLOOKUP($E142,Sheet2!$A:$A,Sheet2!S:S,"N/A",0,1)))</f>
        <v>1</v>
      </c>
      <c r="K142" s="25">
        <f>IF($F142="unclassified","N/A",(_xlfn.XLOOKUP($E142,Sheet2!$A:$A,Sheet2!T:T,"N/A",0,1)))</f>
        <v>1</v>
      </c>
      <c r="L142" s="25">
        <f>IF($F142="unclassified","N/A",(_xlfn.XLOOKUP($E142,Sheet2!$A:$A,Sheet2!U:U,"N/A",0,1)))</f>
        <v>1</v>
      </c>
      <c r="M142" s="25">
        <f>IF($F142="unclassified","N/A",(_xlfn.XLOOKUP($E142,Sheet2!$A:$A,Sheet2!V:V,"N/A",0,1)))</f>
        <v>1</v>
      </c>
      <c r="N142" s="25"/>
      <c r="O142" s="25">
        <f>IF($F142="unclassified","N/A",(_xlfn.XLOOKUP($E142,Sheet2!$A:$A,Sheet2!W:W,"N/A",0,1)))</f>
        <v>1</v>
      </c>
      <c r="P142" s="25">
        <f>IF($F142="unclassified","N/A",(_xlfn.XLOOKUP($E142,Sheet2!$A:$A,Sheet2!X:X,"N/A",0,1)))</f>
        <v>1</v>
      </c>
      <c r="Q142" s="25">
        <f>IF($F142="unclassified","N/A",(_xlfn.XLOOKUP($E142,Sheet2!$A:$A,Sheet2!Y:Y,"N/A",0,1)))</f>
        <v>1</v>
      </c>
      <c r="R142" s="25">
        <f>IF($F142="unclassified","N/A",(_xlfn.XLOOKUP($E142,Sheet2!$A:$A,Sheet2!Z:Z,"N/A",0,1)))</f>
        <v>1</v>
      </c>
      <c r="S142" s="25">
        <f>IF($F142="unclassified","N/A",(_xlfn.XLOOKUP($E142,Sheet2!$A:$A,Sheet2!AA:AA,"N/A",0,1)))</f>
        <v>1</v>
      </c>
      <c r="T142" s="25">
        <f>IF($F142="unclassified","N/A",(_xlfn.XLOOKUP($E142,Sheet2!$A:$A,Sheet2!AB:AB,"N/A",0,1)))</f>
        <v>1</v>
      </c>
      <c r="U142" s="11">
        <f>IF($F142="unclassified","N/A",(AVERAGE(Table3253[[#This Row],[PO nr]:[Delivery Date]])))</f>
        <v>1</v>
      </c>
      <c r="V142" s="21"/>
      <c r="W142" s="21"/>
      <c r="X142" s="21"/>
      <c r="Y142" s="21"/>
      <c r="Z142" s="21"/>
    </row>
    <row r="143" spans="4:26" ht="15" customHeight="1" x14ac:dyDescent="0.3">
      <c r="D143" s="30" t="str">
        <f>_xlfn.XLOOKUP(Table3253[[#This Row],[File Name]],'Analyse 2 Detail 02-03'!A:A,'Analyse 2 Detail 02-03'!R:R,"Not Found",0,1)</f>
        <v>King Belgium SA/NV</v>
      </c>
      <c r="E143" s="2" t="s">
        <v>182</v>
      </c>
      <c r="F143" s="64" t="s">
        <v>9</v>
      </c>
      <c r="G143" s="71">
        <v>0</v>
      </c>
      <c r="H143" s="25">
        <f>IF($F143="unclassified","N/A",(_xlfn.XLOOKUP($E143,Sheet2!$A:$A,Sheet2!Q:Q,"N/A",0,1)))</f>
        <v>1</v>
      </c>
      <c r="I143" s="25">
        <f>IF($F143="unclassified","N/A",(_xlfn.XLOOKUP($E143,Sheet2!$A:$A,Sheet2!R:R,"N/A",0,1)))</f>
        <v>1</v>
      </c>
      <c r="J143" s="25">
        <f>IF($F143="unclassified","N/A",(_xlfn.XLOOKUP($E143,Sheet2!$A:$A,Sheet2!S:S,"N/A",0,1)))</f>
        <v>1</v>
      </c>
      <c r="K143" s="25">
        <f>IF($F143="unclassified","N/A",(_xlfn.XLOOKUP($E143,Sheet2!$A:$A,Sheet2!T:T,"N/A",0,1)))</f>
        <v>1</v>
      </c>
      <c r="L143" s="25">
        <f>IF($F143="unclassified","N/A",(_xlfn.XLOOKUP($E143,Sheet2!$A:$A,Sheet2!U:U,"N/A",0,1)))</f>
        <v>1</v>
      </c>
      <c r="M143" s="25">
        <f>IF($F143="unclassified","N/A",(_xlfn.XLOOKUP($E143,Sheet2!$A:$A,Sheet2!V:V,"N/A",0,1)))</f>
        <v>1</v>
      </c>
      <c r="N143" s="25"/>
      <c r="O143" s="25">
        <f>IF($F143="unclassified","N/A",(_xlfn.XLOOKUP($E143,Sheet2!$A:$A,Sheet2!W:W,"N/A",0,1)))</f>
        <v>1</v>
      </c>
      <c r="P143" s="25">
        <f>IF($F143="unclassified","N/A",(_xlfn.XLOOKUP($E143,Sheet2!$A:$A,Sheet2!X:X,"N/A",0,1)))</f>
        <v>1</v>
      </c>
      <c r="Q143" s="25">
        <f>IF($F143="unclassified","N/A",(_xlfn.XLOOKUP($E143,Sheet2!$A:$A,Sheet2!Y:Y,"N/A",0,1)))</f>
        <v>1</v>
      </c>
      <c r="R143" s="25">
        <f>IF($F143="unclassified","N/A",(_xlfn.XLOOKUP($E143,Sheet2!$A:$A,Sheet2!Z:Z,"N/A",0,1)))</f>
        <v>1</v>
      </c>
      <c r="S143" s="25">
        <f>IF($F143="unclassified","N/A",(_xlfn.XLOOKUP($E143,Sheet2!$A:$A,Sheet2!AA:AA,"N/A",0,1)))</f>
        <v>1</v>
      </c>
      <c r="T143" s="25">
        <f>IF($F143="unclassified","N/A",(_xlfn.XLOOKUP($E143,Sheet2!$A:$A,Sheet2!AB:AB,"N/A",0,1)))</f>
        <v>1</v>
      </c>
      <c r="U143" s="11">
        <f>IF($F143="unclassified","N/A",(AVERAGE(Table3253[[#This Row],[PO nr]:[Delivery Date]])))</f>
        <v>1</v>
      </c>
      <c r="V143" s="21"/>
      <c r="W143" s="21"/>
      <c r="X143" s="21"/>
      <c r="Y143" s="21"/>
      <c r="Z143" s="21"/>
    </row>
    <row r="144" spans="4:26" ht="15" customHeight="1" x14ac:dyDescent="0.3">
      <c r="D144" s="30" t="str">
        <f>_xlfn.XLOOKUP(Table3253[[#This Row],[File Name]],'Analyse 2 Detail 02-03'!A:A,'Analyse 2 Detail 02-03'!R:R,"Not Found",0,1)</f>
        <v>King Belgium SA/NV</v>
      </c>
      <c r="E144" s="2" t="s">
        <v>151</v>
      </c>
      <c r="F144" s="64" t="s">
        <v>9</v>
      </c>
      <c r="G144" s="71">
        <v>1</v>
      </c>
      <c r="H144" s="25">
        <f>IF($F144="unclassified","N/A",(_xlfn.XLOOKUP($E144,Sheet2!$A:$A,Sheet2!Q:Q,"N/A",0,1)))</f>
        <v>1</v>
      </c>
      <c r="I144" s="25">
        <f>IF($F144="unclassified","N/A",(_xlfn.XLOOKUP($E144,Sheet2!$A:$A,Sheet2!R:R,"N/A",0,1)))</f>
        <v>1</v>
      </c>
      <c r="J144" s="25">
        <f>IF($F144="unclassified","N/A",(_xlfn.XLOOKUP($E144,Sheet2!$A:$A,Sheet2!S:S,"N/A",0,1)))</f>
        <v>1</v>
      </c>
      <c r="K144" s="25">
        <f>IF($F144="unclassified","N/A",(_xlfn.XLOOKUP($E144,Sheet2!$A:$A,Sheet2!T:T,"N/A",0,1)))</f>
        <v>1</v>
      </c>
      <c r="L144" s="25">
        <f>IF($F144="unclassified","N/A",(_xlfn.XLOOKUP($E144,Sheet2!$A:$A,Sheet2!U:U,"N/A",0,1)))</f>
        <v>1</v>
      </c>
      <c r="M144" s="25">
        <f>IF($F144="unclassified","N/A",(_xlfn.XLOOKUP($E144,Sheet2!$A:$A,Sheet2!V:V,"N/A",0,1)))</f>
        <v>1</v>
      </c>
      <c r="N144" s="25"/>
      <c r="O144" s="25">
        <f>IF($F144="unclassified","N/A",(_xlfn.XLOOKUP($E144,Sheet2!$A:$A,Sheet2!W:W,"N/A",0,1)))</f>
        <v>1</v>
      </c>
      <c r="P144" s="25">
        <f>IF($F144="unclassified","N/A",(_xlfn.XLOOKUP($E144,Sheet2!$A:$A,Sheet2!X:X,"N/A",0,1)))</f>
        <v>1</v>
      </c>
      <c r="Q144" s="25">
        <f>IF($F144="unclassified","N/A",(_xlfn.XLOOKUP($E144,Sheet2!$A:$A,Sheet2!Y:Y,"N/A",0,1)))</f>
        <v>1</v>
      </c>
      <c r="R144" s="25">
        <f>IF($F144="unclassified","N/A",(_xlfn.XLOOKUP($E144,Sheet2!$A:$A,Sheet2!Z:Z,"N/A",0,1)))</f>
        <v>1</v>
      </c>
      <c r="S144" s="25">
        <f>IF($F144="unclassified","N/A",(_xlfn.XLOOKUP($E144,Sheet2!$A:$A,Sheet2!AA:AA,"N/A",0,1)))</f>
        <v>1</v>
      </c>
      <c r="T144" s="25">
        <f>IF($F144="unclassified","N/A",(_xlfn.XLOOKUP($E144,Sheet2!$A:$A,Sheet2!AB:AB,"N/A",0,1)))</f>
        <v>1</v>
      </c>
      <c r="U144" s="11">
        <f>IF($F144="unclassified","N/A",(AVERAGE(Table3253[[#This Row],[PO nr]:[Delivery Date]])))</f>
        <v>1</v>
      </c>
      <c r="V144" s="21" t="s">
        <v>207</v>
      </c>
      <c r="W144" s="21"/>
      <c r="X144" s="21" t="s">
        <v>2324</v>
      </c>
      <c r="Y144" s="21"/>
      <c r="Z144" s="21"/>
    </row>
    <row r="145" spans="4:26" ht="15" customHeight="1" x14ac:dyDescent="0.3">
      <c r="D145" s="30" t="str">
        <f>_xlfn.XLOOKUP(Table3253[[#This Row],[File Name]],'Analyse 2 Detail 02-03'!A:A,'Analyse 2 Detail 02-03'!R:R,"Not Found",0,1)</f>
        <v>King Belgium SA/NV</v>
      </c>
      <c r="E145" s="2" t="s">
        <v>171</v>
      </c>
      <c r="F145" s="64" t="s">
        <v>9</v>
      </c>
      <c r="G145" s="71">
        <v>0</v>
      </c>
      <c r="H145" s="25">
        <f>IF($F145="unclassified","N/A",(_xlfn.XLOOKUP($E145,Sheet2!$A:$A,Sheet2!Q:Q,"N/A",0,1)))</f>
        <v>1</v>
      </c>
      <c r="I145" s="25">
        <f>IF($F145="unclassified","N/A",(_xlfn.XLOOKUP($E145,Sheet2!$A:$A,Sheet2!R:R,"N/A",0,1)))</f>
        <v>1</v>
      </c>
      <c r="J145" s="25">
        <f>IF($F145="unclassified","N/A",(_xlfn.XLOOKUP($E145,Sheet2!$A:$A,Sheet2!S:S,"N/A",0,1)))</f>
        <v>1</v>
      </c>
      <c r="K145" s="25">
        <f>IF($F145="unclassified","N/A",(_xlfn.XLOOKUP($E145,Sheet2!$A:$A,Sheet2!T:T,"N/A",0,1)))</f>
        <v>1</v>
      </c>
      <c r="L145" s="25">
        <f>IF($F145="unclassified","N/A",(_xlfn.XLOOKUP($E145,Sheet2!$A:$A,Sheet2!U:U,"N/A",0,1)))</f>
        <v>1</v>
      </c>
      <c r="M145" s="25">
        <f>IF($F145="unclassified","N/A",(_xlfn.XLOOKUP($E145,Sheet2!$A:$A,Sheet2!V:V,"N/A",0,1)))</f>
        <v>1</v>
      </c>
      <c r="N145" s="25"/>
      <c r="O145" s="25">
        <f>IF($F145="unclassified","N/A",(_xlfn.XLOOKUP($E145,Sheet2!$A:$A,Sheet2!W:W,"N/A",0,1)))</f>
        <v>1</v>
      </c>
      <c r="P145" s="25">
        <f>IF($F145="unclassified","N/A",(_xlfn.XLOOKUP($E145,Sheet2!$A:$A,Sheet2!X:X,"N/A",0,1)))</f>
        <v>1</v>
      </c>
      <c r="Q145" s="25">
        <f>IF($F145="unclassified","N/A",(_xlfn.XLOOKUP($E145,Sheet2!$A:$A,Sheet2!Y:Y,"N/A",0,1)))</f>
        <v>1</v>
      </c>
      <c r="R145" s="25">
        <f>IF($F145="unclassified","N/A",(_xlfn.XLOOKUP($E145,Sheet2!$A:$A,Sheet2!Z:Z,"N/A",0,1)))</f>
        <v>1</v>
      </c>
      <c r="S145" s="25">
        <f>IF($F145="unclassified","N/A",(_xlfn.XLOOKUP($E145,Sheet2!$A:$A,Sheet2!AA:AA,"N/A",0,1)))</f>
        <v>1</v>
      </c>
      <c r="T145" s="25">
        <f>IF($F145="unclassified","N/A",(_xlfn.XLOOKUP($E145,Sheet2!$A:$A,Sheet2!AB:AB,"N/A",0,1)))</f>
        <v>1</v>
      </c>
      <c r="U145" s="11">
        <f>IF($F145="unclassified","N/A",(AVERAGE(Table3253[[#This Row],[PO nr]:[Delivery Date]])))</f>
        <v>1</v>
      </c>
      <c r="V145" s="21"/>
      <c r="W145" s="21"/>
      <c r="X145" s="21"/>
      <c r="Y145" s="21"/>
      <c r="Z145" s="21"/>
    </row>
    <row r="146" spans="4:26" ht="15" customHeight="1" x14ac:dyDescent="0.3">
      <c r="D146" s="30" t="str">
        <f>_xlfn.XLOOKUP(Table3253[[#This Row],[File Name]],'Analyse 2 Detail 02-03'!A:A,'Analyse 2 Detail 02-03'!R:R,"Not Found",0,1)</f>
        <v>Duomed Belgium NV/SA</v>
      </c>
      <c r="E146" s="2" t="s">
        <v>113</v>
      </c>
      <c r="F146" s="64" t="s">
        <v>9</v>
      </c>
      <c r="G146" s="71">
        <v>0</v>
      </c>
      <c r="H146" s="25">
        <f>IF($F146="unclassified","N/A",(_xlfn.XLOOKUP($E146,Sheet2!$A:$A,Sheet2!Q:Q,"N/A",0,1)))</f>
        <v>1</v>
      </c>
      <c r="I146" s="25">
        <f>IF($F146="unclassified","N/A",(_xlfn.XLOOKUP($E146,Sheet2!$A:$A,Sheet2!R:R,"N/A",0,1)))</f>
        <v>1</v>
      </c>
      <c r="J146" s="25">
        <f>IF($F146="unclassified","N/A",(_xlfn.XLOOKUP($E146,Sheet2!$A:$A,Sheet2!S:S,"N/A",0,1)))</f>
        <v>1</v>
      </c>
      <c r="K146" s="25">
        <f>IF($F146="unclassified","N/A",(_xlfn.XLOOKUP($E146,Sheet2!$A:$A,Sheet2!T:T,"N/A",0,1)))</f>
        <v>1</v>
      </c>
      <c r="L146" s="25">
        <f>IF($F146="unclassified","N/A",(_xlfn.XLOOKUP($E146,Sheet2!$A:$A,Sheet2!U:U,"N/A",0,1)))</f>
        <v>1</v>
      </c>
      <c r="M146" s="25">
        <f>IF($F146="unclassified","N/A",(_xlfn.XLOOKUP($E146,Sheet2!$A:$A,Sheet2!V:V,"N/A",0,1)))</f>
        <v>1</v>
      </c>
      <c r="N146" s="25"/>
      <c r="O146" s="25">
        <f>IF($F146="unclassified","N/A",(_xlfn.XLOOKUP($E146,Sheet2!$A:$A,Sheet2!W:W,"N/A",0,1)))</f>
        <v>1</v>
      </c>
      <c r="P146" s="25">
        <f>IF($F146="unclassified","N/A",(_xlfn.XLOOKUP($E146,Sheet2!$A:$A,Sheet2!X:X,"N/A",0,1)))</f>
        <v>1</v>
      </c>
      <c r="Q146" s="25">
        <f>IF($F146="unclassified","N/A",(_xlfn.XLOOKUP($E146,Sheet2!$A:$A,Sheet2!Y:Y,"N/A",0,1)))</f>
        <v>1</v>
      </c>
      <c r="R146" s="25">
        <f>IF($F146="unclassified","N/A",(_xlfn.XLOOKUP($E146,Sheet2!$A:$A,Sheet2!Z:Z,"N/A",0,1)))</f>
        <v>1</v>
      </c>
      <c r="S146" s="25">
        <f>IF($F146="unclassified","N/A",(_xlfn.XLOOKUP($E146,Sheet2!$A:$A,Sheet2!AA:AA,"N/A",0,1)))</f>
        <v>1</v>
      </c>
      <c r="T146" s="25">
        <f>IF($F146="unclassified","N/A",(_xlfn.XLOOKUP($E146,Sheet2!$A:$A,Sheet2!AB:AB,"N/A",0,1)))</f>
        <v>1</v>
      </c>
      <c r="U146" s="11">
        <f>IF($F146="unclassified","N/A",(AVERAGE(Table3253[[#This Row],[PO nr]:[Delivery Date]])))</f>
        <v>1</v>
      </c>
      <c r="V146" s="21"/>
      <c r="W146" s="21"/>
      <c r="X146" s="21"/>
      <c r="Y146" s="21"/>
      <c r="Z146" s="21"/>
    </row>
    <row r="147" spans="4:26" ht="15" customHeight="1" x14ac:dyDescent="0.3">
      <c r="D147" s="30" t="str">
        <f>_xlfn.XLOOKUP(Table3253[[#This Row],[File Name]],'Analyse 2 Detail 02-03'!A:A,'Analyse 2 Detail 02-03'!R:R,"Not Found",0,1)</f>
        <v>King Belgium SA/NV</v>
      </c>
      <c r="E147" s="2" t="s">
        <v>134</v>
      </c>
      <c r="F147" s="64" t="s">
        <v>9</v>
      </c>
      <c r="G147" s="71">
        <v>0</v>
      </c>
      <c r="H147" s="25">
        <f>IF($F147="unclassified","N/A",(_xlfn.XLOOKUP($E147,Sheet2!$A:$A,Sheet2!Q:Q,"N/A",0,1)))</f>
        <v>1</v>
      </c>
      <c r="I147" s="25">
        <f>IF($F147="unclassified","N/A",(_xlfn.XLOOKUP($E147,Sheet2!$A:$A,Sheet2!R:R,"N/A",0,1)))</f>
        <v>1</v>
      </c>
      <c r="J147" s="25">
        <f>IF($F147="unclassified","N/A",(_xlfn.XLOOKUP($E147,Sheet2!$A:$A,Sheet2!S:S,"N/A",0,1)))</f>
        <v>1</v>
      </c>
      <c r="K147" s="25">
        <f>IF($F147="unclassified","N/A",(_xlfn.XLOOKUP($E147,Sheet2!$A:$A,Sheet2!T:T,"N/A",0,1)))</f>
        <v>1</v>
      </c>
      <c r="L147" s="25">
        <f>IF($F147="unclassified","N/A",(_xlfn.XLOOKUP($E147,Sheet2!$A:$A,Sheet2!U:U,"N/A",0,1)))</f>
        <v>1</v>
      </c>
      <c r="M147" s="25">
        <f>IF($F147="unclassified","N/A",(_xlfn.XLOOKUP($E147,Sheet2!$A:$A,Sheet2!V:V,"N/A",0,1)))</f>
        <v>1</v>
      </c>
      <c r="N147" s="25"/>
      <c r="O147" s="25">
        <f>IF($F147="unclassified","N/A",(_xlfn.XLOOKUP($E147,Sheet2!$A:$A,Sheet2!W:W,"N/A",0,1)))</f>
        <v>1</v>
      </c>
      <c r="P147" s="25">
        <f>IF($F147="unclassified","N/A",(_xlfn.XLOOKUP($E147,Sheet2!$A:$A,Sheet2!X:X,"N/A",0,1)))</f>
        <v>1</v>
      </c>
      <c r="Q147" s="25">
        <f>IF($F147="unclassified","N/A",(_xlfn.XLOOKUP($E147,Sheet2!$A:$A,Sheet2!Y:Y,"N/A",0,1)))</f>
        <v>1</v>
      </c>
      <c r="R147" s="25">
        <f>IF($F147="unclassified","N/A",(_xlfn.XLOOKUP($E147,Sheet2!$A:$A,Sheet2!Z:Z,"N/A",0,1)))</f>
        <v>1</v>
      </c>
      <c r="S147" s="25">
        <f>IF($F147="unclassified","N/A",(_xlfn.XLOOKUP($E147,Sheet2!$A:$A,Sheet2!AA:AA,"N/A",0,1)))</f>
        <v>1</v>
      </c>
      <c r="T147" s="25">
        <f>IF($F147="unclassified","N/A",(_xlfn.XLOOKUP($E147,Sheet2!$A:$A,Sheet2!AB:AB,"N/A",0,1)))</f>
        <v>1</v>
      </c>
      <c r="U147" s="11">
        <f>IF($F147="unclassified","N/A",(AVERAGE(Table3253[[#This Row],[PO nr]:[Delivery Date]])))</f>
        <v>1</v>
      </c>
      <c r="V147" s="21"/>
      <c r="W147" s="21"/>
      <c r="X147" s="21"/>
      <c r="Y147" s="21"/>
      <c r="Z147" s="21"/>
    </row>
    <row r="148" spans="4:26" ht="15" customHeight="1" x14ac:dyDescent="0.3">
      <c r="D148" s="30">
        <f>_xlfn.XLOOKUP(Table3253[[#This Row],[File Name]],'Analyse 2 Detail 02-03'!A:A,'Analyse 2 Detail 02-03'!R:R,"Not Found",0,1)</f>
        <v>0</v>
      </c>
      <c r="E148" s="2" t="s">
        <v>125</v>
      </c>
      <c r="F148" s="64" t="s">
        <v>11</v>
      </c>
      <c r="G148" s="71">
        <v>0</v>
      </c>
      <c r="H148" s="25" t="str">
        <f>IF($F148="unclassified","N/A",(_xlfn.XLOOKUP($E148,Sheet2!$A:$A,Sheet2!Q:Q,"N/A",0,1)))</f>
        <v>N/A</v>
      </c>
      <c r="I148" s="25" t="str">
        <f>IF($F148="unclassified","N/A",(_xlfn.XLOOKUP($E148,Sheet2!$A:$A,Sheet2!R:R,"N/A",0,1)))</f>
        <v>N/A</v>
      </c>
      <c r="J148" s="25" t="str">
        <f>IF($F148="unclassified","N/A",(_xlfn.XLOOKUP($E148,Sheet2!$A:$A,Sheet2!S:S,"N/A",0,1)))</f>
        <v>N/A</v>
      </c>
      <c r="K148" s="25" t="str">
        <f>IF($F148="unclassified","N/A",(_xlfn.XLOOKUP($E148,Sheet2!$A:$A,Sheet2!T:T,"N/A",0,1)))</f>
        <v>N/A</v>
      </c>
      <c r="L148" s="25" t="str">
        <f>IF($F148="unclassified","N/A",(_xlfn.XLOOKUP($E148,Sheet2!$A:$A,Sheet2!U:U,"N/A",0,1)))</f>
        <v>N/A</v>
      </c>
      <c r="M148" s="25" t="str">
        <f>IF($F148="unclassified","N/A",(_xlfn.XLOOKUP($E148,Sheet2!$A:$A,Sheet2!V:V,"N/A",0,1)))</f>
        <v>N/A</v>
      </c>
      <c r="N148" s="25"/>
      <c r="O148" s="25" t="str">
        <f>IF($F148="unclassified","N/A",(_xlfn.XLOOKUP($E148,Sheet2!$A:$A,Sheet2!W:W,"N/A",0,1)))</f>
        <v>N/A</v>
      </c>
      <c r="P148" s="25" t="str">
        <f>IF($F148="unclassified","N/A",(_xlfn.XLOOKUP($E148,Sheet2!$A:$A,Sheet2!X:X,"N/A",0,1)))</f>
        <v>N/A</v>
      </c>
      <c r="Q148" s="25" t="str">
        <f>IF($F148="unclassified","N/A",(_xlfn.XLOOKUP($E148,Sheet2!$A:$A,Sheet2!Y:Y,"N/A",0,1)))</f>
        <v>N/A</v>
      </c>
      <c r="R148" s="25" t="str">
        <f>IF($F148="unclassified","N/A",(_xlfn.XLOOKUP($E148,Sheet2!$A:$A,Sheet2!Z:Z,"N/A",0,1)))</f>
        <v>N/A</v>
      </c>
      <c r="S148" s="25" t="str">
        <f>IF($F148="unclassified","N/A",(_xlfn.XLOOKUP($E148,Sheet2!$A:$A,Sheet2!AA:AA,"N/A",0,1)))</f>
        <v>N/A</v>
      </c>
      <c r="T148" s="25" t="str">
        <f>IF($F148="unclassified","N/A",(_xlfn.XLOOKUP($E148,Sheet2!$A:$A,Sheet2!AB:AB,"N/A",0,1)))</f>
        <v>N/A</v>
      </c>
      <c r="U148" s="11" t="str">
        <f>IF($F148="unclassified","N/A",(AVERAGE(Table3253[[#This Row],[PO nr]:[Delivery Date]])))</f>
        <v>N/A</v>
      </c>
      <c r="V148" s="21" t="s">
        <v>1817</v>
      </c>
      <c r="W148" s="21" t="s">
        <v>1814</v>
      </c>
      <c r="X148" s="21"/>
      <c r="Y148" s="21"/>
      <c r="Z148" s="21"/>
    </row>
    <row r="149" spans="4:26" ht="15" customHeight="1" x14ac:dyDescent="0.3">
      <c r="D149" s="30" t="str">
        <f>_xlfn.XLOOKUP(Table3253[[#This Row],[File Name]],'Analyse 2 Detail 02-03'!A:A,'Analyse 2 Detail 02-03'!R:R,"Not Found",0,1)</f>
        <v>Medline International Netherlands B.V.</v>
      </c>
      <c r="E149" s="2" t="s">
        <v>111</v>
      </c>
      <c r="F149" s="64" t="s">
        <v>9</v>
      </c>
      <c r="G149" s="71">
        <v>1</v>
      </c>
      <c r="H149" s="25">
        <f>IF($F149="unclassified","N/A",(_xlfn.XLOOKUP($E149,Sheet2!$A:$A,Sheet2!Q:Q,"N/A",0,1)))</f>
        <v>1</v>
      </c>
      <c r="I149" s="25">
        <f>IF($F149="unclassified","N/A",(_xlfn.XLOOKUP($E149,Sheet2!$A:$A,Sheet2!R:R,"N/A",0,1)))</f>
        <v>1</v>
      </c>
      <c r="J149" s="25">
        <f>IF($F149="unclassified","N/A",(_xlfn.XLOOKUP($E149,Sheet2!$A:$A,Sheet2!S:S,"N/A",0,1)))</f>
        <v>1</v>
      </c>
      <c r="K149" s="25">
        <f>IF($F149="unclassified","N/A",(_xlfn.XLOOKUP($E149,Sheet2!$A:$A,Sheet2!T:T,"N/A",0,1)))</f>
        <v>1</v>
      </c>
      <c r="L149" s="25">
        <f>IF($F149="unclassified","N/A",(_xlfn.XLOOKUP($E149,Sheet2!$A:$A,Sheet2!U:U,"N/A",0,1)))</f>
        <v>1</v>
      </c>
      <c r="M149" s="25">
        <f>IF($F149="unclassified","N/A",(_xlfn.XLOOKUP($E149,Sheet2!$A:$A,Sheet2!V:V,"N/A",0,1)))</f>
        <v>1</v>
      </c>
      <c r="N149" s="25"/>
      <c r="O149" s="25">
        <f>IF($F149="unclassified","N/A",(_xlfn.XLOOKUP($E149,Sheet2!$A:$A,Sheet2!W:W,"N/A",0,1)))</f>
        <v>1</v>
      </c>
      <c r="P149" s="25">
        <f>IF($F149="unclassified","N/A",(_xlfn.XLOOKUP($E149,Sheet2!$A:$A,Sheet2!X:X,"N/A",0,1)))</f>
        <v>1</v>
      </c>
      <c r="Q149" s="25">
        <f>IF($F149="unclassified","N/A",(_xlfn.XLOOKUP($E149,Sheet2!$A:$A,Sheet2!Y:Y,"N/A",0,1)))</f>
        <v>1</v>
      </c>
      <c r="R149" s="25">
        <f>IF($F149="unclassified","N/A",(_xlfn.XLOOKUP($E149,Sheet2!$A:$A,Sheet2!Z:Z,"N/A",0,1)))</f>
        <v>1</v>
      </c>
      <c r="S149" s="25">
        <f>IF($F149="unclassified","N/A",(_xlfn.XLOOKUP($E149,Sheet2!$A:$A,Sheet2!AA:AA,"N/A",0,1)))</f>
        <v>1</v>
      </c>
      <c r="T149" s="25">
        <f>IF($F149="unclassified","N/A",(_xlfn.XLOOKUP($E149,Sheet2!$A:$A,Sheet2!AB:AB,"N/A",0,1)))</f>
        <v>1</v>
      </c>
      <c r="U149" s="11">
        <f>IF($F149="unclassified","N/A",(AVERAGE(Table3253[[#This Row],[PO nr]:[Delivery Date]])))</f>
        <v>1</v>
      </c>
      <c r="V149" s="21"/>
      <c r="W149" s="21"/>
      <c r="X149" s="21"/>
      <c r="Y149" s="21"/>
      <c r="Z149" s="21" t="s">
        <v>209</v>
      </c>
    </row>
    <row r="150" spans="4:26" ht="15" customHeight="1" x14ac:dyDescent="0.3">
      <c r="D150" s="30" t="str">
        <f>_xlfn.XLOOKUP(Table3253[[#This Row],[File Name]],'Analyse 2 Detail 02-03'!A:A,'Analyse 2 Detail 02-03'!R:R,"Not Found",0,1)</f>
        <v>N.V. PAUL HARTMANN S.A.</v>
      </c>
      <c r="E150" s="2" t="s">
        <v>133</v>
      </c>
      <c r="F150" s="64" t="s">
        <v>9</v>
      </c>
      <c r="G150" s="71">
        <v>0</v>
      </c>
      <c r="H150" s="25">
        <f>IF($F150="unclassified","N/A",(_xlfn.XLOOKUP($E150,Sheet2!$A:$A,Sheet2!Q:Q,"N/A",0,1)))</f>
        <v>1</v>
      </c>
      <c r="I150" s="25">
        <f>IF($F150="unclassified","N/A",(_xlfn.XLOOKUP($E150,Sheet2!$A:$A,Sheet2!R:R,"N/A",0,1)))</f>
        <v>1</v>
      </c>
      <c r="J150" s="25">
        <f>IF($F150="unclassified","N/A",(_xlfn.XLOOKUP($E150,Sheet2!$A:$A,Sheet2!S:S,"N/A",0,1)))</f>
        <v>1</v>
      </c>
      <c r="K150" s="25">
        <f>IF($F150="unclassified","N/A",(_xlfn.XLOOKUP($E150,Sheet2!$A:$A,Sheet2!T:T,"N/A",0,1)))</f>
        <v>1</v>
      </c>
      <c r="L150" s="25">
        <f>IF($F150="unclassified","N/A",(_xlfn.XLOOKUP($E150,Sheet2!$A:$A,Sheet2!U:U,"N/A",0,1)))</f>
        <v>1</v>
      </c>
      <c r="M150" s="25">
        <f>IF($F150="unclassified","N/A",(_xlfn.XLOOKUP($E150,Sheet2!$A:$A,Sheet2!V:V,"N/A",0,1)))</f>
        <v>1</v>
      </c>
      <c r="N150" s="25"/>
      <c r="O150" s="25">
        <f>IF($F150="unclassified","N/A",(_xlfn.XLOOKUP($E150,Sheet2!$A:$A,Sheet2!W:W,"N/A",0,1)))</f>
        <v>1</v>
      </c>
      <c r="P150" s="25">
        <f>IF($F150="unclassified","N/A",(_xlfn.XLOOKUP($E150,Sheet2!$A:$A,Sheet2!X:X,"N/A",0,1)))</f>
        <v>1</v>
      </c>
      <c r="Q150" s="25">
        <f>IF($F150="unclassified","N/A",(_xlfn.XLOOKUP($E150,Sheet2!$A:$A,Sheet2!Y:Y,"N/A",0,1)))</f>
        <v>1</v>
      </c>
      <c r="R150" s="25">
        <f>IF($F150="unclassified","N/A",(_xlfn.XLOOKUP($E150,Sheet2!$A:$A,Sheet2!Z:Z,"N/A",0,1)))</f>
        <v>1</v>
      </c>
      <c r="S150" s="25">
        <f>IF($F150="unclassified","N/A",(_xlfn.XLOOKUP($E150,Sheet2!$A:$A,Sheet2!AA:AA,"N/A",0,1)))</f>
        <v>1</v>
      </c>
      <c r="T150" s="25">
        <f>IF($F150="unclassified","N/A",(_xlfn.XLOOKUP($E150,Sheet2!$A:$A,Sheet2!AB:AB,"N/A",0,1)))</f>
        <v>1</v>
      </c>
      <c r="U150" s="11">
        <f>IF($F150="unclassified","N/A",(AVERAGE(Table3253[[#This Row],[PO nr]:[Delivery Date]])))</f>
        <v>1</v>
      </c>
      <c r="V150" s="21"/>
      <c r="W150" s="21"/>
      <c r="X150" s="21"/>
      <c r="Y150" s="21"/>
      <c r="Z150" s="21"/>
    </row>
    <row r="151" spans="4:26" ht="15" customHeight="1" x14ac:dyDescent="0.3">
      <c r="D151" s="30" t="str">
        <f>_xlfn.XLOOKUP(Table3253[[#This Row],[File Name]],'Analyse 2 Detail 02-03'!A:A,'Analyse 2 Detail 02-03'!R:R,"Not Found",0,1)</f>
        <v>N.V. PAUL HARTMANN S.A.</v>
      </c>
      <c r="E151" s="2" t="s">
        <v>133</v>
      </c>
      <c r="F151" s="64" t="s">
        <v>9</v>
      </c>
      <c r="G151" s="71">
        <v>0</v>
      </c>
      <c r="H151" s="25">
        <f>IF($F151="unclassified","N/A",(_xlfn.XLOOKUP($E151,Sheet2!$A:$A,Sheet2!Q:Q,"N/A",0,1)))</f>
        <v>1</v>
      </c>
      <c r="I151" s="25">
        <f>IF($F151="unclassified","N/A",(_xlfn.XLOOKUP($E151,Sheet2!$A:$A,Sheet2!R:R,"N/A",0,1)))</f>
        <v>1</v>
      </c>
      <c r="J151" s="25">
        <f>IF($F151="unclassified","N/A",(_xlfn.XLOOKUP($E151,Sheet2!$A:$A,Sheet2!S:S,"N/A",0,1)))</f>
        <v>1</v>
      </c>
      <c r="K151" s="25">
        <f>IF($F151="unclassified","N/A",(_xlfn.XLOOKUP($E151,Sheet2!$A:$A,Sheet2!T:T,"N/A",0,1)))</f>
        <v>1</v>
      </c>
      <c r="L151" s="25">
        <f>IF($F151="unclassified","N/A",(_xlfn.XLOOKUP($E151,Sheet2!$A:$A,Sheet2!U:U,"N/A",0,1)))</f>
        <v>1</v>
      </c>
      <c r="M151" s="25">
        <f>IF($F151="unclassified","N/A",(_xlfn.XLOOKUP($E151,Sheet2!$A:$A,Sheet2!V:V,"N/A",0,1)))</f>
        <v>1</v>
      </c>
      <c r="N151" s="25"/>
      <c r="O151" s="25">
        <f>IF($F151="unclassified","N/A",(_xlfn.XLOOKUP($E151,Sheet2!$A:$A,Sheet2!W:W,"N/A",0,1)))</f>
        <v>1</v>
      </c>
      <c r="P151" s="25">
        <f>IF($F151="unclassified","N/A",(_xlfn.XLOOKUP($E151,Sheet2!$A:$A,Sheet2!X:X,"N/A",0,1)))</f>
        <v>1</v>
      </c>
      <c r="Q151" s="25">
        <f>IF($F151="unclassified","N/A",(_xlfn.XLOOKUP($E151,Sheet2!$A:$A,Sheet2!Y:Y,"N/A",0,1)))</f>
        <v>1</v>
      </c>
      <c r="R151" s="25">
        <f>IF($F151="unclassified","N/A",(_xlfn.XLOOKUP($E151,Sheet2!$A:$A,Sheet2!Z:Z,"N/A",0,1)))</f>
        <v>1</v>
      </c>
      <c r="S151" s="25">
        <f>IF($F151="unclassified","N/A",(_xlfn.XLOOKUP($E151,Sheet2!$A:$A,Sheet2!AA:AA,"N/A",0,1)))</f>
        <v>1</v>
      </c>
      <c r="T151" s="25">
        <f>IF($F151="unclassified","N/A",(_xlfn.XLOOKUP($E151,Sheet2!$A:$A,Sheet2!AB:AB,"N/A",0,1)))</f>
        <v>1</v>
      </c>
      <c r="U151" s="11">
        <f>IF($F151="unclassified","N/A",(AVERAGE(Table3253[[#This Row],[PO nr]:[Delivery Date]])))</f>
        <v>1</v>
      </c>
      <c r="V151" s="21"/>
      <c r="W151" s="21"/>
      <c r="X151" s="21"/>
      <c r="Y151" s="21"/>
      <c r="Z151" s="21"/>
    </row>
    <row r="152" spans="4:26" ht="15" customHeight="1" x14ac:dyDescent="0.3">
      <c r="D152" s="30" t="str">
        <f>_xlfn.XLOOKUP(Table3253[[#This Row],[File Name]],'Analyse 2 Detail 02-03'!A:A,'Analyse 2 Detail 02-03'!R:R,"Not Found",0,1)</f>
        <v>N.V. PAUL HARTMANN S.A.</v>
      </c>
      <c r="E152" s="2" t="s">
        <v>133</v>
      </c>
      <c r="F152" s="64" t="s">
        <v>9</v>
      </c>
      <c r="G152" s="71">
        <v>0</v>
      </c>
      <c r="H152" s="25">
        <f>IF($F152="unclassified","N/A",(_xlfn.XLOOKUP($E152,Sheet2!$A:$A,Sheet2!Q:Q,"N/A",0,1)))</f>
        <v>1</v>
      </c>
      <c r="I152" s="25">
        <f>IF($F152="unclassified","N/A",(_xlfn.XLOOKUP($E152,Sheet2!$A:$A,Sheet2!R:R,"N/A",0,1)))</f>
        <v>1</v>
      </c>
      <c r="J152" s="25">
        <f>IF($F152="unclassified","N/A",(_xlfn.XLOOKUP($E152,Sheet2!$A:$A,Sheet2!S:S,"N/A",0,1)))</f>
        <v>1</v>
      </c>
      <c r="K152" s="25">
        <f>IF($F152="unclassified","N/A",(_xlfn.XLOOKUP($E152,Sheet2!$A:$A,Sheet2!T:T,"N/A",0,1)))</f>
        <v>1</v>
      </c>
      <c r="L152" s="25">
        <f>IF($F152="unclassified","N/A",(_xlfn.XLOOKUP($E152,Sheet2!$A:$A,Sheet2!U:U,"N/A",0,1)))</f>
        <v>1</v>
      </c>
      <c r="M152" s="25">
        <f>IF($F152="unclassified","N/A",(_xlfn.XLOOKUP($E152,Sheet2!$A:$A,Sheet2!V:V,"N/A",0,1)))</f>
        <v>1</v>
      </c>
      <c r="N152" s="25"/>
      <c r="O152" s="25">
        <f>IF($F152="unclassified","N/A",(_xlfn.XLOOKUP($E152,Sheet2!$A:$A,Sheet2!W:W,"N/A",0,1)))</f>
        <v>1</v>
      </c>
      <c r="P152" s="25">
        <f>IF($F152="unclassified","N/A",(_xlfn.XLOOKUP($E152,Sheet2!$A:$A,Sheet2!X:X,"N/A",0,1)))</f>
        <v>1</v>
      </c>
      <c r="Q152" s="25">
        <f>IF($F152="unclassified","N/A",(_xlfn.XLOOKUP($E152,Sheet2!$A:$A,Sheet2!Y:Y,"N/A",0,1)))</f>
        <v>1</v>
      </c>
      <c r="R152" s="25">
        <f>IF($F152="unclassified","N/A",(_xlfn.XLOOKUP($E152,Sheet2!$A:$A,Sheet2!Z:Z,"N/A",0,1)))</f>
        <v>1</v>
      </c>
      <c r="S152" s="25">
        <f>IF($F152="unclassified","N/A",(_xlfn.XLOOKUP($E152,Sheet2!$A:$A,Sheet2!AA:AA,"N/A",0,1)))</f>
        <v>1</v>
      </c>
      <c r="T152" s="25">
        <f>IF($F152="unclassified","N/A",(_xlfn.XLOOKUP($E152,Sheet2!$A:$A,Sheet2!AB:AB,"N/A",0,1)))</f>
        <v>1</v>
      </c>
      <c r="U152" s="11">
        <f>IF($F152="unclassified","N/A",(AVERAGE(Table3253[[#This Row],[PO nr]:[Delivery Date]])))</f>
        <v>1</v>
      </c>
      <c r="V152" s="21"/>
      <c r="W152" s="21"/>
      <c r="X152" s="21"/>
      <c r="Y152" s="21"/>
      <c r="Z152" s="21"/>
    </row>
    <row r="153" spans="4:26" ht="15" customHeight="1" x14ac:dyDescent="0.3">
      <c r="D153" s="30" t="str">
        <f>_xlfn.XLOOKUP(Table3253[[#This Row],[File Name]],'Analyse 2 Detail 02-03'!A:A,'Analyse 2 Detail 02-03'!R:R,"Not Found",0,1)</f>
        <v>N.V. PAUL HARTMANN S.A.</v>
      </c>
      <c r="E153" s="2" t="s">
        <v>133</v>
      </c>
      <c r="F153" s="64" t="s">
        <v>9</v>
      </c>
      <c r="G153" s="71">
        <v>0</v>
      </c>
      <c r="H153" s="25">
        <f>IF($F153="unclassified","N/A",(_xlfn.XLOOKUP($E153,Sheet2!$A:$A,Sheet2!Q:Q,"N/A",0,1)))</f>
        <v>1</v>
      </c>
      <c r="I153" s="25">
        <f>IF($F153="unclassified","N/A",(_xlfn.XLOOKUP($E153,Sheet2!$A:$A,Sheet2!R:R,"N/A",0,1)))</f>
        <v>1</v>
      </c>
      <c r="J153" s="25">
        <f>IF($F153="unclassified","N/A",(_xlfn.XLOOKUP($E153,Sheet2!$A:$A,Sheet2!S:S,"N/A",0,1)))</f>
        <v>1</v>
      </c>
      <c r="K153" s="25">
        <f>IF($F153="unclassified","N/A",(_xlfn.XLOOKUP($E153,Sheet2!$A:$A,Sheet2!T:T,"N/A",0,1)))</f>
        <v>1</v>
      </c>
      <c r="L153" s="25">
        <f>IF($F153="unclassified","N/A",(_xlfn.XLOOKUP($E153,Sheet2!$A:$A,Sheet2!U:U,"N/A",0,1)))</f>
        <v>1</v>
      </c>
      <c r="M153" s="25">
        <f>IF($F153="unclassified","N/A",(_xlfn.XLOOKUP($E153,Sheet2!$A:$A,Sheet2!V:V,"N/A",0,1)))</f>
        <v>1</v>
      </c>
      <c r="N153" s="25"/>
      <c r="O153" s="25">
        <f>IF($F153="unclassified","N/A",(_xlfn.XLOOKUP($E153,Sheet2!$A:$A,Sheet2!W:W,"N/A",0,1)))</f>
        <v>1</v>
      </c>
      <c r="P153" s="25">
        <f>IF($F153="unclassified","N/A",(_xlfn.XLOOKUP($E153,Sheet2!$A:$A,Sheet2!X:X,"N/A",0,1)))</f>
        <v>1</v>
      </c>
      <c r="Q153" s="25">
        <f>IF($F153="unclassified","N/A",(_xlfn.XLOOKUP($E153,Sheet2!$A:$A,Sheet2!Y:Y,"N/A",0,1)))</f>
        <v>1</v>
      </c>
      <c r="R153" s="25">
        <f>IF($F153="unclassified","N/A",(_xlfn.XLOOKUP($E153,Sheet2!$A:$A,Sheet2!Z:Z,"N/A",0,1)))</f>
        <v>1</v>
      </c>
      <c r="S153" s="25">
        <f>IF($F153="unclassified","N/A",(_xlfn.XLOOKUP($E153,Sheet2!$A:$A,Sheet2!AA:AA,"N/A",0,1)))</f>
        <v>1</v>
      </c>
      <c r="T153" s="25">
        <f>IF($F153="unclassified","N/A",(_xlfn.XLOOKUP($E153,Sheet2!$A:$A,Sheet2!AB:AB,"N/A",0,1)))</f>
        <v>1</v>
      </c>
      <c r="U153" s="11">
        <f>IF($F153="unclassified","N/A",(AVERAGE(Table3253[[#This Row],[PO nr]:[Delivery Date]])))</f>
        <v>1</v>
      </c>
      <c r="V153" s="21"/>
      <c r="W153" s="21"/>
      <c r="X153" s="21"/>
      <c r="Y153" s="21"/>
      <c r="Z153" s="21"/>
    </row>
    <row r="154" spans="4:26" ht="15" customHeight="1" x14ac:dyDescent="0.3">
      <c r="D154" s="30" t="str">
        <f>_xlfn.XLOOKUP(Table3253[[#This Row],[File Name]],'Analyse 2 Detail 02-03'!A:A,'Analyse 2 Detail 02-03'!R:R,"Not Found",0,1)</f>
        <v>Paul Hartmann B.V.</v>
      </c>
      <c r="E154" s="2" t="s">
        <v>124</v>
      </c>
      <c r="F154" s="64" t="s">
        <v>9</v>
      </c>
      <c r="G154" s="71">
        <v>0</v>
      </c>
      <c r="H154" s="25">
        <f>IF($F154="unclassified","N/A",(_xlfn.XLOOKUP($E154,Sheet2!$A:$A,Sheet2!Q:Q,"N/A",0,1)))</f>
        <v>1</v>
      </c>
      <c r="I154" s="25">
        <f>IF($F154="unclassified","N/A",(_xlfn.XLOOKUP($E154,Sheet2!$A:$A,Sheet2!R:R,"N/A",0,1)))</f>
        <v>1</v>
      </c>
      <c r="J154" s="25">
        <f>IF($F154="unclassified","N/A",(_xlfn.XLOOKUP($E154,Sheet2!$A:$A,Sheet2!S:S,"N/A",0,1)))</f>
        <v>1</v>
      </c>
      <c r="K154" s="25">
        <f>IF($F154="unclassified","N/A",(_xlfn.XLOOKUP($E154,Sheet2!$A:$A,Sheet2!T:T,"N/A",0,1)))</f>
        <v>1</v>
      </c>
      <c r="L154" s="25">
        <f>IF($F154="unclassified","N/A",(_xlfn.XLOOKUP($E154,Sheet2!$A:$A,Sheet2!U:U,"N/A",0,1)))</f>
        <v>1</v>
      </c>
      <c r="M154" s="25">
        <f>IF($F154="unclassified","N/A",(_xlfn.XLOOKUP($E154,Sheet2!$A:$A,Sheet2!V:V,"N/A",0,1)))</f>
        <v>1</v>
      </c>
      <c r="N154" s="25"/>
      <c r="O154" s="25">
        <f>IF($F154="unclassified","N/A",(_xlfn.XLOOKUP($E154,Sheet2!$A:$A,Sheet2!W:W,"N/A",0,1)))</f>
        <v>1</v>
      </c>
      <c r="P154" s="25">
        <f>IF($F154="unclassified","N/A",(_xlfn.XLOOKUP($E154,Sheet2!$A:$A,Sheet2!X:X,"N/A",0,1)))</f>
        <v>1</v>
      </c>
      <c r="Q154" s="25">
        <f>IF($F154="unclassified","N/A",(_xlfn.XLOOKUP($E154,Sheet2!$A:$A,Sheet2!Y:Y,"N/A",0,1)))</f>
        <v>1</v>
      </c>
      <c r="R154" s="25">
        <f>IF($F154="unclassified","N/A",(_xlfn.XLOOKUP($E154,Sheet2!$A:$A,Sheet2!Z:Z,"N/A",0,1)))</f>
        <v>1</v>
      </c>
      <c r="S154" s="25">
        <f>IF($F154="unclassified","N/A",(_xlfn.XLOOKUP($E154,Sheet2!$A:$A,Sheet2!AA:AA,"N/A",0,1)))</f>
        <v>1</v>
      </c>
      <c r="T154" s="25">
        <f>IF($F154="unclassified","N/A",(_xlfn.XLOOKUP($E154,Sheet2!$A:$A,Sheet2!AB:AB,"N/A",0,1)))</f>
        <v>1</v>
      </c>
      <c r="U154" s="11">
        <f>IF($F154="unclassified","N/A",(AVERAGE(Table3253[[#This Row],[PO nr]:[Delivery Date]])))</f>
        <v>1</v>
      </c>
      <c r="V154" s="21"/>
      <c r="W154" s="21"/>
      <c r="X154" s="21"/>
      <c r="Y154" s="21"/>
      <c r="Z154" s="21"/>
    </row>
    <row r="155" spans="4:26" ht="15" customHeight="1" x14ac:dyDescent="0.3">
      <c r="D155" s="30" t="str">
        <f>_xlfn.XLOOKUP(Table3253[[#This Row],[File Name]],'Analyse 2 Detail 02-03'!A:A,'Analyse 2 Detail 02-03'!R:R,"Not Found",0,1)</f>
        <v>Paul Hartmann B.V.</v>
      </c>
      <c r="E155" s="2" t="s">
        <v>148</v>
      </c>
      <c r="F155" s="64" t="s">
        <v>9</v>
      </c>
      <c r="G155" s="71">
        <v>0</v>
      </c>
      <c r="H155" s="25">
        <f>IF($F155="unclassified","N/A",(_xlfn.XLOOKUP($E155,Sheet2!$A:$A,Sheet2!Q:Q,"N/A",0,1)))</f>
        <v>1</v>
      </c>
      <c r="I155" s="25">
        <f>IF($F155="unclassified","N/A",(_xlfn.XLOOKUP($E155,Sheet2!$A:$A,Sheet2!R:R,"N/A",0,1)))</f>
        <v>1</v>
      </c>
      <c r="J155" s="25">
        <f>IF($F155="unclassified","N/A",(_xlfn.XLOOKUP($E155,Sheet2!$A:$A,Sheet2!S:S,"N/A",0,1)))</f>
        <v>1</v>
      </c>
      <c r="K155" s="25">
        <f>IF($F155="unclassified","N/A",(_xlfn.XLOOKUP($E155,Sheet2!$A:$A,Sheet2!T:T,"N/A",0,1)))</f>
        <v>1</v>
      </c>
      <c r="L155" s="25">
        <f>IF($F155="unclassified","N/A",(_xlfn.XLOOKUP($E155,Sheet2!$A:$A,Sheet2!U:U,"N/A",0,1)))</f>
        <v>1</v>
      </c>
      <c r="M155" s="25">
        <f>IF($F155="unclassified","N/A",(_xlfn.XLOOKUP($E155,Sheet2!$A:$A,Sheet2!V:V,"N/A",0,1)))</f>
        <v>1</v>
      </c>
      <c r="N155" s="25"/>
      <c r="O155" s="25">
        <f>IF($F155="unclassified","N/A",(_xlfn.XLOOKUP($E155,Sheet2!$A:$A,Sheet2!W:W,"N/A",0,1)))</f>
        <v>1</v>
      </c>
      <c r="P155" s="25">
        <f>IF($F155="unclassified","N/A",(_xlfn.XLOOKUP($E155,Sheet2!$A:$A,Sheet2!X:X,"N/A",0,1)))</f>
        <v>1</v>
      </c>
      <c r="Q155" s="25">
        <f>IF($F155="unclassified","N/A",(_xlfn.XLOOKUP($E155,Sheet2!$A:$A,Sheet2!Y:Y,"N/A",0,1)))</f>
        <v>1</v>
      </c>
      <c r="R155" s="25">
        <f>IF($F155="unclassified","N/A",(_xlfn.XLOOKUP($E155,Sheet2!$A:$A,Sheet2!Z:Z,"N/A",0,1)))</f>
        <v>1</v>
      </c>
      <c r="S155" s="25">
        <f>IF($F155="unclassified","N/A",(_xlfn.XLOOKUP($E155,Sheet2!$A:$A,Sheet2!AA:AA,"N/A",0,1)))</f>
        <v>1</v>
      </c>
      <c r="T155" s="25">
        <f>IF($F155="unclassified","N/A",(_xlfn.XLOOKUP($E155,Sheet2!$A:$A,Sheet2!AB:AB,"N/A",0,1)))</f>
        <v>1</v>
      </c>
      <c r="U155" s="11">
        <f>IF($F155="unclassified","N/A",(AVERAGE(Table3253[[#This Row],[PO nr]:[Delivery Date]])))</f>
        <v>1</v>
      </c>
      <c r="V155" s="21"/>
      <c r="W155" s="21"/>
      <c r="X155" s="21"/>
      <c r="Y155" s="21"/>
      <c r="Z155" s="21"/>
    </row>
    <row r="156" spans="4:26" ht="15" customHeight="1" x14ac:dyDescent="0.3">
      <c r="D156" s="30" t="str">
        <f>_xlfn.XLOOKUP(Table3253[[#This Row],[File Name]],'Analyse 2 Detail 02-03'!A:A,'Analyse 2 Detail 02-03'!R:R,"Not Found",0,1)</f>
        <v>Paul Hartmann B.V.</v>
      </c>
      <c r="E156" s="2" t="s">
        <v>176</v>
      </c>
      <c r="F156" s="64" t="s">
        <v>9</v>
      </c>
      <c r="G156" s="71">
        <v>0</v>
      </c>
      <c r="H156" s="25">
        <f>IF($F156="unclassified","N/A",(_xlfn.XLOOKUP($E156,Sheet2!$A:$A,Sheet2!Q:Q,"N/A",0,1)))</f>
        <v>1</v>
      </c>
      <c r="I156" s="25">
        <f>IF($F156="unclassified","N/A",(_xlfn.XLOOKUP($E156,Sheet2!$A:$A,Sheet2!R:R,"N/A",0,1)))</f>
        <v>1</v>
      </c>
      <c r="J156" s="25">
        <f>IF($F156="unclassified","N/A",(_xlfn.XLOOKUP($E156,Sheet2!$A:$A,Sheet2!S:S,"N/A",0,1)))</f>
        <v>1</v>
      </c>
      <c r="K156" s="25">
        <f>IF($F156="unclassified","N/A",(_xlfn.XLOOKUP($E156,Sheet2!$A:$A,Sheet2!T:T,"N/A",0,1)))</f>
        <v>1</v>
      </c>
      <c r="L156" s="25">
        <f>IF($F156="unclassified","N/A",(_xlfn.XLOOKUP($E156,Sheet2!$A:$A,Sheet2!U:U,"N/A",0,1)))</f>
        <v>1</v>
      </c>
      <c r="M156" s="25">
        <f>IF($F156="unclassified","N/A",(_xlfn.XLOOKUP($E156,Sheet2!$A:$A,Sheet2!V:V,"N/A",0,1)))</f>
        <v>1</v>
      </c>
      <c r="N156" s="25"/>
      <c r="O156" s="25">
        <f>IF($F156="unclassified","N/A",(_xlfn.XLOOKUP($E156,Sheet2!$A:$A,Sheet2!W:W,"N/A",0,1)))</f>
        <v>1</v>
      </c>
      <c r="P156" s="25">
        <f>IF($F156="unclassified","N/A",(_xlfn.XLOOKUP($E156,Sheet2!$A:$A,Sheet2!X:X,"N/A",0,1)))</f>
        <v>1</v>
      </c>
      <c r="Q156" s="25">
        <f>IF($F156="unclassified","N/A",(_xlfn.XLOOKUP($E156,Sheet2!$A:$A,Sheet2!Y:Y,"N/A",0,1)))</f>
        <v>1</v>
      </c>
      <c r="R156" s="25">
        <f>IF($F156="unclassified","N/A",(_xlfn.XLOOKUP($E156,Sheet2!$A:$A,Sheet2!Z:Z,"N/A",0,1)))</f>
        <v>1</v>
      </c>
      <c r="S156" s="25">
        <f>IF($F156="unclassified","N/A",(_xlfn.XLOOKUP($E156,Sheet2!$A:$A,Sheet2!AA:AA,"N/A",0,1)))</f>
        <v>1</v>
      </c>
      <c r="T156" s="25">
        <f>IF($F156="unclassified","N/A",(_xlfn.XLOOKUP($E156,Sheet2!$A:$A,Sheet2!AB:AB,"N/A",0,1)))</f>
        <v>1</v>
      </c>
      <c r="U156" s="11">
        <f>IF($F156="unclassified","N/A",(AVERAGE(Table3253[[#This Row],[PO nr]:[Delivery Date]])))</f>
        <v>1</v>
      </c>
      <c r="V156" s="21"/>
      <c r="W156" s="21"/>
      <c r="X156" s="21"/>
      <c r="Y156" s="21"/>
      <c r="Z156" s="21"/>
    </row>
    <row r="157" spans="4:26" ht="15" customHeight="1" x14ac:dyDescent="0.3">
      <c r="D157" s="30">
        <f>_xlfn.XLOOKUP(Table3253[[#This Row],[File Name]],'Analyse 2 Detail 02-03'!A:A,'Analyse 2 Detail 02-03'!R:R,"Not Found",0,1)</f>
        <v>0</v>
      </c>
      <c r="E157" s="2" t="s">
        <v>116</v>
      </c>
      <c r="F157" s="64" t="s">
        <v>11</v>
      </c>
      <c r="G157" s="71">
        <v>0</v>
      </c>
      <c r="H157" s="25" t="str">
        <f>IF($F157="unclassified","N/A",(_xlfn.XLOOKUP($E157,Sheet2!$A:$A,Sheet2!Q:Q,"N/A",0,1)))</f>
        <v>N/A</v>
      </c>
      <c r="I157" s="25" t="str">
        <f>IF($F157="unclassified","N/A",(_xlfn.XLOOKUP($E157,Sheet2!$A:$A,Sheet2!R:R,"N/A",0,1)))</f>
        <v>N/A</v>
      </c>
      <c r="J157" s="25" t="str">
        <f>IF($F157="unclassified","N/A",(_xlfn.XLOOKUP($E157,Sheet2!$A:$A,Sheet2!S:S,"N/A",0,1)))</f>
        <v>N/A</v>
      </c>
      <c r="K157" s="25" t="str">
        <f>IF($F157="unclassified","N/A",(_xlfn.XLOOKUP($E157,Sheet2!$A:$A,Sheet2!T:T,"N/A",0,1)))</f>
        <v>N/A</v>
      </c>
      <c r="L157" s="25" t="str">
        <f>IF($F157="unclassified","N/A",(_xlfn.XLOOKUP($E157,Sheet2!$A:$A,Sheet2!U:U,"N/A",0,1)))</f>
        <v>N/A</v>
      </c>
      <c r="M157" s="25" t="str">
        <f>IF($F157="unclassified","N/A",(_xlfn.XLOOKUP($E157,Sheet2!$A:$A,Sheet2!V:V,"N/A",0,1)))</f>
        <v>N/A</v>
      </c>
      <c r="N157" s="25"/>
      <c r="O157" s="25" t="str">
        <f>IF($F157="unclassified","N/A",(_xlfn.XLOOKUP($E157,Sheet2!$A:$A,Sheet2!W:W,"N/A",0,1)))</f>
        <v>N/A</v>
      </c>
      <c r="P157" s="25" t="str">
        <f>IF($F157="unclassified","N/A",(_xlfn.XLOOKUP($E157,Sheet2!$A:$A,Sheet2!X:X,"N/A",0,1)))</f>
        <v>N/A</v>
      </c>
      <c r="Q157" s="25" t="str">
        <f>IF($F157="unclassified","N/A",(_xlfn.XLOOKUP($E157,Sheet2!$A:$A,Sheet2!Y:Y,"N/A",0,1)))</f>
        <v>N/A</v>
      </c>
      <c r="R157" s="25" t="str">
        <f>IF($F157="unclassified","N/A",(_xlfn.XLOOKUP($E157,Sheet2!$A:$A,Sheet2!Z:Z,"N/A",0,1)))</f>
        <v>N/A</v>
      </c>
      <c r="S157" s="25" t="str">
        <f>IF($F157="unclassified","N/A",(_xlfn.XLOOKUP($E157,Sheet2!$A:$A,Sheet2!AA:AA,"N/A",0,1)))</f>
        <v>N/A</v>
      </c>
      <c r="T157" s="25" t="str">
        <f>IF($F157="unclassified","N/A",(_xlfn.XLOOKUP($E157,Sheet2!$A:$A,Sheet2!AB:AB,"N/A",0,1)))</f>
        <v>N/A</v>
      </c>
      <c r="U157" s="11" t="str">
        <f>IF($F157="unclassified","N/A",(AVERAGE(Table3253[[#This Row],[PO nr]:[Delivery Date]])))</f>
        <v>N/A</v>
      </c>
      <c r="V157" s="21" t="s">
        <v>1818</v>
      </c>
      <c r="W157" s="21" t="s">
        <v>1814</v>
      </c>
      <c r="X157" s="21"/>
      <c r="Y157" s="21"/>
      <c r="Z157" s="21"/>
    </row>
    <row r="158" spans="4:26" ht="15" customHeight="1" x14ac:dyDescent="0.3">
      <c r="D158" s="30">
        <f>_xlfn.XLOOKUP(Table3253[[#This Row],[File Name]],'Analyse 2 Detail 02-03'!A:A,'Analyse 2 Detail 02-03'!R:R,"Not Found",0,1)</f>
        <v>0</v>
      </c>
      <c r="E158" s="2" t="s">
        <v>116</v>
      </c>
      <c r="F158" s="64" t="s">
        <v>11</v>
      </c>
      <c r="G158" s="71">
        <v>0</v>
      </c>
      <c r="H158" s="25" t="str">
        <f>IF($F158="unclassified","N/A",(_xlfn.XLOOKUP($E158,Sheet2!$A:$A,Sheet2!Q:Q,"N/A",0,1)))</f>
        <v>N/A</v>
      </c>
      <c r="I158" s="25" t="str">
        <f>IF($F158="unclassified","N/A",(_xlfn.XLOOKUP($E158,Sheet2!$A:$A,Sheet2!R:R,"N/A",0,1)))</f>
        <v>N/A</v>
      </c>
      <c r="J158" s="25" t="str">
        <f>IF($F158="unclassified","N/A",(_xlfn.XLOOKUP($E158,Sheet2!$A:$A,Sheet2!S:S,"N/A",0,1)))</f>
        <v>N/A</v>
      </c>
      <c r="K158" s="25" t="str">
        <f>IF($F158="unclassified","N/A",(_xlfn.XLOOKUP($E158,Sheet2!$A:$A,Sheet2!T:T,"N/A",0,1)))</f>
        <v>N/A</v>
      </c>
      <c r="L158" s="25" t="str">
        <f>IF($F158="unclassified","N/A",(_xlfn.XLOOKUP($E158,Sheet2!$A:$A,Sheet2!U:U,"N/A",0,1)))</f>
        <v>N/A</v>
      </c>
      <c r="M158" s="25" t="str">
        <f>IF($F158="unclassified","N/A",(_xlfn.XLOOKUP($E158,Sheet2!$A:$A,Sheet2!V:V,"N/A",0,1)))</f>
        <v>N/A</v>
      </c>
      <c r="N158" s="25"/>
      <c r="O158" s="25" t="str">
        <f>IF($F158="unclassified","N/A",(_xlfn.XLOOKUP($E158,Sheet2!$A:$A,Sheet2!W:W,"N/A",0,1)))</f>
        <v>N/A</v>
      </c>
      <c r="P158" s="25" t="str">
        <f>IF($F158="unclassified","N/A",(_xlfn.XLOOKUP($E158,Sheet2!$A:$A,Sheet2!X:X,"N/A",0,1)))</f>
        <v>N/A</v>
      </c>
      <c r="Q158" s="25" t="str">
        <f>IF($F158="unclassified","N/A",(_xlfn.XLOOKUP($E158,Sheet2!$A:$A,Sheet2!Y:Y,"N/A",0,1)))</f>
        <v>N/A</v>
      </c>
      <c r="R158" s="25" t="str">
        <f>IF($F158="unclassified","N/A",(_xlfn.XLOOKUP($E158,Sheet2!$A:$A,Sheet2!Z:Z,"N/A",0,1)))</f>
        <v>N/A</v>
      </c>
      <c r="S158" s="25" t="str">
        <f>IF($F158="unclassified","N/A",(_xlfn.XLOOKUP($E158,Sheet2!$A:$A,Sheet2!AA:AA,"N/A",0,1)))</f>
        <v>N/A</v>
      </c>
      <c r="T158" s="25" t="str">
        <f>IF($F158="unclassified","N/A",(_xlfn.XLOOKUP($E158,Sheet2!$A:$A,Sheet2!AB:AB,"N/A",0,1)))</f>
        <v>N/A</v>
      </c>
      <c r="U158" s="11" t="str">
        <f>IF($F158="unclassified","N/A",(AVERAGE(Table3253[[#This Row],[PO nr]:[Delivery Date]])))</f>
        <v>N/A</v>
      </c>
      <c r="V158" s="21" t="s">
        <v>1818</v>
      </c>
      <c r="W158" s="21" t="s">
        <v>1814</v>
      </c>
      <c r="X158" s="21"/>
      <c r="Y158" s="21"/>
      <c r="Z158" s="21"/>
    </row>
    <row r="159" spans="4:26" ht="15" customHeight="1" x14ac:dyDescent="0.3">
      <c r="D159" s="30">
        <f>_xlfn.XLOOKUP(Table3253[[#This Row],[File Name]],'Analyse 2 Detail 02-03'!A:A,'Analyse 2 Detail 02-03'!R:R,"Not Found",0,1)</f>
        <v>0</v>
      </c>
      <c r="E159" s="2" t="s">
        <v>116</v>
      </c>
      <c r="F159" s="64" t="s">
        <v>11</v>
      </c>
      <c r="G159" s="71">
        <v>0</v>
      </c>
      <c r="H159" s="25" t="str">
        <f>IF($F159="unclassified","N/A",(_xlfn.XLOOKUP($E159,Sheet2!$A:$A,Sheet2!Q:Q,"N/A",0,1)))</f>
        <v>N/A</v>
      </c>
      <c r="I159" s="25" t="str">
        <f>IF($F159="unclassified","N/A",(_xlfn.XLOOKUP($E159,Sheet2!$A:$A,Sheet2!R:R,"N/A",0,1)))</f>
        <v>N/A</v>
      </c>
      <c r="J159" s="25" t="str">
        <f>IF($F159="unclassified","N/A",(_xlfn.XLOOKUP($E159,Sheet2!$A:$A,Sheet2!S:S,"N/A",0,1)))</f>
        <v>N/A</v>
      </c>
      <c r="K159" s="25" t="str">
        <f>IF($F159="unclassified","N/A",(_xlfn.XLOOKUP($E159,Sheet2!$A:$A,Sheet2!T:T,"N/A",0,1)))</f>
        <v>N/A</v>
      </c>
      <c r="L159" s="25" t="str">
        <f>IF($F159="unclassified","N/A",(_xlfn.XLOOKUP($E159,Sheet2!$A:$A,Sheet2!U:U,"N/A",0,1)))</f>
        <v>N/A</v>
      </c>
      <c r="M159" s="25" t="str">
        <f>IF($F159="unclassified","N/A",(_xlfn.XLOOKUP($E159,Sheet2!$A:$A,Sheet2!V:V,"N/A",0,1)))</f>
        <v>N/A</v>
      </c>
      <c r="N159" s="25"/>
      <c r="O159" s="25" t="str">
        <f>IF($F159="unclassified","N/A",(_xlfn.XLOOKUP($E159,Sheet2!$A:$A,Sheet2!W:W,"N/A",0,1)))</f>
        <v>N/A</v>
      </c>
      <c r="P159" s="25" t="str">
        <f>IF($F159="unclassified","N/A",(_xlfn.XLOOKUP($E159,Sheet2!$A:$A,Sheet2!X:X,"N/A",0,1)))</f>
        <v>N/A</v>
      </c>
      <c r="Q159" s="25" t="str">
        <f>IF($F159="unclassified","N/A",(_xlfn.XLOOKUP($E159,Sheet2!$A:$A,Sheet2!Y:Y,"N/A",0,1)))</f>
        <v>N/A</v>
      </c>
      <c r="R159" s="25" t="str">
        <f>IF($F159="unclassified","N/A",(_xlfn.XLOOKUP($E159,Sheet2!$A:$A,Sheet2!Z:Z,"N/A",0,1)))</f>
        <v>N/A</v>
      </c>
      <c r="S159" s="25" t="str">
        <f>IF($F159="unclassified","N/A",(_xlfn.XLOOKUP($E159,Sheet2!$A:$A,Sheet2!AA:AA,"N/A",0,1)))</f>
        <v>N/A</v>
      </c>
      <c r="T159" s="25" t="str">
        <f>IF($F159="unclassified","N/A",(_xlfn.XLOOKUP($E159,Sheet2!$A:$A,Sheet2!AB:AB,"N/A",0,1)))</f>
        <v>N/A</v>
      </c>
      <c r="U159" s="11" t="str">
        <f>IF($F159="unclassified","N/A",(AVERAGE(Table3253[[#This Row],[PO nr]:[Delivery Date]])))</f>
        <v>N/A</v>
      </c>
      <c r="V159" s="21" t="s">
        <v>1818</v>
      </c>
      <c r="W159" s="21" t="s">
        <v>1814</v>
      </c>
      <c r="X159" s="21"/>
      <c r="Y159" s="21"/>
      <c r="Z159" s="21"/>
    </row>
    <row r="160" spans="4:26" ht="15" customHeight="1" x14ac:dyDescent="0.3">
      <c r="D160" s="30">
        <f>_xlfn.XLOOKUP(Table3253[[#This Row],[File Name]],'Analyse 2 Detail 02-03'!A:A,'Analyse 2 Detail 02-03'!R:R,"Not Found",0,1)</f>
        <v>0</v>
      </c>
      <c r="E160" s="2" t="s">
        <v>119</v>
      </c>
      <c r="F160" s="64" t="s">
        <v>11</v>
      </c>
      <c r="G160" s="71">
        <v>0</v>
      </c>
      <c r="H160" s="25" t="str">
        <f>IF($F160="unclassified","N/A",(_xlfn.XLOOKUP($E160,Sheet2!$A:$A,Sheet2!Q:Q,"N/A",0,1)))</f>
        <v>N/A</v>
      </c>
      <c r="I160" s="25" t="str">
        <f>IF($F160="unclassified","N/A",(_xlfn.XLOOKUP($E160,Sheet2!$A:$A,Sheet2!R:R,"N/A",0,1)))</f>
        <v>N/A</v>
      </c>
      <c r="J160" s="25" t="str">
        <f>IF($F160="unclassified","N/A",(_xlfn.XLOOKUP($E160,Sheet2!$A:$A,Sheet2!S:S,"N/A",0,1)))</f>
        <v>N/A</v>
      </c>
      <c r="K160" s="25" t="str">
        <f>IF($F160="unclassified","N/A",(_xlfn.XLOOKUP($E160,Sheet2!$A:$A,Sheet2!T:T,"N/A",0,1)))</f>
        <v>N/A</v>
      </c>
      <c r="L160" s="25" t="str">
        <f>IF($F160="unclassified","N/A",(_xlfn.XLOOKUP($E160,Sheet2!$A:$A,Sheet2!U:U,"N/A",0,1)))</f>
        <v>N/A</v>
      </c>
      <c r="M160" s="25" t="str">
        <f>IF($F160="unclassified","N/A",(_xlfn.XLOOKUP($E160,Sheet2!$A:$A,Sheet2!V:V,"N/A",0,1)))</f>
        <v>N/A</v>
      </c>
      <c r="N160" s="25"/>
      <c r="O160" s="25" t="str">
        <f>IF($F160="unclassified","N/A",(_xlfn.XLOOKUP($E160,Sheet2!$A:$A,Sheet2!W:W,"N/A",0,1)))</f>
        <v>N/A</v>
      </c>
      <c r="P160" s="25" t="str">
        <f>IF($F160="unclassified","N/A",(_xlfn.XLOOKUP($E160,Sheet2!$A:$A,Sheet2!X:X,"N/A",0,1)))</f>
        <v>N/A</v>
      </c>
      <c r="Q160" s="25" t="str">
        <f>IF($F160="unclassified","N/A",(_xlfn.XLOOKUP($E160,Sheet2!$A:$A,Sheet2!Y:Y,"N/A",0,1)))</f>
        <v>N/A</v>
      </c>
      <c r="R160" s="25" t="str">
        <f>IF($F160="unclassified","N/A",(_xlfn.XLOOKUP($E160,Sheet2!$A:$A,Sheet2!Z:Z,"N/A",0,1)))</f>
        <v>N/A</v>
      </c>
      <c r="S160" s="25" t="str">
        <f>IF($F160="unclassified","N/A",(_xlfn.XLOOKUP($E160,Sheet2!$A:$A,Sheet2!AA:AA,"N/A",0,1)))</f>
        <v>N/A</v>
      </c>
      <c r="T160" s="25" t="str">
        <f>IF($F160="unclassified","N/A",(_xlfn.XLOOKUP($E160,Sheet2!$A:$A,Sheet2!AB:AB,"N/A",0,1)))</f>
        <v>N/A</v>
      </c>
      <c r="U160" s="11" t="str">
        <f>IF($F160="unclassified","N/A",(AVERAGE(Table3253[[#This Row],[PO nr]:[Delivery Date]])))</f>
        <v>N/A</v>
      </c>
      <c r="V160" s="21" t="s">
        <v>1819</v>
      </c>
      <c r="W160" s="21" t="s">
        <v>1814</v>
      </c>
      <c r="X160" s="21"/>
      <c r="Y160" s="21"/>
      <c r="Z160" s="21"/>
    </row>
    <row r="161" spans="4:26" ht="15" customHeight="1" x14ac:dyDescent="0.3">
      <c r="D161" s="30">
        <f>_xlfn.XLOOKUP(Table3253[[#This Row],[File Name]],'Analyse 2 Detail 02-03'!A:A,'Analyse 2 Detail 02-03'!R:R,"Not Found",0,1)</f>
        <v>0</v>
      </c>
      <c r="E161" s="2" t="s">
        <v>119</v>
      </c>
      <c r="F161" s="64" t="s">
        <v>11</v>
      </c>
      <c r="G161" s="71">
        <v>0</v>
      </c>
      <c r="H161" s="25" t="str">
        <f>IF($F161="unclassified","N/A",(_xlfn.XLOOKUP($E161,Sheet2!$A:$A,Sheet2!Q:Q,"N/A",0,1)))</f>
        <v>N/A</v>
      </c>
      <c r="I161" s="25" t="str">
        <f>IF($F161="unclassified","N/A",(_xlfn.XLOOKUP($E161,Sheet2!$A:$A,Sheet2!R:R,"N/A",0,1)))</f>
        <v>N/A</v>
      </c>
      <c r="J161" s="25" t="str">
        <f>IF($F161="unclassified","N/A",(_xlfn.XLOOKUP($E161,Sheet2!$A:$A,Sheet2!S:S,"N/A",0,1)))</f>
        <v>N/A</v>
      </c>
      <c r="K161" s="25" t="str">
        <f>IF($F161="unclassified","N/A",(_xlfn.XLOOKUP($E161,Sheet2!$A:$A,Sheet2!T:T,"N/A",0,1)))</f>
        <v>N/A</v>
      </c>
      <c r="L161" s="25" t="str">
        <f>IF($F161="unclassified","N/A",(_xlfn.XLOOKUP($E161,Sheet2!$A:$A,Sheet2!U:U,"N/A",0,1)))</f>
        <v>N/A</v>
      </c>
      <c r="M161" s="25" t="str">
        <f>IF($F161="unclassified","N/A",(_xlfn.XLOOKUP($E161,Sheet2!$A:$A,Sheet2!V:V,"N/A",0,1)))</f>
        <v>N/A</v>
      </c>
      <c r="N161" s="25"/>
      <c r="O161" s="25" t="str">
        <f>IF($F161="unclassified","N/A",(_xlfn.XLOOKUP($E161,Sheet2!$A:$A,Sheet2!W:W,"N/A",0,1)))</f>
        <v>N/A</v>
      </c>
      <c r="P161" s="25" t="str">
        <f>IF($F161="unclassified","N/A",(_xlfn.XLOOKUP($E161,Sheet2!$A:$A,Sheet2!X:X,"N/A",0,1)))</f>
        <v>N/A</v>
      </c>
      <c r="Q161" s="25" t="str">
        <f>IF($F161="unclassified","N/A",(_xlfn.XLOOKUP($E161,Sheet2!$A:$A,Sheet2!Y:Y,"N/A",0,1)))</f>
        <v>N/A</v>
      </c>
      <c r="R161" s="25" t="str">
        <f>IF($F161="unclassified","N/A",(_xlfn.XLOOKUP($E161,Sheet2!$A:$A,Sheet2!Z:Z,"N/A",0,1)))</f>
        <v>N/A</v>
      </c>
      <c r="S161" s="25" t="str">
        <f>IF($F161="unclassified","N/A",(_xlfn.XLOOKUP($E161,Sheet2!$A:$A,Sheet2!AA:AA,"N/A",0,1)))</f>
        <v>N/A</v>
      </c>
      <c r="T161" s="25" t="str">
        <f>IF($F161="unclassified","N/A",(_xlfn.XLOOKUP($E161,Sheet2!$A:$A,Sheet2!AB:AB,"N/A",0,1)))</f>
        <v>N/A</v>
      </c>
      <c r="U161" s="11" t="str">
        <f>IF($F161="unclassified","N/A",(AVERAGE(Table3253[[#This Row],[PO nr]:[Delivery Date]])))</f>
        <v>N/A</v>
      </c>
      <c r="V161" s="21" t="s">
        <v>1819</v>
      </c>
      <c r="W161" s="21" t="s">
        <v>1814</v>
      </c>
      <c r="X161" s="21"/>
      <c r="Y161" s="21"/>
      <c r="Z161" s="21"/>
    </row>
    <row r="162" spans="4:26" ht="15" customHeight="1" x14ac:dyDescent="0.3">
      <c r="D162" s="30">
        <f>_xlfn.XLOOKUP(Table3253[[#This Row],[File Name]],'Analyse 2 Detail 02-03'!A:A,'Analyse 2 Detail 02-03'!R:R,"Not Found",0,1)</f>
        <v>0</v>
      </c>
      <c r="E162" s="2" t="s">
        <v>184</v>
      </c>
      <c r="F162" s="64" t="s">
        <v>11</v>
      </c>
      <c r="G162" s="71">
        <v>0</v>
      </c>
      <c r="H162" s="25" t="str">
        <f>IF($F162="unclassified","N/A",(_xlfn.XLOOKUP($E162,Sheet2!$A:$A,Sheet2!Q:Q,"N/A",0,1)))</f>
        <v>N/A</v>
      </c>
      <c r="I162" s="25" t="str">
        <f>IF($F162="unclassified","N/A",(_xlfn.XLOOKUP($E162,Sheet2!$A:$A,Sheet2!R:R,"N/A",0,1)))</f>
        <v>N/A</v>
      </c>
      <c r="J162" s="25" t="str">
        <f>IF($F162="unclassified","N/A",(_xlfn.XLOOKUP($E162,Sheet2!$A:$A,Sheet2!S:S,"N/A",0,1)))</f>
        <v>N/A</v>
      </c>
      <c r="K162" s="25" t="str">
        <f>IF($F162="unclassified","N/A",(_xlfn.XLOOKUP($E162,Sheet2!$A:$A,Sheet2!T:T,"N/A",0,1)))</f>
        <v>N/A</v>
      </c>
      <c r="L162" s="25" t="str">
        <f>IF($F162="unclassified","N/A",(_xlfn.XLOOKUP($E162,Sheet2!$A:$A,Sheet2!U:U,"N/A",0,1)))</f>
        <v>N/A</v>
      </c>
      <c r="M162" s="25" t="str">
        <f>IF($F162="unclassified","N/A",(_xlfn.XLOOKUP($E162,Sheet2!$A:$A,Sheet2!V:V,"N/A",0,1)))</f>
        <v>N/A</v>
      </c>
      <c r="N162" s="25"/>
      <c r="O162" s="25" t="str">
        <f>IF($F162="unclassified","N/A",(_xlfn.XLOOKUP($E162,Sheet2!$A:$A,Sheet2!W:W,"N/A",0,1)))</f>
        <v>N/A</v>
      </c>
      <c r="P162" s="25" t="str">
        <f>IF($F162="unclassified","N/A",(_xlfn.XLOOKUP($E162,Sheet2!$A:$A,Sheet2!X:X,"N/A",0,1)))</f>
        <v>N/A</v>
      </c>
      <c r="Q162" s="25" t="str">
        <f>IF($F162="unclassified","N/A",(_xlfn.XLOOKUP($E162,Sheet2!$A:$A,Sheet2!Y:Y,"N/A",0,1)))</f>
        <v>N/A</v>
      </c>
      <c r="R162" s="25" t="str">
        <f>IF($F162="unclassified","N/A",(_xlfn.XLOOKUP($E162,Sheet2!$A:$A,Sheet2!Z:Z,"N/A",0,1)))</f>
        <v>N/A</v>
      </c>
      <c r="S162" s="25" t="str">
        <f>IF($F162="unclassified","N/A",(_xlfn.XLOOKUP($E162,Sheet2!$A:$A,Sheet2!AA:AA,"N/A",0,1)))</f>
        <v>N/A</v>
      </c>
      <c r="T162" s="25" t="str">
        <f>IF($F162="unclassified","N/A",(_xlfn.XLOOKUP($E162,Sheet2!$A:$A,Sheet2!AB:AB,"N/A",0,1)))</f>
        <v>N/A</v>
      </c>
      <c r="U162" s="11" t="str">
        <f>IF($F162="unclassified","N/A",(AVERAGE(Table3253[[#This Row],[PO nr]:[Delivery Date]])))</f>
        <v>N/A</v>
      </c>
      <c r="V162" s="21" t="s">
        <v>1815</v>
      </c>
      <c r="W162" s="21" t="s">
        <v>1814</v>
      </c>
      <c r="X162" s="21"/>
      <c r="Y162" s="21"/>
      <c r="Z162" s="21"/>
    </row>
    <row r="163" spans="4:26" ht="15" customHeight="1" x14ac:dyDescent="0.3">
      <c r="D163" s="30" t="str">
        <f>_xlfn.XLOOKUP(Table3253[[#This Row],[File Name]],'Analyse 2 Detail 02-03'!A:A,'Analyse 2 Detail 02-03'!R:R,"Not Found",0,1)</f>
        <v>Lyreco Belgium SA/NV</v>
      </c>
      <c r="E163" s="2" t="s">
        <v>147</v>
      </c>
      <c r="F163" s="64" t="s">
        <v>9</v>
      </c>
      <c r="G163" s="71">
        <v>2</v>
      </c>
      <c r="H163" s="25">
        <f>IF($F163="unclassified","N/A",(_xlfn.XLOOKUP($E163,Sheet2!$A:$A,Sheet2!Q:Q,"N/A",0,1)))</f>
        <v>1</v>
      </c>
      <c r="I163" s="25">
        <f>IF($F163="unclassified","N/A",(_xlfn.XLOOKUP($E163,Sheet2!$A:$A,Sheet2!R:R,"N/A",0,1)))</f>
        <v>1</v>
      </c>
      <c r="J163" s="25">
        <f>IF($F163="unclassified","N/A",(_xlfn.XLOOKUP($E163,Sheet2!$A:$A,Sheet2!S:S,"N/A",0,1)))</f>
        <v>1</v>
      </c>
      <c r="K163" s="25">
        <f>IF($F163="unclassified","N/A",(_xlfn.XLOOKUP($E163,Sheet2!$A:$A,Sheet2!T:T,"N/A",0,1)))</f>
        <v>1</v>
      </c>
      <c r="L163" s="25">
        <f>IF($F163="unclassified","N/A",(_xlfn.XLOOKUP($E163,Sheet2!$A:$A,Sheet2!U:U,"N/A",0,1)))</f>
        <v>1</v>
      </c>
      <c r="M163" s="25">
        <f>IF($F163="unclassified","N/A",(_xlfn.XLOOKUP($E163,Sheet2!$A:$A,Sheet2!V:V,"N/A",0,1)))</f>
        <v>1</v>
      </c>
      <c r="N163" s="25"/>
      <c r="O163" s="25">
        <f>IF($F163="unclassified","N/A",(_xlfn.XLOOKUP($E163,Sheet2!$A:$A,Sheet2!W:W,"N/A",0,1)))</f>
        <v>1</v>
      </c>
      <c r="P163" s="25">
        <f>IF($F163="unclassified","N/A",(_xlfn.XLOOKUP($E163,Sheet2!$A:$A,Sheet2!X:X,"N/A",0,1)))</f>
        <v>1</v>
      </c>
      <c r="Q163" s="25">
        <f>IF($F163="unclassified","N/A",(_xlfn.XLOOKUP($E163,Sheet2!$A:$A,Sheet2!Y:Y,"N/A",0,1)))</f>
        <v>1</v>
      </c>
      <c r="R163" s="25">
        <v>1</v>
      </c>
      <c r="S163" s="25">
        <f>IF($F163="unclassified","N/A",(_xlfn.XLOOKUP($E163,Sheet2!$A:$A,Sheet2!AA:AA,"N/A",0,1)))</f>
        <v>1</v>
      </c>
      <c r="T163" s="25">
        <v>1</v>
      </c>
      <c r="U163" s="11">
        <f>IF($F163="unclassified","N/A",(AVERAGE(Table3253[[#This Row],[PO nr]:[Delivery Date]])))</f>
        <v>1</v>
      </c>
      <c r="V163" s="21" t="s">
        <v>210</v>
      </c>
      <c r="W163" s="21"/>
      <c r="X163" s="21"/>
      <c r="Y163" s="21"/>
      <c r="Z163" s="21"/>
    </row>
    <row r="164" spans="4:26" ht="15" customHeight="1" x14ac:dyDescent="0.3">
      <c r="D164" s="30" t="str">
        <f>_xlfn.XLOOKUP(Table3253[[#This Row],[File Name]],'Analyse 2 Detail 02-03'!A:A,'Analyse 2 Detail 02-03'!R:R,"Not Found",0,1)</f>
        <v>Lyreco Belgium SA/NV</v>
      </c>
      <c r="E164" s="2" t="s">
        <v>127</v>
      </c>
      <c r="F164" s="64" t="s">
        <v>9</v>
      </c>
      <c r="G164" s="71">
        <v>2</v>
      </c>
      <c r="H164" s="25">
        <f>IF($F164="unclassified","N/A",(_xlfn.XLOOKUP($E164,Sheet2!$A:$A,Sheet2!Q:Q,"N/A",0,1)))</f>
        <v>1</v>
      </c>
      <c r="I164" s="25">
        <f>IF($F164="unclassified","N/A",(_xlfn.XLOOKUP($E164,Sheet2!$A:$A,Sheet2!R:R,"N/A",0,1)))</f>
        <v>1</v>
      </c>
      <c r="J164" s="25">
        <f>IF($F164="unclassified","N/A",(_xlfn.XLOOKUP($E164,Sheet2!$A:$A,Sheet2!S:S,"N/A",0,1)))</f>
        <v>1</v>
      </c>
      <c r="K164" s="25">
        <f>IF($F164="unclassified","N/A",(_xlfn.XLOOKUP($E164,Sheet2!$A:$A,Sheet2!T:T,"N/A",0,1)))</f>
        <v>1</v>
      </c>
      <c r="L164" s="25">
        <f>IF($F164="unclassified","N/A",(_xlfn.XLOOKUP($E164,Sheet2!$A:$A,Sheet2!U:U,"N/A",0,1)))</f>
        <v>1</v>
      </c>
      <c r="M164" s="25">
        <f>IF($F164="unclassified","N/A",(_xlfn.XLOOKUP($E164,Sheet2!$A:$A,Sheet2!V:V,"N/A",0,1)))</f>
        <v>1</v>
      </c>
      <c r="N164" s="25"/>
      <c r="O164" s="25">
        <f>IF($F164="unclassified","N/A",(_xlfn.XLOOKUP($E164,Sheet2!$A:$A,Sheet2!W:W,"N/A",0,1)))</f>
        <v>1</v>
      </c>
      <c r="P164" s="25">
        <f>IF($F164="unclassified","N/A",(_xlfn.XLOOKUP($E164,Sheet2!$A:$A,Sheet2!X:X,"N/A",0,1)))</f>
        <v>1</v>
      </c>
      <c r="Q164" s="25">
        <f>IF($F164="unclassified","N/A",(_xlfn.XLOOKUP($E164,Sheet2!$A:$A,Sheet2!Y:Y,"N/A",0,1)))</f>
        <v>1</v>
      </c>
      <c r="R164" s="25">
        <v>1</v>
      </c>
      <c r="S164" s="25">
        <f>IF($F164="unclassified","N/A",(_xlfn.XLOOKUP($E164,Sheet2!$A:$A,Sheet2!AA:AA,"N/A",0,1)))</f>
        <v>1</v>
      </c>
      <c r="T164" s="25">
        <v>1</v>
      </c>
      <c r="U164" s="11">
        <f>IF($F164="unclassified","N/A",(AVERAGE(Table3253[[#This Row],[PO nr]:[Delivery Date]])))</f>
        <v>1</v>
      </c>
      <c r="V164" s="21" t="s">
        <v>210</v>
      </c>
      <c r="W164" s="21"/>
      <c r="X164" s="21"/>
      <c r="Y164" s="21"/>
      <c r="Z164" s="21"/>
    </row>
    <row r="165" spans="4:26" ht="15" customHeight="1" x14ac:dyDescent="0.3">
      <c r="D165" s="30" t="str">
        <f>_xlfn.XLOOKUP(Table3253[[#This Row],[File Name]],'Analyse 2 Detail 02-03'!A:A,'Analyse 2 Detail 02-03'!R:R,"Not Found",0,1)</f>
        <v>Lyreco Belgium SA/NV</v>
      </c>
      <c r="E165" s="2" t="s">
        <v>107</v>
      </c>
      <c r="F165" s="64" t="s">
        <v>9</v>
      </c>
      <c r="G165" s="71">
        <v>2</v>
      </c>
      <c r="H165" s="25">
        <f>IF($F165="unclassified","N/A",(_xlfn.XLOOKUP($E165,Sheet2!$A:$A,Sheet2!Q:Q,"N/A",0,1)))</f>
        <v>1</v>
      </c>
      <c r="I165" s="25">
        <f>IF($F165="unclassified","N/A",(_xlfn.XLOOKUP($E165,Sheet2!$A:$A,Sheet2!R:R,"N/A",0,1)))</f>
        <v>1</v>
      </c>
      <c r="J165" s="25">
        <f>IF($F165="unclassified","N/A",(_xlfn.XLOOKUP($E165,Sheet2!$A:$A,Sheet2!S:S,"N/A",0,1)))</f>
        <v>1</v>
      </c>
      <c r="K165" s="25">
        <f>IF($F165="unclassified","N/A",(_xlfn.XLOOKUP($E165,Sheet2!$A:$A,Sheet2!T:T,"N/A",0,1)))</f>
        <v>1</v>
      </c>
      <c r="L165" s="25">
        <f>IF($F165="unclassified","N/A",(_xlfn.XLOOKUP($E165,Sheet2!$A:$A,Sheet2!U:U,"N/A",0,1)))</f>
        <v>1</v>
      </c>
      <c r="M165" s="25">
        <f>IF($F165="unclassified","N/A",(_xlfn.XLOOKUP($E165,Sheet2!$A:$A,Sheet2!V:V,"N/A",0,1)))</f>
        <v>1</v>
      </c>
      <c r="N165" s="25"/>
      <c r="O165" s="25">
        <f>IF($F165="unclassified","N/A",(_xlfn.XLOOKUP($E165,Sheet2!$A:$A,Sheet2!W:W,"N/A",0,1)))</f>
        <v>1</v>
      </c>
      <c r="P165" s="25">
        <f>IF($F165="unclassified","N/A",(_xlfn.XLOOKUP($E165,Sheet2!$A:$A,Sheet2!X:X,"N/A",0,1)))</f>
        <v>1</v>
      </c>
      <c r="Q165" s="25">
        <f>IF($F165="unclassified","N/A",(_xlfn.XLOOKUP($E165,Sheet2!$A:$A,Sheet2!Y:Y,"N/A",0,1)))</f>
        <v>1</v>
      </c>
      <c r="R165" s="25">
        <v>1</v>
      </c>
      <c r="S165" s="25">
        <f>IF($F165="unclassified","N/A",(_xlfn.XLOOKUP($E165,Sheet2!$A:$A,Sheet2!AA:AA,"N/A",0,1)))</f>
        <v>1</v>
      </c>
      <c r="T165" s="25">
        <v>1</v>
      </c>
      <c r="U165" s="11">
        <f>IF($F165="unclassified","N/A",(AVERAGE(Table3253[[#This Row],[PO nr]:[Delivery Date]])))</f>
        <v>1</v>
      </c>
      <c r="V165" s="21" t="s">
        <v>210</v>
      </c>
      <c r="W165" s="21"/>
      <c r="X165" s="21"/>
      <c r="Y165" s="21"/>
      <c r="Z165" s="21"/>
    </row>
    <row r="166" spans="4:26" ht="15" customHeight="1" x14ac:dyDescent="0.3">
      <c r="D166" s="30" t="str">
        <f>_xlfn.XLOOKUP(Table3253[[#This Row],[File Name]],'Analyse 2 Detail 02-03'!A:A,'Analyse 2 Detail 02-03'!R:R,"Not Found",0,1)</f>
        <v>Mediq Nederland B.V.</v>
      </c>
      <c r="E166" s="2" t="s">
        <v>131</v>
      </c>
      <c r="F166" s="64" t="s">
        <v>9</v>
      </c>
      <c r="G166" s="71">
        <v>0</v>
      </c>
      <c r="H166" s="25">
        <f>IF($F166="unclassified","N/A",(_xlfn.XLOOKUP($E166,Sheet2!$A:$A,Sheet2!Q:Q,"N/A",0,1)))</f>
        <v>1</v>
      </c>
      <c r="I166" s="25">
        <f>IF($F166="unclassified","N/A",(_xlfn.XLOOKUP($E166,Sheet2!$A:$A,Sheet2!R:R,"N/A",0,1)))</f>
        <v>1</v>
      </c>
      <c r="J166" s="25">
        <f>IF($F166="unclassified","N/A",(_xlfn.XLOOKUP($E166,Sheet2!$A:$A,Sheet2!S:S,"N/A",0,1)))</f>
        <v>1</v>
      </c>
      <c r="K166" s="25">
        <f>IF($F166="unclassified","N/A",(_xlfn.XLOOKUP($E166,Sheet2!$A:$A,Sheet2!T:T,"N/A",0,1)))</f>
        <v>1</v>
      </c>
      <c r="L166" s="25">
        <f>IF($F166="unclassified","N/A",(_xlfn.XLOOKUP($E166,Sheet2!$A:$A,Sheet2!U:U,"N/A",0,1)))</f>
        <v>1</v>
      </c>
      <c r="M166" s="25">
        <f>IF($F166="unclassified","N/A",(_xlfn.XLOOKUP($E166,Sheet2!$A:$A,Sheet2!V:V,"N/A",0,1)))</f>
        <v>1</v>
      </c>
      <c r="N166" s="25"/>
      <c r="O166" s="25">
        <f>IF($F166="unclassified","N/A",(_xlfn.XLOOKUP($E166,Sheet2!$A:$A,Sheet2!W:W,"N/A",0,1)))</f>
        <v>1</v>
      </c>
      <c r="P166" s="25">
        <f>IF($F166="unclassified","N/A",(_xlfn.XLOOKUP($E166,Sheet2!$A:$A,Sheet2!X:X,"N/A",0,1)))</f>
        <v>1</v>
      </c>
      <c r="Q166" s="25">
        <f>IF($F166="unclassified","N/A",(_xlfn.XLOOKUP($E166,Sheet2!$A:$A,Sheet2!Y:Y,"N/A",0,1)))</f>
        <v>1</v>
      </c>
      <c r="R166" s="25">
        <f>IF($F166="unclassified","N/A",(_xlfn.XLOOKUP($E166,Sheet2!$A:$A,Sheet2!Z:Z,"N/A",0,1)))</f>
        <v>1</v>
      </c>
      <c r="S166" s="25">
        <f>IF($F166="unclassified","N/A",(_xlfn.XLOOKUP($E166,Sheet2!$A:$A,Sheet2!AA:AA,"N/A",0,1)))</f>
        <v>1</v>
      </c>
      <c r="T166" s="25">
        <f>IF($F166="unclassified","N/A",(_xlfn.XLOOKUP($E166,Sheet2!$A:$A,Sheet2!AB:AB,"N/A",0,1)))</f>
        <v>1</v>
      </c>
      <c r="U166" s="11">
        <f>IF($F166="unclassified","N/A",(AVERAGE(Table3253[[#This Row],[PO nr]:[Delivery Date]])))</f>
        <v>1</v>
      </c>
      <c r="V166" s="21"/>
      <c r="W166" s="21"/>
      <c r="X166" s="21"/>
      <c r="Y166" s="21"/>
      <c r="Z166" s="21"/>
    </row>
    <row r="167" spans="4:26" ht="15" customHeight="1" x14ac:dyDescent="0.3">
      <c r="D167" s="30" t="str">
        <f>_xlfn.XLOOKUP(Table3253[[#This Row],[File Name]],'Analyse 2 Detail 02-03'!A:A,'Analyse 2 Detail 02-03'!R:R,"Not Found",0,1)</f>
        <v>Mediq Nederland B.V.</v>
      </c>
      <c r="E167" s="2" t="s">
        <v>158</v>
      </c>
      <c r="F167" s="64" t="s">
        <v>9</v>
      </c>
      <c r="G167" s="71">
        <v>0</v>
      </c>
      <c r="H167" s="25">
        <f>IF($F167="unclassified","N/A",(_xlfn.XLOOKUP($E167,Sheet2!$A:$A,Sheet2!Q:Q,"N/A",0,1)))</f>
        <v>1</v>
      </c>
      <c r="I167" s="25">
        <f>IF($F167="unclassified","N/A",(_xlfn.XLOOKUP($E167,Sheet2!$A:$A,Sheet2!R:R,"N/A",0,1)))</f>
        <v>1</v>
      </c>
      <c r="J167" s="25">
        <f>IF($F167="unclassified","N/A",(_xlfn.XLOOKUP($E167,Sheet2!$A:$A,Sheet2!S:S,"N/A",0,1)))</f>
        <v>1</v>
      </c>
      <c r="K167" s="25">
        <f>IF($F167="unclassified","N/A",(_xlfn.XLOOKUP($E167,Sheet2!$A:$A,Sheet2!T:T,"N/A",0,1)))</f>
        <v>1</v>
      </c>
      <c r="L167" s="25">
        <f>IF($F167="unclassified","N/A",(_xlfn.XLOOKUP($E167,Sheet2!$A:$A,Sheet2!U:U,"N/A",0,1)))</f>
        <v>1</v>
      </c>
      <c r="M167" s="25">
        <f>IF($F167="unclassified","N/A",(_xlfn.XLOOKUP($E167,Sheet2!$A:$A,Sheet2!V:V,"N/A",0,1)))</f>
        <v>1</v>
      </c>
      <c r="N167" s="25"/>
      <c r="O167" s="25">
        <f>IF($F167="unclassified","N/A",(_xlfn.XLOOKUP($E167,Sheet2!$A:$A,Sheet2!W:W,"N/A",0,1)))</f>
        <v>1</v>
      </c>
      <c r="P167" s="25">
        <f>IF($F167="unclassified","N/A",(_xlfn.XLOOKUP($E167,Sheet2!$A:$A,Sheet2!X:X,"N/A",0,1)))</f>
        <v>1</v>
      </c>
      <c r="Q167" s="25">
        <f>IF($F167="unclassified","N/A",(_xlfn.XLOOKUP($E167,Sheet2!$A:$A,Sheet2!Y:Y,"N/A",0,1)))</f>
        <v>1</v>
      </c>
      <c r="R167" s="25">
        <f>IF($F167="unclassified","N/A",(_xlfn.XLOOKUP($E167,Sheet2!$A:$A,Sheet2!Z:Z,"N/A",0,1)))</f>
        <v>1</v>
      </c>
      <c r="S167" s="25">
        <f>IF($F167="unclassified","N/A",(_xlfn.XLOOKUP($E167,Sheet2!$A:$A,Sheet2!AA:AA,"N/A",0,1)))</f>
        <v>1</v>
      </c>
      <c r="T167" s="25">
        <f>IF($F167="unclassified","N/A",(_xlfn.XLOOKUP($E167,Sheet2!$A:$A,Sheet2!AB:AB,"N/A",0,1)))</f>
        <v>1</v>
      </c>
      <c r="U167" s="11">
        <f>IF($F167="unclassified","N/A",(AVERAGE(Table3253[[#This Row],[PO nr]:[Delivery Date]])))</f>
        <v>1</v>
      </c>
      <c r="V167" s="21"/>
      <c r="W167" s="21"/>
      <c r="X167" s="21"/>
      <c r="Y167" s="21"/>
      <c r="Z167" s="21"/>
    </row>
    <row r="168" spans="4:26" ht="15" customHeight="1" x14ac:dyDescent="0.3">
      <c r="D168" s="30">
        <f>_xlfn.XLOOKUP(Table3253[[#This Row],[File Name]],'Analyse 2 Detail 02-03'!A:A,'Analyse 2 Detail 02-03'!R:R,"Not Found",0,1)</f>
        <v>0</v>
      </c>
      <c r="E168" s="2" t="s">
        <v>162</v>
      </c>
      <c r="F168" s="64" t="s">
        <v>11</v>
      </c>
      <c r="G168" s="71">
        <v>0</v>
      </c>
      <c r="H168" s="25" t="str">
        <f>IF($F168="unclassified","N/A",(_xlfn.XLOOKUP($E168,Sheet2!$A:$A,Sheet2!Q:Q,"N/A",0,1)))</f>
        <v>N/A</v>
      </c>
      <c r="I168" s="25" t="str">
        <f>IF($F168="unclassified","N/A",(_xlfn.XLOOKUP($E168,Sheet2!$A:$A,Sheet2!R:R,"N/A",0,1)))</f>
        <v>N/A</v>
      </c>
      <c r="J168" s="25" t="str">
        <f>IF($F168="unclassified","N/A",(_xlfn.XLOOKUP($E168,Sheet2!$A:$A,Sheet2!S:S,"N/A",0,1)))</f>
        <v>N/A</v>
      </c>
      <c r="K168" s="25" t="str">
        <f>IF($F168="unclassified","N/A",(_xlfn.XLOOKUP($E168,Sheet2!$A:$A,Sheet2!T:T,"N/A",0,1)))</f>
        <v>N/A</v>
      </c>
      <c r="L168" s="25" t="str">
        <f>IF($F168="unclassified","N/A",(_xlfn.XLOOKUP($E168,Sheet2!$A:$A,Sheet2!U:U,"N/A",0,1)))</f>
        <v>N/A</v>
      </c>
      <c r="M168" s="25" t="str">
        <f>IF($F168="unclassified","N/A",(_xlfn.XLOOKUP($E168,Sheet2!$A:$A,Sheet2!V:V,"N/A",0,1)))</f>
        <v>N/A</v>
      </c>
      <c r="N168" s="25"/>
      <c r="O168" s="25" t="str">
        <f>IF($F168="unclassified","N/A",(_xlfn.XLOOKUP($E168,Sheet2!$A:$A,Sheet2!W:W,"N/A",0,1)))</f>
        <v>N/A</v>
      </c>
      <c r="P168" s="25" t="str">
        <f>IF($F168="unclassified","N/A",(_xlfn.XLOOKUP($E168,Sheet2!$A:$A,Sheet2!X:X,"N/A",0,1)))</f>
        <v>N/A</v>
      </c>
      <c r="Q168" s="25" t="str">
        <f>IF($F168="unclassified","N/A",(_xlfn.XLOOKUP($E168,Sheet2!$A:$A,Sheet2!Y:Y,"N/A",0,1)))</f>
        <v>N/A</v>
      </c>
      <c r="R168" s="25" t="str">
        <f>IF($F168="unclassified","N/A",(_xlfn.XLOOKUP($E168,Sheet2!$A:$A,Sheet2!Z:Z,"N/A",0,1)))</f>
        <v>N/A</v>
      </c>
      <c r="S168" s="25" t="str">
        <f>IF($F168="unclassified","N/A",(_xlfn.XLOOKUP($E168,Sheet2!$A:$A,Sheet2!AA:AA,"N/A",0,1)))</f>
        <v>N/A</v>
      </c>
      <c r="T168" s="25" t="str">
        <f>IF($F168="unclassified","N/A",(_xlfn.XLOOKUP($E168,Sheet2!$A:$A,Sheet2!AB:AB,"N/A",0,1)))</f>
        <v>N/A</v>
      </c>
      <c r="U168" s="11" t="str">
        <f>IF($F168="unclassified","N/A",(AVERAGE(Table3253[[#This Row],[PO nr]:[Delivery Date]])))</f>
        <v>N/A</v>
      </c>
      <c r="V168" s="21"/>
      <c r="W168" s="21"/>
      <c r="X168" s="21"/>
      <c r="Y168" s="21"/>
      <c r="Z168" s="21"/>
    </row>
    <row r="169" spans="4:26" ht="15" customHeight="1" x14ac:dyDescent="0.3">
      <c r="D169" s="30" t="str">
        <f>_xlfn.XLOOKUP(Table3253[[#This Row],[File Name]],'Analyse 2 Detail 02-03'!A:A,'Analyse 2 Detail 02-03'!R:R,"Not Found",0,1)</f>
        <v>Medtronic Trading NL BV</v>
      </c>
      <c r="E169" s="2" t="s">
        <v>110</v>
      </c>
      <c r="F169" s="64" t="s">
        <v>9</v>
      </c>
      <c r="G169" s="71">
        <v>2</v>
      </c>
      <c r="H169" s="25">
        <v>1</v>
      </c>
      <c r="I169" s="25">
        <f>IF($F169="unclassified","N/A",(_xlfn.XLOOKUP($E169,Sheet2!$A:$A,Sheet2!R:R,"N/A",0,1)))</f>
        <v>1</v>
      </c>
      <c r="J169" s="25">
        <f>IF($F169="unclassified","N/A",(_xlfn.XLOOKUP($E169,Sheet2!$A:$A,Sheet2!S:S,"N/A",0,1)))</f>
        <v>1</v>
      </c>
      <c r="K169" s="25">
        <f>IF($F169="unclassified","N/A",(_xlfn.XLOOKUP($E169,Sheet2!$A:$A,Sheet2!T:T,"N/A",0,1)))</f>
        <v>1</v>
      </c>
      <c r="L169" s="25">
        <f>IF($F169="unclassified","N/A",(_xlfn.XLOOKUP($E169,Sheet2!$A:$A,Sheet2!U:U,"N/A",0,1)))</f>
        <v>1</v>
      </c>
      <c r="M169" s="25">
        <f>IF($F169="unclassified","N/A",(_xlfn.XLOOKUP($E169,Sheet2!$A:$A,Sheet2!V:V,"N/A",0,1)))</f>
        <v>1</v>
      </c>
      <c r="N169" s="25"/>
      <c r="O169" s="25">
        <f>IF($F169="unclassified","N/A",(_xlfn.XLOOKUP($E169,Sheet2!$A:$A,Sheet2!W:W,"N/A",0,1)))</f>
        <v>1</v>
      </c>
      <c r="P169" s="25">
        <f>IF($F169="unclassified","N/A",(_xlfn.XLOOKUP($E169,Sheet2!$A:$A,Sheet2!X:X,"N/A",0,1)))</f>
        <v>1</v>
      </c>
      <c r="Q169" s="25">
        <f>IF($F169="unclassified","N/A",(_xlfn.XLOOKUP($E169,Sheet2!$A:$A,Sheet2!Y:Y,"N/A",0,1)))</f>
        <v>1</v>
      </c>
      <c r="R169" s="25">
        <f>IF($F169="unclassified","N/A",(_xlfn.XLOOKUP($E169,Sheet2!$A:$A,Sheet2!Z:Z,"N/A",0,1)))</f>
        <v>1</v>
      </c>
      <c r="S169" s="25">
        <f>IF($F169="unclassified","N/A",(_xlfn.XLOOKUP($E169,Sheet2!$A:$A,Sheet2!AA:AA,"N/A",0,1)))</f>
        <v>1</v>
      </c>
      <c r="T169" s="25">
        <f>IF($F169="unclassified","N/A",(_xlfn.XLOOKUP($E169,Sheet2!$A:$A,Sheet2!AB:AB,"N/A",0,1)))</f>
        <v>1</v>
      </c>
      <c r="U169" s="11">
        <f>IF($F169="unclassified","N/A",(AVERAGE(Table3253[[#This Row],[PO nr]:[Delivery Date]])))</f>
        <v>1</v>
      </c>
      <c r="V169" s="84" t="s">
        <v>212</v>
      </c>
      <c r="W169" s="21" t="s">
        <v>213</v>
      </c>
      <c r="X169" s="21"/>
      <c r="Y169" s="21"/>
      <c r="Z169" s="21"/>
    </row>
    <row r="170" spans="4:26" ht="15" customHeight="1" x14ac:dyDescent="0.3">
      <c r="D170" s="30" t="str">
        <f>_xlfn.XLOOKUP(Table3253[[#This Row],[File Name]],'Analyse 2 Detail 02-03'!A:A,'Analyse 2 Detail 02-03'!R:R,"Not Found",0,1)</f>
        <v>Medtronic Trading NL BV</v>
      </c>
      <c r="E170" s="2" t="s">
        <v>110</v>
      </c>
      <c r="F170" s="64" t="s">
        <v>9</v>
      </c>
      <c r="G170" s="71">
        <v>2</v>
      </c>
      <c r="H170" s="25">
        <v>1</v>
      </c>
      <c r="I170" s="25">
        <f>IF($F170="unclassified","N/A",(_xlfn.XLOOKUP($E170,Sheet2!$A:$A,Sheet2!R:R,"N/A",0,1)))</f>
        <v>1</v>
      </c>
      <c r="J170" s="25">
        <f>IF($F170="unclassified","N/A",(_xlfn.XLOOKUP($E170,Sheet2!$A:$A,Sheet2!S:S,"N/A",0,1)))</f>
        <v>1</v>
      </c>
      <c r="K170" s="25">
        <f>IF($F170="unclassified","N/A",(_xlfn.XLOOKUP($E170,Sheet2!$A:$A,Sheet2!T:T,"N/A",0,1)))</f>
        <v>1</v>
      </c>
      <c r="L170" s="25">
        <f>IF($F170="unclassified","N/A",(_xlfn.XLOOKUP($E170,Sheet2!$A:$A,Sheet2!U:U,"N/A",0,1)))</f>
        <v>1</v>
      </c>
      <c r="M170" s="25">
        <f>IF($F170="unclassified","N/A",(_xlfn.XLOOKUP($E170,Sheet2!$A:$A,Sheet2!V:V,"N/A",0,1)))</f>
        <v>1</v>
      </c>
      <c r="N170" s="25"/>
      <c r="O170" s="25">
        <f>IF($F170="unclassified","N/A",(_xlfn.XLOOKUP($E170,Sheet2!$A:$A,Sheet2!W:W,"N/A",0,1)))</f>
        <v>1</v>
      </c>
      <c r="P170" s="25">
        <f>IF($F170="unclassified","N/A",(_xlfn.XLOOKUP($E170,Sheet2!$A:$A,Sheet2!X:X,"N/A",0,1)))</f>
        <v>1</v>
      </c>
      <c r="Q170" s="25">
        <f>IF($F170="unclassified","N/A",(_xlfn.XLOOKUP($E170,Sheet2!$A:$A,Sheet2!Y:Y,"N/A",0,1)))</f>
        <v>1</v>
      </c>
      <c r="R170" s="25">
        <f>IF($F170="unclassified","N/A",(_xlfn.XLOOKUP($E170,Sheet2!$A:$A,Sheet2!Z:Z,"N/A",0,1)))</f>
        <v>1</v>
      </c>
      <c r="S170" s="25">
        <f>IF($F170="unclassified","N/A",(_xlfn.XLOOKUP($E170,Sheet2!$A:$A,Sheet2!AA:AA,"N/A",0,1)))</f>
        <v>1</v>
      </c>
      <c r="T170" s="25">
        <f>IF($F170="unclassified","N/A",(_xlfn.XLOOKUP($E170,Sheet2!$A:$A,Sheet2!AB:AB,"N/A",0,1)))</f>
        <v>1</v>
      </c>
      <c r="U170" s="11">
        <f>IF($F170="unclassified","N/A",(AVERAGE(Table3253[[#This Row],[PO nr]:[Delivery Date]])))</f>
        <v>1</v>
      </c>
      <c r="V170" s="84" t="s">
        <v>212</v>
      </c>
      <c r="W170" s="21" t="s">
        <v>213</v>
      </c>
      <c r="X170" s="21"/>
      <c r="Y170" s="21"/>
      <c r="Z170" s="21"/>
    </row>
    <row r="171" spans="4:26" ht="15" customHeight="1" x14ac:dyDescent="0.3">
      <c r="D171" s="30" t="str">
        <f>_xlfn.XLOOKUP(Table3253[[#This Row],[File Name]],'Analyse 2 Detail 02-03'!A:A,'Analyse 2 Detail 02-03'!R:R,"Not Found",0,1)</f>
        <v>Medtronic Trading NL BV</v>
      </c>
      <c r="E171" s="2" t="s">
        <v>108</v>
      </c>
      <c r="F171" s="64" t="s">
        <v>9</v>
      </c>
      <c r="G171" s="71">
        <v>7</v>
      </c>
      <c r="H171" s="25">
        <v>1</v>
      </c>
      <c r="I171" s="25">
        <f>IF($F171="unclassified","N/A",(_xlfn.XLOOKUP($E171,Sheet2!$A:$A,Sheet2!R:R,"N/A",0,1)))</f>
        <v>1</v>
      </c>
      <c r="J171" s="25">
        <f>IF($F171="unclassified","N/A",(_xlfn.XLOOKUP($E171,Sheet2!$A:$A,Sheet2!S:S,"N/A",0,1)))</f>
        <v>1</v>
      </c>
      <c r="K171" s="25">
        <f>IF($F171="unclassified","N/A",(_xlfn.XLOOKUP($E171,Sheet2!$A:$A,Sheet2!T:T,"N/A",0,1)))</f>
        <v>1</v>
      </c>
      <c r="L171" s="25">
        <f>IF($F171="unclassified","N/A",(_xlfn.XLOOKUP($E171,Sheet2!$A:$A,Sheet2!U:U,"N/A",0,1)))</f>
        <v>1</v>
      </c>
      <c r="M171" s="25">
        <f>IF($F171="unclassified","N/A",(_xlfn.XLOOKUP($E171,Sheet2!$A:$A,Sheet2!V:V,"N/A",0,1)))</f>
        <v>1</v>
      </c>
      <c r="N171" s="25"/>
      <c r="O171" s="25">
        <f>IF($F171="unclassified","N/A",(_xlfn.XLOOKUP($E171,Sheet2!$A:$A,Sheet2!W:W,"N/A",0,1)))</f>
        <v>1</v>
      </c>
      <c r="P171" s="25">
        <f>IF($F171="unclassified","N/A",(_xlfn.XLOOKUP($E171,Sheet2!$A:$A,Sheet2!X:X,"N/A",0,1)))</f>
        <v>1</v>
      </c>
      <c r="Q171" s="25">
        <f>IF($F171="unclassified","N/A",(_xlfn.XLOOKUP($E171,Sheet2!$A:$A,Sheet2!Y:Y,"N/A",0,1)))</f>
        <v>1</v>
      </c>
      <c r="R171" s="25">
        <f>IF($F171="unclassified","N/A",(_xlfn.XLOOKUP($E171,Sheet2!$A:$A,Sheet2!Z:Z,"N/A",0,1)))</f>
        <v>1</v>
      </c>
      <c r="S171" s="25">
        <f>IF($F171="unclassified","N/A",(_xlfn.XLOOKUP($E171,Sheet2!$A:$A,Sheet2!AA:AA,"N/A",0,1)))</f>
        <v>1</v>
      </c>
      <c r="T171" s="25">
        <v>1</v>
      </c>
      <c r="U171" s="11">
        <f>IF($F171="unclassified","N/A",(AVERAGE(Table3253[[#This Row],[PO nr]:[Delivery Date]])))</f>
        <v>1</v>
      </c>
      <c r="V171" s="84" t="s">
        <v>2369</v>
      </c>
      <c r="W171" s="21" t="s">
        <v>213</v>
      </c>
      <c r="X171" s="21"/>
      <c r="Y171" s="21"/>
      <c r="Z171" s="21"/>
    </row>
    <row r="172" spans="4:26" ht="15" customHeight="1" x14ac:dyDescent="0.3">
      <c r="D172" s="30" t="str">
        <f>_xlfn.XLOOKUP(Table3253[[#This Row],[File Name]],'Analyse 2 Detail 02-03'!A:A,'Analyse 2 Detail 02-03'!R:R,"Not Found",0,1)</f>
        <v>Medtronic Trading NL BV</v>
      </c>
      <c r="E172" s="2" t="s">
        <v>130</v>
      </c>
      <c r="F172" s="64" t="s">
        <v>9</v>
      </c>
      <c r="G172" s="71">
        <v>1</v>
      </c>
      <c r="H172" s="25">
        <v>1</v>
      </c>
      <c r="I172" s="25">
        <f>IF($F172="unclassified","N/A",(_xlfn.XLOOKUP($E172,Sheet2!$A:$A,Sheet2!R:R,"N/A",0,1)))</f>
        <v>1</v>
      </c>
      <c r="J172" s="25">
        <f>IF($F172="unclassified","N/A",(_xlfn.XLOOKUP($E172,Sheet2!$A:$A,Sheet2!S:S,"N/A",0,1)))</f>
        <v>1</v>
      </c>
      <c r="K172" s="25">
        <f>IF($F172="unclassified","N/A",(_xlfn.XLOOKUP($E172,Sheet2!$A:$A,Sheet2!T:T,"N/A",0,1)))</f>
        <v>1</v>
      </c>
      <c r="L172" s="25">
        <f>IF($F172="unclassified","N/A",(_xlfn.XLOOKUP($E172,Sheet2!$A:$A,Sheet2!U:U,"N/A",0,1)))</f>
        <v>1</v>
      </c>
      <c r="M172" s="25">
        <f>IF($F172="unclassified","N/A",(_xlfn.XLOOKUP($E172,Sheet2!$A:$A,Sheet2!V:V,"N/A",0,1)))</f>
        <v>1</v>
      </c>
      <c r="N172" s="25"/>
      <c r="O172" s="25">
        <f>IF($F172="unclassified","N/A",(_xlfn.XLOOKUP($E172,Sheet2!$A:$A,Sheet2!W:W,"N/A",0,1)))</f>
        <v>1</v>
      </c>
      <c r="P172" s="25">
        <f>IF($F172="unclassified","N/A",(_xlfn.XLOOKUP($E172,Sheet2!$A:$A,Sheet2!X:X,"N/A",0,1)))</f>
        <v>1</v>
      </c>
      <c r="Q172" s="25">
        <f>IF($F172="unclassified","N/A",(_xlfn.XLOOKUP($E172,Sheet2!$A:$A,Sheet2!Y:Y,"N/A",0,1)))</f>
        <v>1</v>
      </c>
      <c r="R172" s="25">
        <f>IF($F172="unclassified","N/A",(_xlfn.XLOOKUP($E172,Sheet2!$A:$A,Sheet2!Z:Z,"N/A",0,1)))</f>
        <v>1</v>
      </c>
      <c r="S172" s="25">
        <f>IF($F172="unclassified","N/A",(_xlfn.XLOOKUP($E172,Sheet2!$A:$A,Sheet2!AA:AA,"N/A",0,1)))</f>
        <v>1</v>
      </c>
      <c r="T172" s="25">
        <f>IF($F172="unclassified","N/A",(_xlfn.XLOOKUP($E172,Sheet2!$A:$A,Sheet2!AB:AB,"N/A",0,1)))</f>
        <v>1</v>
      </c>
      <c r="U172" s="11">
        <f>IF($F172="unclassified","N/A",(AVERAGE(Table3253[[#This Row],[PO nr]:[Delivery Date]])))</f>
        <v>1</v>
      </c>
      <c r="V172" s="84" t="s">
        <v>212</v>
      </c>
      <c r="W172" s="21" t="s">
        <v>213</v>
      </c>
      <c r="X172" s="21"/>
      <c r="Y172" s="21"/>
      <c r="Z172" s="21"/>
    </row>
    <row r="173" spans="4:26" ht="15" customHeight="1" x14ac:dyDescent="0.3">
      <c r="D173" s="30" t="str">
        <f>_xlfn.XLOOKUP(Table3253[[#This Row],[File Name]],'Analyse 2 Detail 02-03'!A:A,'Analyse 2 Detail 02-03'!R:R,"Not Found",0,1)</f>
        <v>Fresenius Kabi nv/sa</v>
      </c>
      <c r="E173" s="2" t="s">
        <v>156</v>
      </c>
      <c r="F173" s="64" t="s">
        <v>9</v>
      </c>
      <c r="G173" s="71">
        <v>0</v>
      </c>
      <c r="H173" s="25">
        <f>IF($F173="unclassified","N/A",(_xlfn.XLOOKUP($E173,Sheet2!$A:$A,Sheet2!Q:Q,"N/A",0,1)))</f>
        <v>1</v>
      </c>
      <c r="I173" s="25">
        <f>IF($F173="unclassified","N/A",(_xlfn.XLOOKUP($E173,Sheet2!$A:$A,Sheet2!R:R,"N/A",0,1)))</f>
        <v>1</v>
      </c>
      <c r="J173" s="25">
        <f>IF($F173="unclassified","N/A",(_xlfn.XLOOKUP($E173,Sheet2!$A:$A,Sheet2!S:S,"N/A",0,1)))</f>
        <v>1</v>
      </c>
      <c r="K173" s="25">
        <f>IF($F173="unclassified","N/A",(_xlfn.XLOOKUP($E173,Sheet2!$A:$A,Sheet2!T:T,"N/A",0,1)))</f>
        <v>1</v>
      </c>
      <c r="L173" s="25">
        <f>IF($F173="unclassified","N/A",(_xlfn.XLOOKUP($E173,Sheet2!$A:$A,Sheet2!U:U,"N/A",0,1)))</f>
        <v>1</v>
      </c>
      <c r="M173" s="25">
        <f>IF($F173="unclassified","N/A",(_xlfn.XLOOKUP($E173,Sheet2!$A:$A,Sheet2!V:V,"N/A",0,1)))</f>
        <v>1</v>
      </c>
      <c r="N173" s="25"/>
      <c r="O173" s="25">
        <f>IF($F173="unclassified","N/A",(_xlfn.XLOOKUP($E173,Sheet2!$A:$A,Sheet2!W:W,"N/A",0,1)))</f>
        <v>1</v>
      </c>
      <c r="P173" s="25">
        <f>IF($F173="unclassified","N/A",(_xlfn.XLOOKUP($E173,Sheet2!$A:$A,Sheet2!X:X,"N/A",0,1)))</f>
        <v>1</v>
      </c>
      <c r="Q173" s="25">
        <f>IF($F173="unclassified","N/A",(_xlfn.XLOOKUP($E173,Sheet2!$A:$A,Sheet2!Y:Y,"N/A",0,1)))</f>
        <v>1</v>
      </c>
      <c r="R173" s="25">
        <f>IF($F173="unclassified","N/A",(_xlfn.XLOOKUP($E173,Sheet2!$A:$A,Sheet2!Z:Z,"N/A",0,1)))</f>
        <v>1</v>
      </c>
      <c r="S173" s="25">
        <f>IF($F173="unclassified","N/A",(_xlfn.XLOOKUP($E173,Sheet2!$A:$A,Sheet2!AA:AA,"N/A",0,1)))</f>
        <v>1</v>
      </c>
      <c r="T173" s="25">
        <f>IF($F173="unclassified","N/A",(_xlfn.XLOOKUP($E173,Sheet2!$A:$A,Sheet2!AB:AB,"N/A",0,1)))</f>
        <v>1</v>
      </c>
      <c r="U173" s="11">
        <f>IF($F173="unclassified","N/A",(AVERAGE(Table3253[[#This Row],[PO nr]:[Delivery Date]])))</f>
        <v>1</v>
      </c>
      <c r="V173" s="21"/>
      <c r="W173" s="21"/>
      <c r="X173" s="21"/>
      <c r="Y173" s="21"/>
      <c r="Z173" s="21"/>
    </row>
    <row r="174" spans="4:26" ht="15" customHeight="1" x14ac:dyDescent="0.3">
      <c r="D174" s="30" t="str">
        <f>_xlfn.XLOOKUP(Table3253[[#This Row],[File Name]],'Analyse 2 Detail 02-03'!A:A,'Analyse 2 Detail 02-03'!R:R,"Not Found",0,1)</f>
        <v>Fresenius Kabi Nederland B.V.</v>
      </c>
      <c r="E174" s="2" t="s">
        <v>153</v>
      </c>
      <c r="F174" s="64" t="s">
        <v>9</v>
      </c>
      <c r="G174" s="71">
        <v>0</v>
      </c>
      <c r="H174" s="25">
        <f>IF($F174="unclassified","N/A",(_xlfn.XLOOKUP($E174,Sheet2!$A:$A,Sheet2!Q:Q,"N/A",0,1)))</f>
        <v>1</v>
      </c>
      <c r="I174" s="25">
        <f>IF($F174="unclassified","N/A",(_xlfn.XLOOKUP($E174,Sheet2!$A:$A,Sheet2!R:R,"N/A",0,1)))</f>
        <v>1</v>
      </c>
      <c r="J174" s="25">
        <f>IF($F174="unclassified","N/A",(_xlfn.XLOOKUP($E174,Sheet2!$A:$A,Sheet2!S:S,"N/A",0,1)))</f>
        <v>1</v>
      </c>
      <c r="K174" s="25">
        <f>IF($F174="unclassified","N/A",(_xlfn.XLOOKUP($E174,Sheet2!$A:$A,Sheet2!T:T,"N/A",0,1)))</f>
        <v>1</v>
      </c>
      <c r="L174" s="25">
        <f>IF($F174="unclassified","N/A",(_xlfn.XLOOKUP($E174,Sheet2!$A:$A,Sheet2!U:U,"N/A",0,1)))</f>
        <v>1</v>
      </c>
      <c r="M174" s="25">
        <f>IF($F174="unclassified","N/A",(_xlfn.XLOOKUP($E174,Sheet2!$A:$A,Sheet2!V:V,"N/A",0,1)))</f>
        <v>1</v>
      </c>
      <c r="N174" s="25"/>
      <c r="O174" s="25">
        <f>IF($F174="unclassified","N/A",(_xlfn.XLOOKUP($E174,Sheet2!$A:$A,Sheet2!W:W,"N/A",0,1)))</f>
        <v>1</v>
      </c>
      <c r="P174" s="25">
        <f>IF($F174="unclassified","N/A",(_xlfn.XLOOKUP($E174,Sheet2!$A:$A,Sheet2!X:X,"N/A",0,1)))</f>
        <v>1</v>
      </c>
      <c r="Q174" s="25">
        <f>IF($F174="unclassified","N/A",(_xlfn.XLOOKUP($E174,Sheet2!$A:$A,Sheet2!Y:Y,"N/A",0,1)))</f>
        <v>1</v>
      </c>
      <c r="R174" s="25">
        <f>IF($F174="unclassified","N/A",(_xlfn.XLOOKUP($E174,Sheet2!$A:$A,Sheet2!Z:Z,"N/A",0,1)))</f>
        <v>1</v>
      </c>
      <c r="S174" s="25">
        <f>IF($F174="unclassified","N/A",(_xlfn.XLOOKUP($E174,Sheet2!$A:$A,Sheet2!AA:AA,"N/A",0,1)))</f>
        <v>1</v>
      </c>
      <c r="T174" s="25">
        <f>IF($F174="unclassified","N/A",(_xlfn.XLOOKUP($E174,Sheet2!$A:$A,Sheet2!AB:AB,"N/A",0,1)))</f>
        <v>1</v>
      </c>
      <c r="U174" s="11">
        <f>IF($F174="unclassified","N/A",(AVERAGE(Table3253[[#This Row],[PO nr]:[Delivery Date]])))</f>
        <v>1</v>
      </c>
      <c r="V174" s="21"/>
      <c r="W174" s="21"/>
      <c r="X174" s="21"/>
      <c r="Y174" s="21"/>
      <c r="Z174" s="21"/>
    </row>
    <row r="175" spans="4:26" ht="15" customHeight="1" x14ac:dyDescent="0.3">
      <c r="D175" s="30" t="str">
        <f>_xlfn.XLOOKUP(Table3253[[#This Row],[File Name]],'Analyse 2 Detail 02-03'!A:A,'Analyse 2 Detail 02-03'!R:R,"Not Found",0,1)</f>
        <v>Fresenius Kabi Nederland B.V.</v>
      </c>
      <c r="E175" s="2" t="s">
        <v>153</v>
      </c>
      <c r="F175" s="64" t="s">
        <v>9</v>
      </c>
      <c r="G175" s="71">
        <v>0</v>
      </c>
      <c r="H175" s="25">
        <f>IF($F175="unclassified","N/A",(_xlfn.XLOOKUP($E175,Sheet2!$A:$A,Sheet2!Q:Q,"N/A",0,1)))</f>
        <v>1</v>
      </c>
      <c r="I175" s="25">
        <f>IF($F175="unclassified","N/A",(_xlfn.XLOOKUP($E175,Sheet2!$A:$A,Sheet2!R:R,"N/A",0,1)))</f>
        <v>1</v>
      </c>
      <c r="J175" s="25">
        <f>IF($F175="unclassified","N/A",(_xlfn.XLOOKUP($E175,Sheet2!$A:$A,Sheet2!S:S,"N/A",0,1)))</f>
        <v>1</v>
      </c>
      <c r="K175" s="25">
        <f>IF($F175="unclassified","N/A",(_xlfn.XLOOKUP($E175,Sheet2!$A:$A,Sheet2!T:T,"N/A",0,1)))</f>
        <v>1</v>
      </c>
      <c r="L175" s="25">
        <f>IF($F175="unclassified","N/A",(_xlfn.XLOOKUP($E175,Sheet2!$A:$A,Sheet2!U:U,"N/A",0,1)))</f>
        <v>1</v>
      </c>
      <c r="M175" s="25">
        <f>IF($F175="unclassified","N/A",(_xlfn.XLOOKUP($E175,Sheet2!$A:$A,Sheet2!V:V,"N/A",0,1)))</f>
        <v>1</v>
      </c>
      <c r="N175" s="25"/>
      <c r="O175" s="25">
        <f>IF($F175="unclassified","N/A",(_xlfn.XLOOKUP($E175,Sheet2!$A:$A,Sheet2!W:W,"N/A",0,1)))</f>
        <v>1</v>
      </c>
      <c r="P175" s="25">
        <f>IF($F175="unclassified","N/A",(_xlfn.XLOOKUP($E175,Sheet2!$A:$A,Sheet2!X:X,"N/A",0,1)))</f>
        <v>1</v>
      </c>
      <c r="Q175" s="25">
        <f>IF($F175="unclassified","N/A",(_xlfn.XLOOKUP($E175,Sheet2!$A:$A,Sheet2!Y:Y,"N/A",0,1)))</f>
        <v>1</v>
      </c>
      <c r="R175" s="25">
        <f>IF($F175="unclassified","N/A",(_xlfn.XLOOKUP($E175,Sheet2!$A:$A,Sheet2!Z:Z,"N/A",0,1)))</f>
        <v>1</v>
      </c>
      <c r="S175" s="25">
        <f>IF($F175="unclassified","N/A",(_xlfn.XLOOKUP($E175,Sheet2!$A:$A,Sheet2!AA:AA,"N/A",0,1)))</f>
        <v>1</v>
      </c>
      <c r="T175" s="25">
        <f>IF($F175="unclassified","N/A",(_xlfn.XLOOKUP($E175,Sheet2!$A:$A,Sheet2!AB:AB,"N/A",0,1)))</f>
        <v>1</v>
      </c>
      <c r="U175" s="11">
        <f>IF($F175="unclassified","N/A",(AVERAGE(Table3253[[#This Row],[PO nr]:[Delivery Date]])))</f>
        <v>1</v>
      </c>
      <c r="V175" s="21"/>
      <c r="W175" s="21"/>
      <c r="X175" s="21"/>
      <c r="Y175" s="21"/>
      <c r="Z175" s="21"/>
    </row>
    <row r="176" spans="4:26" ht="15" customHeight="1" x14ac:dyDescent="0.3">
      <c r="D176" s="30" t="str">
        <f>_xlfn.XLOOKUP(Table3253[[#This Row],[File Name]],'Analyse 2 Detail 02-03'!A:A,'Analyse 2 Detail 02-03'!R:R,"Not Found",0,1)</f>
        <v>Duomed Belgium NV/SA</v>
      </c>
      <c r="E176" s="2" t="s">
        <v>188</v>
      </c>
      <c r="F176" s="64" t="s">
        <v>9</v>
      </c>
      <c r="G176" s="71">
        <v>0</v>
      </c>
      <c r="H176" s="25">
        <f>IF($F176="unclassified","N/A",(_xlfn.XLOOKUP($E176,Sheet2!$A:$A,Sheet2!Q:Q,"N/A",0,1)))</f>
        <v>1</v>
      </c>
      <c r="I176" s="25">
        <f>IF($F176="unclassified","N/A",(_xlfn.XLOOKUP($E176,Sheet2!$A:$A,Sheet2!R:R,"N/A",0,1)))</f>
        <v>1</v>
      </c>
      <c r="J176" s="25">
        <f>IF($F176="unclassified","N/A",(_xlfn.XLOOKUP($E176,Sheet2!$A:$A,Sheet2!S:S,"N/A",0,1)))</f>
        <v>1</v>
      </c>
      <c r="K176" s="25">
        <f>IF($F176="unclassified","N/A",(_xlfn.XLOOKUP($E176,Sheet2!$A:$A,Sheet2!T:T,"N/A",0,1)))</f>
        <v>1</v>
      </c>
      <c r="L176" s="25">
        <f>IF($F176="unclassified","N/A",(_xlfn.XLOOKUP($E176,Sheet2!$A:$A,Sheet2!U:U,"N/A",0,1)))</f>
        <v>1</v>
      </c>
      <c r="M176" s="25">
        <f>IF($F176="unclassified","N/A",(_xlfn.XLOOKUP($E176,Sheet2!$A:$A,Sheet2!V:V,"N/A",0,1)))</f>
        <v>1</v>
      </c>
      <c r="N176" s="25"/>
      <c r="O176" s="25">
        <f>IF($F176="unclassified","N/A",(_xlfn.XLOOKUP($E176,Sheet2!$A:$A,Sheet2!W:W,"N/A",0,1)))</f>
        <v>1</v>
      </c>
      <c r="P176" s="25">
        <f>IF($F176="unclassified","N/A",(_xlfn.XLOOKUP($E176,Sheet2!$A:$A,Sheet2!X:X,"N/A",0,1)))</f>
        <v>1</v>
      </c>
      <c r="Q176" s="25">
        <f>IF($F176="unclassified","N/A",(_xlfn.XLOOKUP($E176,Sheet2!$A:$A,Sheet2!Y:Y,"N/A",0,1)))</f>
        <v>1</v>
      </c>
      <c r="R176" s="25">
        <f>IF($F176="unclassified","N/A",(_xlfn.XLOOKUP($E176,Sheet2!$A:$A,Sheet2!Z:Z,"N/A",0,1)))</f>
        <v>1</v>
      </c>
      <c r="S176" s="25">
        <f>IF($F176="unclassified","N/A",(_xlfn.XLOOKUP($E176,Sheet2!$A:$A,Sheet2!AA:AA,"N/A",0,1)))</f>
        <v>1</v>
      </c>
      <c r="T176" s="25">
        <f>IF($F176="unclassified","N/A",(_xlfn.XLOOKUP($E176,Sheet2!$A:$A,Sheet2!AB:AB,"N/A",0,1)))</f>
        <v>1</v>
      </c>
      <c r="U176" s="11">
        <f>IF($F176="unclassified","N/A",(AVERAGE(Table3253[[#This Row],[PO nr]:[Delivery Date]])))</f>
        <v>1</v>
      </c>
      <c r="V176" s="21"/>
      <c r="W176" s="21"/>
      <c r="X176" s="21"/>
      <c r="Y176" s="21"/>
      <c r="Z176" s="21"/>
    </row>
    <row r="177" spans="4:26" ht="15" customHeight="1" x14ac:dyDescent="0.3">
      <c r="D177" s="30" t="str">
        <f>_xlfn.XLOOKUP(Table3253[[#This Row],[File Name]],'Analyse 2 Detail 02-03'!A:A,'Analyse 2 Detail 02-03'!R:R,"Not Found",0,1)</f>
        <v>Duomed Belgium NV/SA</v>
      </c>
      <c r="E177" s="2" t="s">
        <v>135</v>
      </c>
      <c r="F177" s="64" t="s">
        <v>9</v>
      </c>
      <c r="G177" s="71">
        <v>0</v>
      </c>
      <c r="H177" s="25">
        <f>IF($F177="unclassified","N/A",(_xlfn.XLOOKUP($E177,Sheet2!$A:$A,Sheet2!Q:Q,"N/A",0,1)))</f>
        <v>1</v>
      </c>
      <c r="I177" s="25">
        <f>IF($F177="unclassified","N/A",(_xlfn.XLOOKUP($E177,Sheet2!$A:$A,Sheet2!R:R,"N/A",0,1)))</f>
        <v>1</v>
      </c>
      <c r="J177" s="25">
        <f>IF($F177="unclassified","N/A",(_xlfn.XLOOKUP($E177,Sheet2!$A:$A,Sheet2!S:S,"N/A",0,1)))</f>
        <v>1</v>
      </c>
      <c r="K177" s="25">
        <f>IF($F177="unclassified","N/A",(_xlfn.XLOOKUP($E177,Sheet2!$A:$A,Sheet2!T:T,"N/A",0,1)))</f>
        <v>1</v>
      </c>
      <c r="L177" s="25">
        <f>IF($F177="unclassified","N/A",(_xlfn.XLOOKUP($E177,Sheet2!$A:$A,Sheet2!U:U,"N/A",0,1)))</f>
        <v>1</v>
      </c>
      <c r="M177" s="25">
        <f>IF($F177="unclassified","N/A",(_xlfn.XLOOKUP($E177,Sheet2!$A:$A,Sheet2!V:V,"N/A",0,1)))</f>
        <v>1</v>
      </c>
      <c r="N177" s="25"/>
      <c r="O177" s="25">
        <f>IF($F177="unclassified","N/A",(_xlfn.XLOOKUP($E177,Sheet2!$A:$A,Sheet2!W:W,"N/A",0,1)))</f>
        <v>1</v>
      </c>
      <c r="P177" s="25">
        <f>IF($F177="unclassified","N/A",(_xlfn.XLOOKUP($E177,Sheet2!$A:$A,Sheet2!X:X,"N/A",0,1)))</f>
        <v>1</v>
      </c>
      <c r="Q177" s="25">
        <f>IF($F177="unclassified","N/A",(_xlfn.XLOOKUP($E177,Sheet2!$A:$A,Sheet2!Y:Y,"N/A",0,1)))</f>
        <v>1</v>
      </c>
      <c r="R177" s="25">
        <f>IF($F177="unclassified","N/A",(_xlfn.XLOOKUP($E177,Sheet2!$A:$A,Sheet2!Z:Z,"N/A",0,1)))</f>
        <v>1</v>
      </c>
      <c r="S177" s="25">
        <f>IF($F177="unclassified","N/A",(_xlfn.XLOOKUP($E177,Sheet2!$A:$A,Sheet2!AA:AA,"N/A",0,1)))</f>
        <v>1</v>
      </c>
      <c r="T177" s="25">
        <f>IF($F177="unclassified","N/A",(_xlfn.XLOOKUP($E177,Sheet2!$A:$A,Sheet2!AB:AB,"N/A",0,1)))</f>
        <v>1</v>
      </c>
      <c r="U177" s="11">
        <f>IF($F177="unclassified","N/A",(AVERAGE(Table3253[[#This Row],[PO nr]:[Delivery Date]])))</f>
        <v>1</v>
      </c>
      <c r="V177" s="21"/>
      <c r="W177" s="21"/>
      <c r="X177" s="21"/>
      <c r="Y177" s="21"/>
      <c r="Z177" s="21"/>
    </row>
    <row r="178" spans="4:26" ht="15" customHeight="1" x14ac:dyDescent="0.3">
      <c r="D178" s="30" t="str">
        <f>_xlfn.XLOOKUP(Table3253[[#This Row],[File Name]],'Analyse 2 Detail 02-03'!A:A,'Analyse 2 Detail 02-03'!R:R,"Not Found",0,1)</f>
        <v>Duomed Belgium NV/SA</v>
      </c>
      <c r="E178" s="2" t="s">
        <v>104</v>
      </c>
      <c r="F178" s="64" t="s">
        <v>9</v>
      </c>
      <c r="G178" s="71">
        <v>0</v>
      </c>
      <c r="H178" s="25">
        <f>IF($F178="unclassified","N/A",(_xlfn.XLOOKUP($E178,Sheet2!$A:$A,Sheet2!Q:Q,"N/A",0,1)))</f>
        <v>1</v>
      </c>
      <c r="I178" s="25">
        <f>IF($F178="unclassified","N/A",(_xlfn.XLOOKUP($E178,Sheet2!$A:$A,Sheet2!R:R,"N/A",0,1)))</f>
        <v>1</v>
      </c>
      <c r="J178" s="25">
        <f>IF($F178="unclassified","N/A",(_xlfn.XLOOKUP($E178,Sheet2!$A:$A,Sheet2!S:S,"N/A",0,1)))</f>
        <v>1</v>
      </c>
      <c r="K178" s="25">
        <f>IF($F178="unclassified","N/A",(_xlfn.XLOOKUP($E178,Sheet2!$A:$A,Sheet2!T:T,"N/A",0,1)))</f>
        <v>1</v>
      </c>
      <c r="L178" s="25">
        <f>IF($F178="unclassified","N/A",(_xlfn.XLOOKUP($E178,Sheet2!$A:$A,Sheet2!U:U,"N/A",0,1)))</f>
        <v>1</v>
      </c>
      <c r="M178" s="25">
        <f>IF($F178="unclassified","N/A",(_xlfn.XLOOKUP($E178,Sheet2!$A:$A,Sheet2!V:V,"N/A",0,1)))</f>
        <v>1</v>
      </c>
      <c r="N178" s="25"/>
      <c r="O178" s="25">
        <f>IF($F178="unclassified","N/A",(_xlfn.XLOOKUP($E178,Sheet2!$A:$A,Sheet2!W:W,"N/A",0,1)))</f>
        <v>1</v>
      </c>
      <c r="P178" s="25">
        <f>IF($F178="unclassified","N/A",(_xlfn.XLOOKUP($E178,Sheet2!$A:$A,Sheet2!X:X,"N/A",0,1)))</f>
        <v>1</v>
      </c>
      <c r="Q178" s="25">
        <f>IF($F178="unclassified","N/A",(_xlfn.XLOOKUP($E178,Sheet2!$A:$A,Sheet2!Y:Y,"N/A",0,1)))</f>
        <v>1</v>
      </c>
      <c r="R178" s="25">
        <f>IF($F178="unclassified","N/A",(_xlfn.XLOOKUP($E178,Sheet2!$A:$A,Sheet2!Z:Z,"N/A",0,1)))</f>
        <v>1</v>
      </c>
      <c r="S178" s="25">
        <f>IF($F178="unclassified","N/A",(_xlfn.XLOOKUP($E178,Sheet2!$A:$A,Sheet2!AA:AA,"N/A",0,1)))</f>
        <v>1</v>
      </c>
      <c r="T178" s="25">
        <f>IF($F178="unclassified","N/A",(_xlfn.XLOOKUP($E178,Sheet2!$A:$A,Sheet2!AB:AB,"N/A",0,1)))</f>
        <v>1</v>
      </c>
      <c r="U178" s="11">
        <f>IF($F178="unclassified","N/A",(AVERAGE(Table3253[[#This Row],[PO nr]:[Delivery Date]])))</f>
        <v>1</v>
      </c>
      <c r="V178" s="21"/>
      <c r="W178" s="21"/>
      <c r="X178" s="21"/>
      <c r="Y178" s="21"/>
      <c r="Z178" s="21"/>
    </row>
    <row r="179" spans="4:26" ht="15" customHeight="1" x14ac:dyDescent="0.3">
      <c r="D179" s="30" t="str">
        <f>_xlfn.XLOOKUP(Table3253[[#This Row],[File Name]],'Analyse 2 Detail 02-03'!A:A,'Analyse 2 Detail 02-03'!R:R,"Not Found",0,1)</f>
        <v>Duomed Belgium NV/SA</v>
      </c>
      <c r="E179" s="2" t="s">
        <v>183</v>
      </c>
      <c r="F179" s="64" t="s">
        <v>9</v>
      </c>
      <c r="G179" s="71">
        <v>0</v>
      </c>
      <c r="H179" s="25">
        <f>IF($F179="unclassified","N/A",(_xlfn.XLOOKUP($E179,Sheet2!$A:$A,Sheet2!Q:Q,"N/A",0,1)))</f>
        <v>1</v>
      </c>
      <c r="I179" s="25">
        <f>IF($F179="unclassified","N/A",(_xlfn.XLOOKUP($E179,Sheet2!$A:$A,Sheet2!R:R,"N/A",0,1)))</f>
        <v>1</v>
      </c>
      <c r="J179" s="25">
        <f>IF($F179="unclassified","N/A",(_xlfn.XLOOKUP($E179,Sheet2!$A:$A,Sheet2!S:S,"N/A",0,1)))</f>
        <v>1</v>
      </c>
      <c r="K179" s="25">
        <f>IF($F179="unclassified","N/A",(_xlfn.XLOOKUP($E179,Sheet2!$A:$A,Sheet2!T:T,"N/A",0,1)))</f>
        <v>1</v>
      </c>
      <c r="L179" s="25">
        <f>IF($F179="unclassified","N/A",(_xlfn.XLOOKUP($E179,Sheet2!$A:$A,Sheet2!U:U,"N/A",0,1)))</f>
        <v>1</v>
      </c>
      <c r="M179" s="25">
        <f>IF($F179="unclassified","N/A",(_xlfn.XLOOKUP($E179,Sheet2!$A:$A,Sheet2!V:V,"N/A",0,1)))</f>
        <v>1</v>
      </c>
      <c r="N179" s="25"/>
      <c r="O179" s="25">
        <f>IF($F179="unclassified","N/A",(_xlfn.XLOOKUP($E179,Sheet2!$A:$A,Sheet2!W:W,"N/A",0,1)))</f>
        <v>1</v>
      </c>
      <c r="P179" s="25">
        <f>IF($F179="unclassified","N/A",(_xlfn.XLOOKUP($E179,Sheet2!$A:$A,Sheet2!X:X,"N/A",0,1)))</f>
        <v>1</v>
      </c>
      <c r="Q179" s="25">
        <f>IF($F179="unclassified","N/A",(_xlfn.XLOOKUP($E179,Sheet2!$A:$A,Sheet2!Y:Y,"N/A",0,1)))</f>
        <v>1</v>
      </c>
      <c r="R179" s="25">
        <f>IF($F179="unclassified","N/A",(_xlfn.XLOOKUP($E179,Sheet2!$A:$A,Sheet2!Z:Z,"N/A",0,1)))</f>
        <v>1</v>
      </c>
      <c r="S179" s="25">
        <f>IF($F179="unclassified","N/A",(_xlfn.XLOOKUP($E179,Sheet2!$A:$A,Sheet2!AA:AA,"N/A",0,1)))</f>
        <v>1</v>
      </c>
      <c r="T179" s="25">
        <f>IF($F179="unclassified","N/A",(_xlfn.XLOOKUP($E179,Sheet2!$A:$A,Sheet2!AB:AB,"N/A",0,1)))</f>
        <v>1</v>
      </c>
      <c r="U179" s="11">
        <f>IF($F179="unclassified","N/A",(AVERAGE(Table3253[[#This Row],[PO nr]:[Delivery Date]])))</f>
        <v>1</v>
      </c>
      <c r="V179" s="21"/>
      <c r="W179" s="21"/>
      <c r="X179" s="21"/>
      <c r="Y179" s="21"/>
      <c r="Z179" s="21"/>
    </row>
    <row r="180" spans="4:26" ht="15" customHeight="1" x14ac:dyDescent="0.3">
      <c r="D180" s="30" t="str">
        <f>_xlfn.XLOOKUP(Table3253[[#This Row],[File Name]],'Analyse 2 Detail 02-03'!A:A,'Analyse 2 Detail 02-03'!R:R,"Not Found",0,1)</f>
        <v>Duomed Belgium NV/SA</v>
      </c>
      <c r="E180" s="2" t="s">
        <v>122</v>
      </c>
      <c r="F180" s="64" t="s">
        <v>9</v>
      </c>
      <c r="G180" s="71">
        <v>0</v>
      </c>
      <c r="H180" s="25">
        <f>IF($F180="unclassified","N/A",(_xlfn.XLOOKUP($E180,Sheet2!$A:$A,Sheet2!Q:Q,"N/A",0,1)))</f>
        <v>1</v>
      </c>
      <c r="I180" s="25">
        <f>IF($F180="unclassified","N/A",(_xlfn.XLOOKUP($E180,Sheet2!$A:$A,Sheet2!R:R,"N/A",0,1)))</f>
        <v>1</v>
      </c>
      <c r="J180" s="25">
        <f>IF($F180="unclassified","N/A",(_xlfn.XLOOKUP($E180,Sheet2!$A:$A,Sheet2!S:S,"N/A",0,1)))</f>
        <v>1</v>
      </c>
      <c r="K180" s="25">
        <f>IF($F180="unclassified","N/A",(_xlfn.XLOOKUP($E180,Sheet2!$A:$A,Sheet2!T:T,"N/A",0,1)))</f>
        <v>1</v>
      </c>
      <c r="L180" s="25">
        <f>IF($F180="unclassified","N/A",(_xlfn.XLOOKUP($E180,Sheet2!$A:$A,Sheet2!U:U,"N/A",0,1)))</f>
        <v>1</v>
      </c>
      <c r="M180" s="25">
        <f>IF($F180="unclassified","N/A",(_xlfn.XLOOKUP($E180,Sheet2!$A:$A,Sheet2!V:V,"N/A",0,1)))</f>
        <v>1</v>
      </c>
      <c r="N180" s="25"/>
      <c r="O180" s="25">
        <f>IF($F180="unclassified","N/A",(_xlfn.XLOOKUP($E180,Sheet2!$A:$A,Sheet2!W:W,"N/A",0,1)))</f>
        <v>1</v>
      </c>
      <c r="P180" s="25">
        <f>IF($F180="unclassified","N/A",(_xlfn.XLOOKUP($E180,Sheet2!$A:$A,Sheet2!X:X,"N/A",0,1)))</f>
        <v>1</v>
      </c>
      <c r="Q180" s="25">
        <f>IF($F180="unclassified","N/A",(_xlfn.XLOOKUP($E180,Sheet2!$A:$A,Sheet2!Y:Y,"N/A",0,1)))</f>
        <v>1</v>
      </c>
      <c r="R180" s="25">
        <f>IF($F180="unclassified","N/A",(_xlfn.XLOOKUP($E180,Sheet2!$A:$A,Sheet2!Z:Z,"N/A",0,1)))</f>
        <v>1</v>
      </c>
      <c r="S180" s="25">
        <f>IF($F180="unclassified","N/A",(_xlfn.XLOOKUP($E180,Sheet2!$A:$A,Sheet2!AA:AA,"N/A",0,1)))</f>
        <v>1</v>
      </c>
      <c r="T180" s="25">
        <f>IF($F180="unclassified","N/A",(_xlfn.XLOOKUP($E180,Sheet2!$A:$A,Sheet2!AB:AB,"N/A",0,1)))</f>
        <v>1</v>
      </c>
      <c r="U180" s="11">
        <f>IF($F180="unclassified","N/A",(AVERAGE(Table3253[[#This Row],[PO nr]:[Delivery Date]])))</f>
        <v>1</v>
      </c>
      <c r="V180" s="21"/>
      <c r="W180" s="21"/>
      <c r="X180" s="21"/>
      <c r="Y180" s="21"/>
      <c r="Z180" s="21"/>
    </row>
    <row r="181" spans="4:26" ht="15" customHeight="1" x14ac:dyDescent="0.3">
      <c r="D181" s="30" t="str">
        <f>_xlfn.XLOOKUP(Table3253[[#This Row],[File Name]],'Analyse 2 Detail 02-03'!A:A,'Analyse 2 Detail 02-03'!R:R,"Not Found",0,1)</f>
        <v>Duomed Belgium NV/SA</v>
      </c>
      <c r="E181" s="2" t="s">
        <v>187</v>
      </c>
      <c r="F181" s="64" t="s">
        <v>9</v>
      </c>
      <c r="G181" s="71">
        <v>0</v>
      </c>
      <c r="H181" s="25">
        <f>IF($F181="unclassified","N/A",(_xlfn.XLOOKUP($E181,Sheet2!$A:$A,Sheet2!Q:Q,"N/A",0,1)))</f>
        <v>1</v>
      </c>
      <c r="I181" s="25">
        <f>IF($F181="unclassified","N/A",(_xlfn.XLOOKUP($E181,Sheet2!$A:$A,Sheet2!R:R,"N/A",0,1)))</f>
        <v>1</v>
      </c>
      <c r="J181" s="25">
        <f>IF($F181="unclassified","N/A",(_xlfn.XLOOKUP($E181,Sheet2!$A:$A,Sheet2!S:S,"N/A",0,1)))</f>
        <v>1</v>
      </c>
      <c r="K181" s="25">
        <f>IF($F181="unclassified","N/A",(_xlfn.XLOOKUP($E181,Sheet2!$A:$A,Sheet2!T:T,"N/A",0,1)))</f>
        <v>1</v>
      </c>
      <c r="L181" s="25">
        <f>IF($F181="unclassified","N/A",(_xlfn.XLOOKUP($E181,Sheet2!$A:$A,Sheet2!U:U,"N/A",0,1)))</f>
        <v>1</v>
      </c>
      <c r="M181" s="25">
        <f>IF($F181="unclassified","N/A",(_xlfn.XLOOKUP($E181,Sheet2!$A:$A,Sheet2!V:V,"N/A",0,1)))</f>
        <v>1</v>
      </c>
      <c r="N181" s="25"/>
      <c r="O181" s="25">
        <f>IF($F181="unclassified","N/A",(_xlfn.XLOOKUP($E181,Sheet2!$A:$A,Sheet2!W:W,"N/A",0,1)))</f>
        <v>1</v>
      </c>
      <c r="P181" s="25">
        <f>IF($F181="unclassified","N/A",(_xlfn.XLOOKUP($E181,Sheet2!$A:$A,Sheet2!X:X,"N/A",0,1)))</f>
        <v>1</v>
      </c>
      <c r="Q181" s="25">
        <f>IF($F181="unclassified","N/A",(_xlfn.XLOOKUP($E181,Sheet2!$A:$A,Sheet2!Y:Y,"N/A",0,1)))</f>
        <v>1</v>
      </c>
      <c r="R181" s="25">
        <f>IF($F181="unclassified","N/A",(_xlfn.XLOOKUP($E181,Sheet2!$A:$A,Sheet2!Z:Z,"N/A",0,1)))</f>
        <v>1</v>
      </c>
      <c r="S181" s="25">
        <f>IF($F181="unclassified","N/A",(_xlfn.XLOOKUP($E181,Sheet2!$A:$A,Sheet2!AA:AA,"N/A",0,1)))</f>
        <v>1</v>
      </c>
      <c r="T181" s="25">
        <f>IF($F181="unclassified","N/A",(_xlfn.XLOOKUP($E181,Sheet2!$A:$A,Sheet2!AB:AB,"N/A",0,1)))</f>
        <v>1</v>
      </c>
      <c r="U181" s="11">
        <f>IF($F181="unclassified","N/A",(AVERAGE(Table3253[[#This Row],[PO nr]:[Delivery Date]])))</f>
        <v>1</v>
      </c>
      <c r="V181" s="21"/>
      <c r="W181" s="21"/>
      <c r="X181" s="21"/>
      <c r="Y181" s="21"/>
      <c r="Z181" s="21"/>
    </row>
    <row r="182" spans="4:26" ht="15" customHeight="1" x14ac:dyDescent="0.3">
      <c r="D182" s="30">
        <f>_xlfn.XLOOKUP(Table3253[[#This Row],[File Name]],'Analyse 2 Detail 02-03'!A:A,'Analyse 2 Detail 02-03'!R:R,"Not Found",0,1)</f>
        <v>0</v>
      </c>
      <c r="E182" s="2" t="s">
        <v>160</v>
      </c>
      <c r="F182" s="64" t="s">
        <v>9</v>
      </c>
      <c r="G182" s="71">
        <v>0</v>
      </c>
      <c r="H182" s="25">
        <v>1</v>
      </c>
      <c r="I182" s="25">
        <v>1</v>
      </c>
      <c r="J182" s="25">
        <v>1</v>
      </c>
      <c r="K182" s="25">
        <v>1</v>
      </c>
      <c r="L182" s="25">
        <v>1</v>
      </c>
      <c r="M182" s="25">
        <v>1</v>
      </c>
      <c r="N182" s="25"/>
      <c r="O182" s="25">
        <v>1</v>
      </c>
      <c r="P182" s="25">
        <v>1</v>
      </c>
      <c r="Q182" s="25">
        <v>1</v>
      </c>
      <c r="R182" s="25">
        <v>1</v>
      </c>
      <c r="S182" s="25">
        <v>1</v>
      </c>
      <c r="T182" s="25">
        <v>1</v>
      </c>
      <c r="U182" s="11">
        <f>IF($F182="unclassified","N/A",(AVERAGE(Table3253[[#This Row],[PO nr]:[Delivery Date]])))</f>
        <v>1</v>
      </c>
      <c r="V182" s="21"/>
      <c r="W182" s="21"/>
      <c r="X182" s="21"/>
      <c r="Y182" s="21"/>
      <c r="Z182" s="21"/>
    </row>
    <row r="183" spans="4:26" ht="15" customHeight="1" x14ac:dyDescent="0.3">
      <c r="D183" s="30" t="str">
        <f>_xlfn.XLOOKUP(Table3253[[#This Row],[File Name]],'Analyse 2 Detail 02-03'!A:A,'Analyse 2 Detail 02-03'!R:R,"Not Found",0,1)</f>
        <v>Medica Europe B.V.</v>
      </c>
      <c r="E183" s="2" t="s">
        <v>109</v>
      </c>
      <c r="F183" s="64" t="s">
        <v>9</v>
      </c>
      <c r="G183" s="71">
        <v>0</v>
      </c>
      <c r="H183" s="25">
        <f>IF($F183="unclassified","N/A",(_xlfn.XLOOKUP($E183,Sheet2!$A:$A,Sheet2!Q:Q,"N/A",0,1)))</f>
        <v>1</v>
      </c>
      <c r="I183" s="25">
        <f>IF($F183="unclassified","N/A",(_xlfn.XLOOKUP($E183,Sheet2!$A:$A,Sheet2!R:R,"N/A",0,1)))</f>
        <v>1</v>
      </c>
      <c r="J183" s="25">
        <f>IF($F183="unclassified","N/A",(_xlfn.XLOOKUP($E183,Sheet2!$A:$A,Sheet2!S:S,"N/A",0,1)))</f>
        <v>1</v>
      </c>
      <c r="K183" s="25">
        <f>IF($F183="unclassified","N/A",(_xlfn.XLOOKUP($E183,Sheet2!$A:$A,Sheet2!T:T,"N/A",0,1)))</f>
        <v>1</v>
      </c>
      <c r="L183" s="25">
        <f>IF($F183="unclassified","N/A",(_xlfn.XLOOKUP($E183,Sheet2!$A:$A,Sheet2!U:U,"N/A",0,1)))</f>
        <v>1</v>
      </c>
      <c r="M183" s="25">
        <f>IF($F183="unclassified","N/A",(_xlfn.XLOOKUP($E183,Sheet2!$A:$A,Sheet2!V:V,"N/A",0,1)))</f>
        <v>1</v>
      </c>
      <c r="N183" s="25"/>
      <c r="O183" s="25">
        <f>IF($F183="unclassified","N/A",(_xlfn.XLOOKUP($E183,Sheet2!$A:$A,Sheet2!W:W,"N/A",0,1)))</f>
        <v>1</v>
      </c>
      <c r="P183" s="25">
        <f>IF($F183="unclassified","N/A",(_xlfn.XLOOKUP($E183,Sheet2!$A:$A,Sheet2!X:X,"N/A",0,1)))</f>
        <v>1</v>
      </c>
      <c r="Q183" s="25">
        <f>IF($F183="unclassified","N/A",(_xlfn.XLOOKUP($E183,Sheet2!$A:$A,Sheet2!Y:Y,"N/A",0,1)))</f>
        <v>1</v>
      </c>
      <c r="R183" s="25">
        <f>IF($F183="unclassified","N/A",(_xlfn.XLOOKUP($E183,Sheet2!$A:$A,Sheet2!Z:Z,"N/A",0,1)))</f>
        <v>1</v>
      </c>
      <c r="S183" s="25">
        <f>IF($F183="unclassified","N/A",(_xlfn.XLOOKUP($E183,Sheet2!$A:$A,Sheet2!AA:AA,"N/A",0,1)))</f>
        <v>1</v>
      </c>
      <c r="T183" s="25">
        <f>IF($F183="unclassified","N/A",(_xlfn.XLOOKUP($E183,Sheet2!$A:$A,Sheet2!AB:AB,"N/A",0,1)))</f>
        <v>1</v>
      </c>
      <c r="U183" s="11">
        <f>IF($F183="unclassified","N/A",(AVERAGE(Table3253[[#This Row],[PO nr]:[Delivery Date]])))</f>
        <v>1</v>
      </c>
      <c r="V183" s="21"/>
      <c r="W183" s="21"/>
      <c r="X183" s="21"/>
      <c r="Y183" s="21"/>
      <c r="Z183" s="21"/>
    </row>
    <row r="184" spans="4:26" ht="15" customHeight="1" x14ac:dyDescent="0.3">
      <c r="D184" s="30" t="str">
        <f>_xlfn.XLOOKUP(Table3253[[#This Row],[File Name]],'Analyse 2 Detail 02-03'!A:A,'Analyse 2 Detail 02-03'!R:R,"Not Found",0,1)</f>
        <v>Medica Europe B.V.</v>
      </c>
      <c r="E184" s="2" t="s">
        <v>109</v>
      </c>
      <c r="F184" s="64" t="s">
        <v>9</v>
      </c>
      <c r="G184" s="71">
        <v>0</v>
      </c>
      <c r="H184" s="25">
        <f>IF($F184="unclassified","N/A",(_xlfn.XLOOKUP($E184,Sheet2!$A:$A,Sheet2!Q:Q,"N/A",0,1)))</f>
        <v>1</v>
      </c>
      <c r="I184" s="25">
        <f>IF($F184="unclassified","N/A",(_xlfn.XLOOKUP($E184,Sheet2!$A:$A,Sheet2!R:R,"N/A",0,1)))</f>
        <v>1</v>
      </c>
      <c r="J184" s="25">
        <f>IF($F184="unclassified","N/A",(_xlfn.XLOOKUP($E184,Sheet2!$A:$A,Sheet2!S:S,"N/A",0,1)))</f>
        <v>1</v>
      </c>
      <c r="K184" s="25">
        <f>IF($F184="unclassified","N/A",(_xlfn.XLOOKUP($E184,Sheet2!$A:$A,Sheet2!T:T,"N/A",0,1)))</f>
        <v>1</v>
      </c>
      <c r="L184" s="25">
        <f>IF($F184="unclassified","N/A",(_xlfn.XLOOKUP($E184,Sheet2!$A:$A,Sheet2!U:U,"N/A",0,1)))</f>
        <v>1</v>
      </c>
      <c r="M184" s="25">
        <f>IF($F184="unclassified","N/A",(_xlfn.XLOOKUP($E184,Sheet2!$A:$A,Sheet2!V:V,"N/A",0,1)))</f>
        <v>1</v>
      </c>
      <c r="N184" s="25"/>
      <c r="O184" s="25">
        <f>IF($F184="unclassified","N/A",(_xlfn.XLOOKUP($E184,Sheet2!$A:$A,Sheet2!W:W,"N/A",0,1)))</f>
        <v>1</v>
      </c>
      <c r="P184" s="25">
        <f>IF($F184="unclassified","N/A",(_xlfn.XLOOKUP($E184,Sheet2!$A:$A,Sheet2!X:X,"N/A",0,1)))</f>
        <v>1</v>
      </c>
      <c r="Q184" s="25">
        <f>IF($F184="unclassified","N/A",(_xlfn.XLOOKUP($E184,Sheet2!$A:$A,Sheet2!Y:Y,"N/A",0,1)))</f>
        <v>1</v>
      </c>
      <c r="R184" s="25">
        <f>IF($F184="unclassified","N/A",(_xlfn.XLOOKUP($E184,Sheet2!$A:$A,Sheet2!Z:Z,"N/A",0,1)))</f>
        <v>1</v>
      </c>
      <c r="S184" s="25">
        <f>IF($F184="unclassified","N/A",(_xlfn.XLOOKUP($E184,Sheet2!$A:$A,Sheet2!AA:AA,"N/A",0,1)))</f>
        <v>1</v>
      </c>
      <c r="T184" s="25">
        <f>IF($F184="unclassified","N/A",(_xlfn.XLOOKUP($E184,Sheet2!$A:$A,Sheet2!AB:AB,"N/A",0,1)))</f>
        <v>1</v>
      </c>
      <c r="U184" s="11">
        <f>IF($F184="unclassified","N/A",(AVERAGE(Table3253[[#This Row],[PO nr]:[Delivery Date]])))</f>
        <v>1</v>
      </c>
      <c r="V184" s="21"/>
      <c r="W184" s="21"/>
      <c r="X184" s="21"/>
      <c r="Y184" s="21"/>
      <c r="Z184" s="21"/>
    </row>
    <row r="185" spans="4:26" ht="15" customHeight="1" x14ac:dyDescent="0.3">
      <c r="D185" s="30" t="str">
        <f>_xlfn.XLOOKUP(Table3253[[#This Row],[File Name]],'Analyse 2 Detail 02-03'!A:A,'Analyse 2 Detail 02-03'!R:R,"Not Found",0,1)</f>
        <v>Fresenius Medical Care Nederland BV</v>
      </c>
      <c r="E185" s="2" t="s">
        <v>179</v>
      </c>
      <c r="F185" s="64" t="s">
        <v>9</v>
      </c>
      <c r="G185" s="71">
        <v>5</v>
      </c>
      <c r="H185" s="25">
        <f>IF($F185="unclassified","N/A",(_xlfn.XLOOKUP($E185,Sheet2!$A:$A,Sheet2!Q:Q,"N/A",0,1)))</f>
        <v>1</v>
      </c>
      <c r="I185" s="25">
        <f>IF($F185="unclassified","N/A",(_xlfn.XLOOKUP($E185,Sheet2!$A:$A,Sheet2!R:R,"N/A",0,1)))</f>
        <v>1</v>
      </c>
      <c r="J185" s="25">
        <f>IF($F185="unclassified","N/A",(_xlfn.XLOOKUP($E185,Sheet2!$A:$A,Sheet2!S:S,"N/A",0,1)))</f>
        <v>1</v>
      </c>
      <c r="K185" s="25">
        <f>IF($F185="unclassified","N/A",(_xlfn.XLOOKUP($E185,Sheet2!$A:$A,Sheet2!T:T,"N/A",0,1)))</f>
        <v>1</v>
      </c>
      <c r="L185" s="25">
        <f>IF($F185="unclassified","N/A",(_xlfn.XLOOKUP($E185,Sheet2!$A:$A,Sheet2!U:U,"N/A",0,1)))</f>
        <v>1</v>
      </c>
      <c r="M185" s="25">
        <f>IF($F185="unclassified","N/A",(_xlfn.XLOOKUP($E185,Sheet2!$A:$A,Sheet2!V:V,"N/A",0,1)))</f>
        <v>1</v>
      </c>
      <c r="N185" s="25"/>
      <c r="O185" s="25">
        <f>IF($F185="unclassified","N/A",(_xlfn.XLOOKUP($E185,Sheet2!$A:$A,Sheet2!W:W,"N/A",0,1)))</f>
        <v>1</v>
      </c>
      <c r="P185" s="25">
        <f>IF($F185="unclassified","N/A",(_xlfn.XLOOKUP($E185,Sheet2!$A:$A,Sheet2!X:X,"N/A",0,1)))</f>
        <v>1</v>
      </c>
      <c r="Q185" s="25">
        <f>IF($F185="unclassified","N/A",(_xlfn.XLOOKUP($E185,Sheet2!$A:$A,Sheet2!Y:Y,"N/A",0,1)))</f>
        <v>1</v>
      </c>
      <c r="R185" s="25">
        <f>IF($F185="unclassified","N/A",(_xlfn.XLOOKUP($E185,Sheet2!$A:$A,Sheet2!Z:Z,"N/A",0,1)))</f>
        <v>1</v>
      </c>
      <c r="S185" s="25">
        <v>1</v>
      </c>
      <c r="T185" s="25">
        <v>1</v>
      </c>
      <c r="U185" s="11">
        <f>IF($F185="unclassified","N/A",(AVERAGE(Table3253[[#This Row],[PO nr]:[Delivery Date]])))</f>
        <v>1</v>
      </c>
      <c r="V185" s="21" t="s">
        <v>214</v>
      </c>
      <c r="W185" s="21" t="s">
        <v>215</v>
      </c>
      <c r="X185" s="21"/>
      <c r="Y185" s="21"/>
      <c r="Z185" s="21"/>
    </row>
    <row r="186" spans="4:26" ht="15" customHeight="1" x14ac:dyDescent="0.3">
      <c r="D186" s="30">
        <f>_xlfn.XLOOKUP(Table3253[[#This Row],[File Name]],'Analyse 2 Detail 02-03'!A:A,'Analyse 2 Detail 02-03'!R:R,"Not Found",0,1)</f>
        <v>0</v>
      </c>
      <c r="E186" s="2" t="s">
        <v>150</v>
      </c>
      <c r="F186" s="64" t="s">
        <v>9</v>
      </c>
      <c r="G186" s="71">
        <v>0</v>
      </c>
      <c r="H186" s="25">
        <v>1</v>
      </c>
      <c r="I186" s="25">
        <v>1</v>
      </c>
      <c r="J186" s="25">
        <v>1</v>
      </c>
      <c r="K186" s="25">
        <v>1</v>
      </c>
      <c r="L186" s="25">
        <v>1</v>
      </c>
      <c r="M186" s="25">
        <v>1</v>
      </c>
      <c r="N186" s="25"/>
      <c r="O186" s="25">
        <v>1</v>
      </c>
      <c r="P186" s="25">
        <v>1</v>
      </c>
      <c r="Q186" s="25">
        <v>1</v>
      </c>
      <c r="R186" s="25">
        <v>1</v>
      </c>
      <c r="S186" s="25">
        <v>1</v>
      </c>
      <c r="T186" s="25">
        <v>1</v>
      </c>
      <c r="U186" s="11">
        <f>IF($F186="unclassified","N/A",(AVERAGE(Table3253[[#This Row],[PO nr]:[Delivery Date]])))</f>
        <v>1</v>
      </c>
      <c r="V186" s="21"/>
      <c r="W186" s="21"/>
      <c r="X186" s="21"/>
      <c r="Y186" s="21"/>
      <c r="Z186" s="21"/>
    </row>
    <row r="187" spans="4:26" ht="15" customHeight="1" x14ac:dyDescent="0.3">
      <c r="D187" s="30" t="str">
        <f>_xlfn.XLOOKUP(Table3253[[#This Row],[File Name]],'Analyse 2 Detail 02-03'!A:A,'Analyse 2 Detail 02-03'!R:R,"Not Found",0,1)</f>
        <v>Fresenius Medical Care Nederland BV</v>
      </c>
      <c r="E187" s="2" t="s">
        <v>155</v>
      </c>
      <c r="F187" s="64" t="s">
        <v>9</v>
      </c>
      <c r="G187" s="71">
        <v>3</v>
      </c>
      <c r="H187" s="25">
        <f>IF($F187="unclassified","N/A",(_xlfn.XLOOKUP($E187,Sheet2!$A:$A,Sheet2!Q:Q,"N/A",0,1)))</f>
        <v>1</v>
      </c>
      <c r="I187" s="25">
        <f>IF($F187="unclassified","N/A",(_xlfn.XLOOKUP($E187,Sheet2!$A:$A,Sheet2!R:R,"N/A",0,1)))</f>
        <v>1</v>
      </c>
      <c r="J187" s="25">
        <f>IF($F187="unclassified","N/A",(_xlfn.XLOOKUP($E187,Sheet2!$A:$A,Sheet2!S:S,"N/A",0,1)))</f>
        <v>1</v>
      </c>
      <c r="K187" s="25">
        <f>IF($F187="unclassified","N/A",(_xlfn.XLOOKUP($E187,Sheet2!$A:$A,Sheet2!T:T,"N/A",0,1)))</f>
        <v>1</v>
      </c>
      <c r="L187" s="25">
        <f>IF($F187="unclassified","N/A",(_xlfn.XLOOKUP($E187,Sheet2!$A:$A,Sheet2!U:U,"N/A",0,1)))</f>
        <v>1</v>
      </c>
      <c r="M187" s="25">
        <f>IF($F187="unclassified","N/A",(_xlfn.XLOOKUP($E187,Sheet2!$A:$A,Sheet2!V:V,"N/A",0,1)))</f>
        <v>1</v>
      </c>
      <c r="N187" s="25"/>
      <c r="O187" s="25">
        <f>IF($F187="unclassified","N/A",(_xlfn.XLOOKUP($E187,Sheet2!$A:$A,Sheet2!W:W,"N/A",0,1)))</f>
        <v>1</v>
      </c>
      <c r="P187" s="25">
        <f>IF($F187="unclassified","N/A",(_xlfn.XLOOKUP($E187,Sheet2!$A:$A,Sheet2!X:X,"N/A",0,1)))</f>
        <v>1</v>
      </c>
      <c r="Q187" s="25">
        <f>IF($F187="unclassified","N/A",(_xlfn.XLOOKUP($E187,Sheet2!$A:$A,Sheet2!Y:Y,"N/A",0,1)))</f>
        <v>1</v>
      </c>
      <c r="R187" s="25">
        <f>IF($F187="unclassified","N/A",(_xlfn.XLOOKUP($E187,Sheet2!$A:$A,Sheet2!Z:Z,"N/A",0,1)))</f>
        <v>1</v>
      </c>
      <c r="S187" s="25">
        <f>IF($F187="unclassified","N/A",(_xlfn.XLOOKUP($E187,Sheet2!$A:$A,Sheet2!AA:AA,"N/A",0,1)))</f>
        <v>1</v>
      </c>
      <c r="T187" s="25">
        <v>1</v>
      </c>
      <c r="U187" s="11">
        <f>IF($F187="unclassified","N/A",(AVERAGE(Table3253[[#This Row],[PO nr]:[Delivery Date]])))</f>
        <v>1</v>
      </c>
      <c r="V187" s="21" t="s">
        <v>216</v>
      </c>
      <c r="W187" s="21"/>
      <c r="X187" s="21"/>
      <c r="Y187" s="21"/>
      <c r="Z187" s="21"/>
    </row>
    <row r="188" spans="4:26" ht="15" customHeight="1" x14ac:dyDescent="0.3">
      <c r="D188" s="30" t="str">
        <f>_xlfn.XLOOKUP(Table3253[[#This Row],[File Name]],'Analyse 2 Detail 02-03'!A:A,'Analyse 2 Detail 02-03'!R:R,"Not Found",0,1)</f>
        <v>Fresenius Medical Care Nederland BV</v>
      </c>
      <c r="E188" s="2" t="s">
        <v>138</v>
      </c>
      <c r="F188" s="64" t="s">
        <v>9</v>
      </c>
      <c r="G188" s="71">
        <v>1</v>
      </c>
      <c r="H188" s="25">
        <f>IF($F188="unclassified","N/A",(_xlfn.XLOOKUP($E188,Sheet2!$A:$A,Sheet2!Q:Q,"N/A",0,1)))</f>
        <v>1</v>
      </c>
      <c r="I188" s="25">
        <f>IF($F188="unclassified","N/A",(_xlfn.XLOOKUP($E188,Sheet2!$A:$A,Sheet2!R:R,"N/A",0,1)))</f>
        <v>1</v>
      </c>
      <c r="J188" s="25">
        <f>IF($F188="unclassified","N/A",(_xlfn.XLOOKUP($E188,Sheet2!$A:$A,Sheet2!S:S,"N/A",0,1)))</f>
        <v>1</v>
      </c>
      <c r="K188" s="25">
        <f>IF($F188="unclassified","N/A",(_xlfn.XLOOKUP($E188,Sheet2!$A:$A,Sheet2!T:T,"N/A",0,1)))</f>
        <v>1</v>
      </c>
      <c r="L188" s="25">
        <f>IF($F188="unclassified","N/A",(_xlfn.XLOOKUP($E188,Sheet2!$A:$A,Sheet2!U:U,"N/A",0,1)))</f>
        <v>1</v>
      </c>
      <c r="M188" s="25">
        <f>IF($F188="unclassified","N/A",(_xlfn.XLOOKUP($E188,Sheet2!$A:$A,Sheet2!V:V,"N/A",0,1)))</f>
        <v>1</v>
      </c>
      <c r="N188" s="25"/>
      <c r="O188" s="25">
        <f>IF($F188="unclassified","N/A",(_xlfn.XLOOKUP($E188,Sheet2!$A:$A,Sheet2!W:W,"N/A",0,1)))</f>
        <v>1</v>
      </c>
      <c r="P188" s="25">
        <f>IF($F188="unclassified","N/A",(_xlfn.XLOOKUP($E188,Sheet2!$A:$A,Sheet2!X:X,"N/A",0,1)))</f>
        <v>1</v>
      </c>
      <c r="Q188" s="25">
        <f>IF($F188="unclassified","N/A",(_xlfn.XLOOKUP($E188,Sheet2!$A:$A,Sheet2!Y:Y,"N/A",0,1)))</f>
        <v>1</v>
      </c>
      <c r="R188" s="25">
        <f>IF($F188="unclassified","N/A",(_xlfn.XLOOKUP($E188,Sheet2!$A:$A,Sheet2!Z:Z,"N/A",0,1)))</f>
        <v>1</v>
      </c>
      <c r="S188" s="25">
        <v>1</v>
      </c>
      <c r="T188" s="25">
        <v>1</v>
      </c>
      <c r="U188" s="11">
        <f>IF($F188="unclassified","N/A",(AVERAGE(Table3253[[#This Row],[PO nr]:[Delivery Date]])))</f>
        <v>1</v>
      </c>
      <c r="V188" s="21" t="s">
        <v>217</v>
      </c>
      <c r="W188" s="21" t="s">
        <v>215</v>
      </c>
      <c r="X188" s="21"/>
      <c r="Y188" s="21"/>
      <c r="Z188" s="21"/>
    </row>
    <row r="189" spans="4:26" ht="15" customHeight="1" x14ac:dyDescent="0.3">
      <c r="D189" s="30">
        <f>_xlfn.XLOOKUP(Table3253[[#This Row],[File Name]],'Analyse 2 Detail 02-03'!A:A,'Analyse 2 Detail 02-03'!R:R,"Not Found",0,1)</f>
        <v>0</v>
      </c>
      <c r="E189" s="2" t="s">
        <v>114</v>
      </c>
      <c r="F189" s="64" t="s">
        <v>11</v>
      </c>
      <c r="G189" s="71">
        <v>0</v>
      </c>
      <c r="H189" s="25" t="str">
        <f>IF($F189="unclassified","N/A",(_xlfn.XLOOKUP($E189,Sheet2!$A:$A,Sheet2!Q:Q,"N/A",0,1)))</f>
        <v>N/A</v>
      </c>
      <c r="I189" s="25" t="str">
        <f>IF($F189="unclassified","N/A",(_xlfn.XLOOKUP($E189,Sheet2!$A:$A,Sheet2!R:R,"N/A",0,1)))</f>
        <v>N/A</v>
      </c>
      <c r="J189" s="25" t="str">
        <f>IF($F189="unclassified","N/A",(_xlfn.XLOOKUP($E189,Sheet2!$A:$A,Sheet2!S:S,"N/A",0,1)))</f>
        <v>N/A</v>
      </c>
      <c r="K189" s="25" t="str">
        <f>IF($F189="unclassified","N/A",(_xlfn.XLOOKUP($E189,Sheet2!$A:$A,Sheet2!T:T,"N/A",0,1)))</f>
        <v>N/A</v>
      </c>
      <c r="L189" s="25" t="str">
        <f>IF($F189="unclassified","N/A",(_xlfn.XLOOKUP($E189,Sheet2!$A:$A,Sheet2!U:U,"N/A",0,1)))</f>
        <v>N/A</v>
      </c>
      <c r="M189" s="25" t="str">
        <f>IF($F189="unclassified","N/A",(_xlfn.XLOOKUP($E189,Sheet2!$A:$A,Sheet2!V:V,"N/A",0,1)))</f>
        <v>N/A</v>
      </c>
      <c r="N189" s="25"/>
      <c r="O189" s="25" t="str">
        <f>IF($F189="unclassified","N/A",(_xlfn.XLOOKUP($E189,Sheet2!$A:$A,Sheet2!W:W,"N/A",0,1)))</f>
        <v>N/A</v>
      </c>
      <c r="P189" s="25" t="str">
        <f>IF($F189="unclassified","N/A",(_xlfn.XLOOKUP($E189,Sheet2!$A:$A,Sheet2!X:X,"N/A",0,1)))</f>
        <v>N/A</v>
      </c>
      <c r="Q189" s="25" t="str">
        <f>IF($F189="unclassified","N/A",(_xlfn.XLOOKUP($E189,Sheet2!$A:$A,Sheet2!Y:Y,"N/A",0,1)))</f>
        <v>N/A</v>
      </c>
      <c r="R189" s="25" t="str">
        <f>IF($F189="unclassified","N/A",(_xlfn.XLOOKUP($E189,Sheet2!$A:$A,Sheet2!Z:Z,"N/A",0,1)))</f>
        <v>N/A</v>
      </c>
      <c r="S189" s="25" t="str">
        <f>IF($F189="unclassified","N/A",(_xlfn.XLOOKUP($E189,Sheet2!$A:$A,Sheet2!AA:AA,"N/A",0,1)))</f>
        <v>N/A</v>
      </c>
      <c r="T189" s="25" t="str">
        <f>IF($F189="unclassified","N/A",(_xlfn.XLOOKUP($E189,Sheet2!$A:$A,Sheet2!AB:AB,"N/A",0,1)))</f>
        <v>N/A</v>
      </c>
      <c r="U189" s="11" t="str">
        <f>IF($F189="unclassified","N/A",(AVERAGE(Table3253[[#This Row],[PO nr]:[Delivery Date]])))</f>
        <v>N/A</v>
      </c>
      <c r="V189" s="21"/>
      <c r="W189" s="21"/>
      <c r="X189" s="21"/>
      <c r="Y189" s="21"/>
      <c r="Z189" s="21"/>
    </row>
    <row r="190" spans="4:26" ht="15" customHeight="1" x14ac:dyDescent="0.3">
      <c r="D190" s="30">
        <f>_xlfn.XLOOKUP(Table3253[[#This Row],[File Name]],'Analyse 2 Detail 02-03'!A:A,'Analyse 2 Detail 02-03'!R:R,"Not Found",0,1)</f>
        <v>0</v>
      </c>
      <c r="E190" s="2" t="s">
        <v>186</v>
      </c>
      <c r="F190" s="64" t="s">
        <v>11</v>
      </c>
      <c r="G190" s="71">
        <v>0</v>
      </c>
      <c r="H190" s="25" t="str">
        <f>IF($F190="unclassified","N/A",(_xlfn.XLOOKUP($E190,Sheet2!$A:$A,Sheet2!Q:Q,"N/A",0,1)))</f>
        <v>N/A</v>
      </c>
      <c r="I190" s="25" t="str">
        <f>IF($F190="unclassified","N/A",(_xlfn.XLOOKUP($E190,Sheet2!$A:$A,Sheet2!R:R,"N/A",0,1)))</f>
        <v>N/A</v>
      </c>
      <c r="J190" s="25" t="str">
        <f>IF($F190="unclassified","N/A",(_xlfn.XLOOKUP($E190,Sheet2!$A:$A,Sheet2!S:S,"N/A",0,1)))</f>
        <v>N/A</v>
      </c>
      <c r="K190" s="25" t="str">
        <f>IF($F190="unclassified","N/A",(_xlfn.XLOOKUP($E190,Sheet2!$A:$A,Sheet2!T:T,"N/A",0,1)))</f>
        <v>N/A</v>
      </c>
      <c r="L190" s="25" t="str">
        <f>IF($F190="unclassified","N/A",(_xlfn.XLOOKUP($E190,Sheet2!$A:$A,Sheet2!U:U,"N/A",0,1)))</f>
        <v>N/A</v>
      </c>
      <c r="M190" s="25" t="str">
        <f>IF($F190="unclassified","N/A",(_xlfn.XLOOKUP($E190,Sheet2!$A:$A,Sheet2!V:V,"N/A",0,1)))</f>
        <v>N/A</v>
      </c>
      <c r="N190" s="25"/>
      <c r="O190" s="25" t="str">
        <f>IF($F190="unclassified","N/A",(_xlfn.XLOOKUP($E190,Sheet2!$A:$A,Sheet2!W:W,"N/A",0,1)))</f>
        <v>N/A</v>
      </c>
      <c r="P190" s="25" t="str">
        <f>IF($F190="unclassified","N/A",(_xlfn.XLOOKUP($E190,Sheet2!$A:$A,Sheet2!X:X,"N/A",0,1)))</f>
        <v>N/A</v>
      </c>
      <c r="Q190" s="25" t="str">
        <f>IF($F190="unclassified","N/A",(_xlfn.XLOOKUP($E190,Sheet2!$A:$A,Sheet2!Y:Y,"N/A",0,1)))</f>
        <v>N/A</v>
      </c>
      <c r="R190" s="25" t="str">
        <f>IF($F190="unclassified","N/A",(_xlfn.XLOOKUP($E190,Sheet2!$A:$A,Sheet2!Z:Z,"N/A",0,1)))</f>
        <v>N/A</v>
      </c>
      <c r="S190" s="25" t="str">
        <f>IF($F190="unclassified","N/A",(_xlfn.XLOOKUP($E190,Sheet2!$A:$A,Sheet2!AA:AA,"N/A",0,1)))</f>
        <v>N/A</v>
      </c>
      <c r="T190" s="25" t="str">
        <f>IF($F190="unclassified","N/A",(_xlfn.XLOOKUP($E190,Sheet2!$A:$A,Sheet2!AB:AB,"N/A",0,1)))</f>
        <v>N/A</v>
      </c>
      <c r="U190" s="11" t="str">
        <f>IF($F190="unclassified","N/A",(AVERAGE(Table3253[[#This Row],[PO nr]:[Delivery Date]])))</f>
        <v>N/A</v>
      </c>
      <c r="V190" s="21"/>
      <c r="W190" s="21"/>
      <c r="X190" s="21"/>
      <c r="Y190" s="21"/>
      <c r="Z190" s="21"/>
    </row>
    <row r="191" spans="4:26" ht="15" customHeight="1" x14ac:dyDescent="0.3">
      <c r="D191" s="30">
        <f>_xlfn.XLOOKUP(Table3253[[#This Row],[File Name]],'Analyse 2 Detail 02-03'!A:A,'Analyse 2 Detail 02-03'!R:R,"Not Found",0,1)</f>
        <v>0</v>
      </c>
      <c r="E191" s="2" t="s">
        <v>146</v>
      </c>
      <c r="F191" s="64" t="s">
        <v>11</v>
      </c>
      <c r="G191" s="71">
        <v>0</v>
      </c>
      <c r="H191" s="25" t="str">
        <f>IF($F191="unclassified","N/A",(_xlfn.XLOOKUP($E191,Sheet2!$A:$A,Sheet2!Q:Q,"N/A",0,1)))</f>
        <v>N/A</v>
      </c>
      <c r="I191" s="25" t="str">
        <f>IF($F191="unclassified","N/A",(_xlfn.XLOOKUP($E191,Sheet2!$A:$A,Sheet2!R:R,"N/A",0,1)))</f>
        <v>N/A</v>
      </c>
      <c r="J191" s="25" t="str">
        <f>IF($F191="unclassified","N/A",(_xlfn.XLOOKUP($E191,Sheet2!$A:$A,Sheet2!S:S,"N/A",0,1)))</f>
        <v>N/A</v>
      </c>
      <c r="K191" s="25" t="str">
        <f>IF($F191="unclassified","N/A",(_xlfn.XLOOKUP($E191,Sheet2!$A:$A,Sheet2!T:T,"N/A",0,1)))</f>
        <v>N/A</v>
      </c>
      <c r="L191" s="25" t="str">
        <f>IF($F191="unclassified","N/A",(_xlfn.XLOOKUP($E191,Sheet2!$A:$A,Sheet2!U:U,"N/A",0,1)))</f>
        <v>N/A</v>
      </c>
      <c r="M191" s="25" t="str">
        <f>IF($F191="unclassified","N/A",(_xlfn.XLOOKUP($E191,Sheet2!$A:$A,Sheet2!V:V,"N/A",0,1)))</f>
        <v>N/A</v>
      </c>
      <c r="N191" s="25"/>
      <c r="O191" s="25" t="str">
        <f>IF($F191="unclassified","N/A",(_xlfn.XLOOKUP($E191,Sheet2!$A:$A,Sheet2!W:W,"N/A",0,1)))</f>
        <v>N/A</v>
      </c>
      <c r="P191" s="25" t="str">
        <f>IF($F191="unclassified","N/A",(_xlfn.XLOOKUP($E191,Sheet2!$A:$A,Sheet2!X:X,"N/A",0,1)))</f>
        <v>N/A</v>
      </c>
      <c r="Q191" s="25" t="str">
        <f>IF($F191="unclassified","N/A",(_xlfn.XLOOKUP($E191,Sheet2!$A:$A,Sheet2!Y:Y,"N/A",0,1)))</f>
        <v>N/A</v>
      </c>
      <c r="R191" s="25" t="str">
        <f>IF($F191="unclassified","N/A",(_xlfn.XLOOKUP($E191,Sheet2!$A:$A,Sheet2!Z:Z,"N/A",0,1)))</f>
        <v>N/A</v>
      </c>
      <c r="S191" s="25" t="str">
        <f>IF($F191="unclassified","N/A",(_xlfn.XLOOKUP($E191,Sheet2!$A:$A,Sheet2!AA:AA,"N/A",0,1)))</f>
        <v>N/A</v>
      </c>
      <c r="T191" s="25" t="str">
        <f>IF($F191="unclassified","N/A",(_xlfn.XLOOKUP($E191,Sheet2!$A:$A,Sheet2!AB:AB,"N/A",0,1)))</f>
        <v>N/A</v>
      </c>
      <c r="U191" s="11" t="str">
        <f>IF($F191="unclassified","N/A",(AVERAGE(Table3253[[#This Row],[PO nr]:[Delivery Date]])))</f>
        <v>N/A</v>
      </c>
      <c r="V191" s="21"/>
      <c r="W191" s="21"/>
      <c r="X191" s="21"/>
      <c r="Y191" s="21"/>
      <c r="Z191" s="21"/>
    </row>
    <row r="192" spans="4:26" ht="15" customHeight="1" x14ac:dyDescent="0.3">
      <c r="D192" s="30">
        <f>_xlfn.XLOOKUP(Table3253[[#This Row],[File Name]],'Analyse 2 Detail 02-03'!A:A,'Analyse 2 Detail 02-03'!R:R,"Not Found",0,1)</f>
        <v>0</v>
      </c>
      <c r="E192" s="2" t="s">
        <v>154</v>
      </c>
      <c r="F192" s="64" t="s">
        <v>11</v>
      </c>
      <c r="G192" s="71">
        <v>0</v>
      </c>
      <c r="H192" s="25" t="str">
        <f>IF($F192="unclassified","N/A",(_xlfn.XLOOKUP($E192,Sheet2!$A:$A,Sheet2!Q:Q,"N/A",0,1)))</f>
        <v>N/A</v>
      </c>
      <c r="I192" s="25" t="str">
        <f>IF($F192="unclassified","N/A",(_xlfn.XLOOKUP($E192,Sheet2!$A:$A,Sheet2!R:R,"N/A",0,1)))</f>
        <v>N/A</v>
      </c>
      <c r="J192" s="25" t="str">
        <f>IF($F192="unclassified","N/A",(_xlfn.XLOOKUP($E192,Sheet2!$A:$A,Sheet2!S:S,"N/A",0,1)))</f>
        <v>N/A</v>
      </c>
      <c r="K192" s="25" t="str">
        <f>IF($F192="unclassified","N/A",(_xlfn.XLOOKUP($E192,Sheet2!$A:$A,Sheet2!T:T,"N/A",0,1)))</f>
        <v>N/A</v>
      </c>
      <c r="L192" s="25" t="str">
        <f>IF($F192="unclassified","N/A",(_xlfn.XLOOKUP($E192,Sheet2!$A:$A,Sheet2!U:U,"N/A",0,1)))</f>
        <v>N/A</v>
      </c>
      <c r="M192" s="25" t="str">
        <f>IF($F192="unclassified","N/A",(_xlfn.XLOOKUP($E192,Sheet2!$A:$A,Sheet2!V:V,"N/A",0,1)))</f>
        <v>N/A</v>
      </c>
      <c r="N192" s="25"/>
      <c r="O192" s="25" t="str">
        <f>IF($F192="unclassified","N/A",(_xlfn.XLOOKUP($E192,Sheet2!$A:$A,Sheet2!W:W,"N/A",0,1)))</f>
        <v>N/A</v>
      </c>
      <c r="P192" s="25" t="str">
        <f>IF($F192="unclassified","N/A",(_xlfn.XLOOKUP($E192,Sheet2!$A:$A,Sheet2!X:X,"N/A",0,1)))</f>
        <v>N/A</v>
      </c>
      <c r="Q192" s="25" t="str">
        <f>IF($F192="unclassified","N/A",(_xlfn.XLOOKUP($E192,Sheet2!$A:$A,Sheet2!Y:Y,"N/A",0,1)))</f>
        <v>N/A</v>
      </c>
      <c r="R192" s="25" t="str">
        <f>IF($F192="unclassified","N/A",(_xlfn.XLOOKUP($E192,Sheet2!$A:$A,Sheet2!Z:Z,"N/A",0,1)))</f>
        <v>N/A</v>
      </c>
      <c r="S192" s="25" t="str">
        <f>IF($F192="unclassified","N/A",(_xlfn.XLOOKUP($E192,Sheet2!$A:$A,Sheet2!AA:AA,"N/A",0,1)))</f>
        <v>N/A</v>
      </c>
      <c r="T192" s="25" t="str">
        <f>IF($F192="unclassified","N/A",(_xlfn.XLOOKUP($E192,Sheet2!$A:$A,Sheet2!AB:AB,"N/A",0,1)))</f>
        <v>N/A</v>
      </c>
      <c r="U192" s="11" t="str">
        <f>IF($F192="unclassified","N/A",(AVERAGE(Table3253[[#This Row],[PO nr]:[Delivery Date]])))</f>
        <v>N/A</v>
      </c>
      <c r="V192" s="21"/>
      <c r="W192" s="21"/>
      <c r="X192" s="21"/>
      <c r="Y192" s="21"/>
      <c r="Z192" s="21"/>
    </row>
    <row r="193" spans="4:26" ht="15" customHeight="1" x14ac:dyDescent="0.3">
      <c r="D193" s="30">
        <f>_xlfn.XLOOKUP(Table3253[[#This Row],[File Name]],'Analyse 2 Detail 02-03'!A:A,'Analyse 2 Detail 02-03'!R:R,"Not Found",0,1)</f>
        <v>0</v>
      </c>
      <c r="E193" s="2" t="s">
        <v>164</v>
      </c>
      <c r="F193" s="64" t="s">
        <v>11</v>
      </c>
      <c r="G193" s="71">
        <v>0</v>
      </c>
      <c r="H193" s="25" t="str">
        <f>IF($F193="unclassified","N/A",(_xlfn.XLOOKUP($E193,Sheet2!$A:$A,Sheet2!Q:Q,"N/A",0,1)))</f>
        <v>N/A</v>
      </c>
      <c r="I193" s="25" t="str">
        <f>IF($F193="unclassified","N/A",(_xlfn.XLOOKUP($E193,Sheet2!$A:$A,Sheet2!R:R,"N/A",0,1)))</f>
        <v>N/A</v>
      </c>
      <c r="J193" s="25" t="str">
        <f>IF($F193="unclassified","N/A",(_xlfn.XLOOKUP($E193,Sheet2!$A:$A,Sheet2!S:S,"N/A",0,1)))</f>
        <v>N/A</v>
      </c>
      <c r="K193" s="25" t="str">
        <f>IF($F193="unclassified","N/A",(_xlfn.XLOOKUP($E193,Sheet2!$A:$A,Sheet2!T:T,"N/A",0,1)))</f>
        <v>N/A</v>
      </c>
      <c r="L193" s="25" t="str">
        <f>IF($F193="unclassified","N/A",(_xlfn.XLOOKUP($E193,Sheet2!$A:$A,Sheet2!U:U,"N/A",0,1)))</f>
        <v>N/A</v>
      </c>
      <c r="M193" s="25" t="str">
        <f>IF($F193="unclassified","N/A",(_xlfn.XLOOKUP($E193,Sheet2!$A:$A,Sheet2!V:V,"N/A",0,1)))</f>
        <v>N/A</v>
      </c>
      <c r="N193" s="25"/>
      <c r="O193" s="25" t="str">
        <f>IF($F193="unclassified","N/A",(_xlfn.XLOOKUP($E193,Sheet2!$A:$A,Sheet2!W:W,"N/A",0,1)))</f>
        <v>N/A</v>
      </c>
      <c r="P193" s="25" t="str">
        <f>IF($F193="unclassified","N/A",(_xlfn.XLOOKUP($E193,Sheet2!$A:$A,Sheet2!X:X,"N/A",0,1)))</f>
        <v>N/A</v>
      </c>
      <c r="Q193" s="25" t="str">
        <f>IF($F193="unclassified","N/A",(_xlfn.XLOOKUP($E193,Sheet2!$A:$A,Sheet2!Y:Y,"N/A",0,1)))</f>
        <v>N/A</v>
      </c>
      <c r="R193" s="25" t="str">
        <f>IF($F193="unclassified","N/A",(_xlfn.XLOOKUP($E193,Sheet2!$A:$A,Sheet2!Z:Z,"N/A",0,1)))</f>
        <v>N/A</v>
      </c>
      <c r="S193" s="25" t="str">
        <f>IF($F193="unclassified","N/A",(_xlfn.XLOOKUP($E193,Sheet2!$A:$A,Sheet2!AA:AA,"N/A",0,1)))</f>
        <v>N/A</v>
      </c>
      <c r="T193" s="25" t="str">
        <f>IF($F193="unclassified","N/A",(_xlfn.XLOOKUP($E193,Sheet2!$A:$A,Sheet2!AB:AB,"N/A",0,1)))</f>
        <v>N/A</v>
      </c>
      <c r="U193" s="11" t="str">
        <f>IF($F193="unclassified","N/A",(AVERAGE(Table3253[[#This Row],[PO nr]:[Delivery Date]])))</f>
        <v>N/A</v>
      </c>
      <c r="V193" s="21"/>
      <c r="W193" s="21"/>
      <c r="X193" s="21"/>
      <c r="Y193" s="21"/>
      <c r="Z193" s="21"/>
    </row>
    <row r="194" spans="4:26" ht="15" customHeight="1" x14ac:dyDescent="0.3">
      <c r="D194" s="30">
        <f>_xlfn.XLOOKUP(Table3253[[#This Row],[File Name]],'Analyse 2 Detail 02-03'!A:A,'Analyse 2 Detail 02-03'!R:R,"Not Found",0,1)</f>
        <v>0</v>
      </c>
      <c r="E194" s="2" t="s">
        <v>141</v>
      </c>
      <c r="F194" s="64" t="s">
        <v>11</v>
      </c>
      <c r="G194" s="71">
        <v>0</v>
      </c>
      <c r="H194" s="25" t="str">
        <f>IF($F194="unclassified","N/A",(_xlfn.XLOOKUP($E194,Sheet2!$A:$A,Sheet2!Q:Q,"N/A",0,1)))</f>
        <v>N/A</v>
      </c>
      <c r="I194" s="25" t="str">
        <f>IF($F194="unclassified","N/A",(_xlfn.XLOOKUP($E194,Sheet2!$A:$A,Sheet2!R:R,"N/A",0,1)))</f>
        <v>N/A</v>
      </c>
      <c r="J194" s="25" t="str">
        <f>IF($F194="unclassified","N/A",(_xlfn.XLOOKUP($E194,Sheet2!$A:$A,Sheet2!S:S,"N/A",0,1)))</f>
        <v>N/A</v>
      </c>
      <c r="K194" s="25" t="str">
        <f>IF($F194="unclassified","N/A",(_xlfn.XLOOKUP($E194,Sheet2!$A:$A,Sheet2!T:T,"N/A",0,1)))</f>
        <v>N/A</v>
      </c>
      <c r="L194" s="25" t="str">
        <f>IF($F194="unclassified","N/A",(_xlfn.XLOOKUP($E194,Sheet2!$A:$A,Sheet2!U:U,"N/A",0,1)))</f>
        <v>N/A</v>
      </c>
      <c r="M194" s="25" t="str">
        <f>IF($F194="unclassified","N/A",(_xlfn.XLOOKUP($E194,Sheet2!$A:$A,Sheet2!V:V,"N/A",0,1)))</f>
        <v>N/A</v>
      </c>
      <c r="N194" s="25"/>
      <c r="O194" s="25" t="str">
        <f>IF($F194="unclassified","N/A",(_xlfn.XLOOKUP($E194,Sheet2!$A:$A,Sheet2!W:W,"N/A",0,1)))</f>
        <v>N/A</v>
      </c>
      <c r="P194" s="25" t="str">
        <f>IF($F194="unclassified","N/A",(_xlfn.XLOOKUP($E194,Sheet2!$A:$A,Sheet2!X:X,"N/A",0,1)))</f>
        <v>N/A</v>
      </c>
      <c r="Q194" s="25" t="str">
        <f>IF($F194="unclassified","N/A",(_xlfn.XLOOKUP($E194,Sheet2!$A:$A,Sheet2!Y:Y,"N/A",0,1)))</f>
        <v>N/A</v>
      </c>
      <c r="R194" s="25" t="str">
        <f>IF($F194="unclassified","N/A",(_xlfn.XLOOKUP($E194,Sheet2!$A:$A,Sheet2!Z:Z,"N/A",0,1)))</f>
        <v>N/A</v>
      </c>
      <c r="S194" s="25" t="str">
        <f>IF($F194="unclassified","N/A",(_xlfn.XLOOKUP($E194,Sheet2!$A:$A,Sheet2!AA:AA,"N/A",0,1)))</f>
        <v>N/A</v>
      </c>
      <c r="T194" s="25" t="str">
        <f>IF($F194="unclassified","N/A",(_xlfn.XLOOKUP($E194,Sheet2!$A:$A,Sheet2!AB:AB,"N/A",0,1)))</f>
        <v>N/A</v>
      </c>
      <c r="U194" s="11" t="str">
        <f>IF($F194="unclassified","N/A",(AVERAGE(Table3253[[#This Row],[PO nr]:[Delivery Date]])))</f>
        <v>N/A</v>
      </c>
      <c r="V194" s="21"/>
      <c r="W194" s="21"/>
      <c r="X194" s="21"/>
      <c r="Y194" s="21"/>
      <c r="Z194" s="21"/>
    </row>
    <row r="195" spans="4:26" ht="15" customHeight="1" x14ac:dyDescent="0.3">
      <c r="D195" s="30">
        <f>_xlfn.XLOOKUP(Table3253[[#This Row],[File Name]],'Analyse 2 Detail 02-03'!A:A,'Analyse 2 Detail 02-03'!R:R,"Not Found",0,1)</f>
        <v>0</v>
      </c>
      <c r="E195" s="2" t="s">
        <v>141</v>
      </c>
      <c r="F195" s="64" t="s">
        <v>11</v>
      </c>
      <c r="G195" s="71">
        <v>0</v>
      </c>
      <c r="H195" s="25" t="str">
        <f>IF($F195="unclassified","N/A",(_xlfn.XLOOKUP($E195,Sheet2!$A:$A,Sheet2!Q:Q,"N/A",0,1)))</f>
        <v>N/A</v>
      </c>
      <c r="I195" s="25" t="str">
        <f>IF($F195="unclassified","N/A",(_xlfn.XLOOKUP($E195,Sheet2!$A:$A,Sheet2!R:R,"N/A",0,1)))</f>
        <v>N/A</v>
      </c>
      <c r="J195" s="25" t="str">
        <f>IF($F195="unclassified","N/A",(_xlfn.XLOOKUP($E195,Sheet2!$A:$A,Sheet2!S:S,"N/A",0,1)))</f>
        <v>N/A</v>
      </c>
      <c r="K195" s="25" t="str">
        <f>IF($F195="unclassified","N/A",(_xlfn.XLOOKUP($E195,Sheet2!$A:$A,Sheet2!T:T,"N/A",0,1)))</f>
        <v>N/A</v>
      </c>
      <c r="L195" s="25" t="str">
        <f>IF($F195="unclassified","N/A",(_xlfn.XLOOKUP($E195,Sheet2!$A:$A,Sheet2!U:U,"N/A",0,1)))</f>
        <v>N/A</v>
      </c>
      <c r="M195" s="25" t="str">
        <f>IF($F195="unclassified","N/A",(_xlfn.XLOOKUP($E195,Sheet2!$A:$A,Sheet2!V:V,"N/A",0,1)))</f>
        <v>N/A</v>
      </c>
      <c r="N195" s="25"/>
      <c r="O195" s="25" t="str">
        <f>IF($F195="unclassified","N/A",(_xlfn.XLOOKUP($E195,Sheet2!$A:$A,Sheet2!W:W,"N/A",0,1)))</f>
        <v>N/A</v>
      </c>
      <c r="P195" s="25" t="str">
        <f>IF($F195="unclassified","N/A",(_xlfn.XLOOKUP($E195,Sheet2!$A:$A,Sheet2!X:X,"N/A",0,1)))</f>
        <v>N/A</v>
      </c>
      <c r="Q195" s="25" t="str">
        <f>IF($F195="unclassified","N/A",(_xlfn.XLOOKUP($E195,Sheet2!$A:$A,Sheet2!Y:Y,"N/A",0,1)))</f>
        <v>N/A</v>
      </c>
      <c r="R195" s="25" t="str">
        <f>IF($F195="unclassified","N/A",(_xlfn.XLOOKUP($E195,Sheet2!$A:$A,Sheet2!Z:Z,"N/A",0,1)))</f>
        <v>N/A</v>
      </c>
      <c r="S195" s="25" t="str">
        <f>IF($F195="unclassified","N/A",(_xlfn.XLOOKUP($E195,Sheet2!$A:$A,Sheet2!AA:AA,"N/A",0,1)))</f>
        <v>N/A</v>
      </c>
      <c r="T195" s="25" t="str">
        <f>IF($F195="unclassified","N/A",(_xlfn.XLOOKUP($E195,Sheet2!$A:$A,Sheet2!AB:AB,"N/A",0,1)))</f>
        <v>N/A</v>
      </c>
      <c r="U195" s="11" t="str">
        <f>IF($F195="unclassified","N/A",(AVERAGE(Table3253[[#This Row],[PO nr]:[Delivery Date]])))</f>
        <v>N/A</v>
      </c>
      <c r="V195" s="21"/>
      <c r="W195" s="21"/>
      <c r="X195" s="21"/>
      <c r="Y195" s="21"/>
      <c r="Z195" s="21"/>
    </row>
    <row r="196" spans="4:26" ht="15" customHeight="1" x14ac:dyDescent="0.3">
      <c r="D196" s="30">
        <f>_xlfn.XLOOKUP(Table3253[[#This Row],[File Name]],'Analyse 2 Detail 02-03'!A:A,'Analyse 2 Detail 02-03'!R:R,"Not Found",0,1)</f>
        <v>0</v>
      </c>
      <c r="E196" s="2" t="s">
        <v>117</v>
      </c>
      <c r="F196" s="64" t="s">
        <v>11</v>
      </c>
      <c r="G196" s="71">
        <v>0</v>
      </c>
      <c r="H196" s="25" t="str">
        <f>IF($F196="unclassified","N/A",(_xlfn.XLOOKUP($E196,Sheet2!$A:$A,Sheet2!Q:Q,"N/A",0,1)))</f>
        <v>N/A</v>
      </c>
      <c r="I196" s="25" t="str">
        <f>IF($F196="unclassified","N/A",(_xlfn.XLOOKUP($E196,Sheet2!$A:$A,Sheet2!R:R,"N/A",0,1)))</f>
        <v>N/A</v>
      </c>
      <c r="J196" s="25" t="str">
        <f>IF($F196="unclassified","N/A",(_xlfn.XLOOKUP($E196,Sheet2!$A:$A,Sheet2!S:S,"N/A",0,1)))</f>
        <v>N/A</v>
      </c>
      <c r="K196" s="25" t="str">
        <f>IF($F196="unclassified","N/A",(_xlfn.XLOOKUP($E196,Sheet2!$A:$A,Sheet2!T:T,"N/A",0,1)))</f>
        <v>N/A</v>
      </c>
      <c r="L196" s="25" t="str">
        <f>IF($F196="unclassified","N/A",(_xlfn.XLOOKUP($E196,Sheet2!$A:$A,Sheet2!U:U,"N/A",0,1)))</f>
        <v>N/A</v>
      </c>
      <c r="M196" s="25" t="str">
        <f>IF($F196="unclassified","N/A",(_xlfn.XLOOKUP($E196,Sheet2!$A:$A,Sheet2!V:V,"N/A",0,1)))</f>
        <v>N/A</v>
      </c>
      <c r="N196" s="25"/>
      <c r="O196" s="25" t="str">
        <f>IF($F196="unclassified","N/A",(_xlfn.XLOOKUP($E196,Sheet2!$A:$A,Sheet2!W:W,"N/A",0,1)))</f>
        <v>N/A</v>
      </c>
      <c r="P196" s="25" t="str">
        <f>IF($F196="unclassified","N/A",(_xlfn.XLOOKUP($E196,Sheet2!$A:$A,Sheet2!X:X,"N/A",0,1)))</f>
        <v>N/A</v>
      </c>
      <c r="Q196" s="25" t="str">
        <f>IF($F196="unclassified","N/A",(_xlfn.XLOOKUP($E196,Sheet2!$A:$A,Sheet2!Y:Y,"N/A",0,1)))</f>
        <v>N/A</v>
      </c>
      <c r="R196" s="25" t="str">
        <f>IF($F196="unclassified","N/A",(_xlfn.XLOOKUP($E196,Sheet2!$A:$A,Sheet2!Z:Z,"N/A",0,1)))</f>
        <v>N/A</v>
      </c>
      <c r="S196" s="25" t="str">
        <f>IF($F196="unclassified","N/A",(_xlfn.XLOOKUP($E196,Sheet2!$A:$A,Sheet2!AA:AA,"N/A",0,1)))</f>
        <v>N/A</v>
      </c>
      <c r="T196" s="25" t="str">
        <f>IF($F196="unclassified","N/A",(_xlfn.XLOOKUP($E196,Sheet2!$A:$A,Sheet2!AB:AB,"N/A",0,1)))</f>
        <v>N/A</v>
      </c>
      <c r="U196" s="11" t="str">
        <f>IF($F196="unclassified","N/A",(AVERAGE(Table3253[[#This Row],[PO nr]:[Delivery Date]])))</f>
        <v>N/A</v>
      </c>
      <c r="V196" s="21"/>
      <c r="W196" s="21"/>
      <c r="X196" s="21"/>
      <c r="Y196" s="21"/>
      <c r="Z196" s="21"/>
    </row>
    <row r="197" spans="4:26" ht="15" customHeight="1" x14ac:dyDescent="0.3">
      <c r="D197" s="30">
        <f>_xlfn.XLOOKUP(Table3253[[#This Row],[File Name]],'Analyse 2 Detail 02-03'!A:A,'Analyse 2 Detail 02-03'!R:R,"Not Found",0,1)</f>
        <v>0</v>
      </c>
      <c r="E197" s="2" t="s">
        <v>168</v>
      </c>
      <c r="F197" s="64" t="s">
        <v>11</v>
      </c>
      <c r="G197" s="71">
        <v>0</v>
      </c>
      <c r="H197" s="25" t="str">
        <f>IF($F197="unclassified","N/A",(_xlfn.XLOOKUP($E197,Sheet2!$A:$A,Sheet2!Q:Q,"N/A",0,1)))</f>
        <v>N/A</v>
      </c>
      <c r="I197" s="25" t="str">
        <f>IF($F197="unclassified","N/A",(_xlfn.XLOOKUP($E197,Sheet2!$A:$A,Sheet2!R:R,"N/A",0,1)))</f>
        <v>N/A</v>
      </c>
      <c r="J197" s="25" t="str">
        <f>IF($F197="unclassified","N/A",(_xlfn.XLOOKUP($E197,Sheet2!$A:$A,Sheet2!S:S,"N/A",0,1)))</f>
        <v>N/A</v>
      </c>
      <c r="K197" s="25" t="str">
        <f>IF($F197="unclassified","N/A",(_xlfn.XLOOKUP($E197,Sheet2!$A:$A,Sheet2!T:T,"N/A",0,1)))</f>
        <v>N/A</v>
      </c>
      <c r="L197" s="25" t="str">
        <f>IF($F197="unclassified","N/A",(_xlfn.XLOOKUP($E197,Sheet2!$A:$A,Sheet2!U:U,"N/A",0,1)))</f>
        <v>N/A</v>
      </c>
      <c r="M197" s="25" t="str">
        <f>IF($F197="unclassified","N/A",(_xlfn.XLOOKUP($E197,Sheet2!$A:$A,Sheet2!V:V,"N/A",0,1)))</f>
        <v>N/A</v>
      </c>
      <c r="N197" s="25"/>
      <c r="O197" s="25" t="str">
        <f>IF($F197="unclassified","N/A",(_xlfn.XLOOKUP($E197,Sheet2!$A:$A,Sheet2!W:W,"N/A",0,1)))</f>
        <v>N/A</v>
      </c>
      <c r="P197" s="25" t="str">
        <f>IF($F197="unclassified","N/A",(_xlfn.XLOOKUP($E197,Sheet2!$A:$A,Sheet2!X:X,"N/A",0,1)))</f>
        <v>N/A</v>
      </c>
      <c r="Q197" s="25" t="str">
        <f>IF($F197="unclassified","N/A",(_xlfn.XLOOKUP($E197,Sheet2!$A:$A,Sheet2!Y:Y,"N/A",0,1)))</f>
        <v>N/A</v>
      </c>
      <c r="R197" s="25" t="str">
        <f>IF($F197="unclassified","N/A",(_xlfn.XLOOKUP($E197,Sheet2!$A:$A,Sheet2!Z:Z,"N/A",0,1)))</f>
        <v>N/A</v>
      </c>
      <c r="S197" s="25" t="str">
        <f>IF($F197="unclassified","N/A",(_xlfn.XLOOKUP($E197,Sheet2!$A:$A,Sheet2!AA:AA,"N/A",0,1)))</f>
        <v>N/A</v>
      </c>
      <c r="T197" s="25" t="str">
        <f>IF($F197="unclassified","N/A",(_xlfn.XLOOKUP($E197,Sheet2!$A:$A,Sheet2!AB:AB,"N/A",0,1)))</f>
        <v>N/A</v>
      </c>
      <c r="U197" s="11" t="str">
        <f>IF($F197="unclassified","N/A",(AVERAGE(Table3253[[#This Row],[PO nr]:[Delivery Date]])))</f>
        <v>N/A</v>
      </c>
      <c r="V197" s="21"/>
      <c r="W197" s="21"/>
      <c r="X197" s="21"/>
      <c r="Y197" s="21"/>
      <c r="Z197" s="21"/>
    </row>
    <row r="198" spans="4:26" ht="15" customHeight="1" x14ac:dyDescent="0.3">
      <c r="D198" s="30" t="str">
        <f>_xlfn.XLOOKUP(Table3253[[#This Row],[File Name]],'Analyse 2 Detail 02-03'!A:A,'Analyse 2 Detail 02-03'!R:R,"Not Found",0,1)</f>
        <v>QRS Healthcare BV</v>
      </c>
      <c r="E198" s="2" t="s">
        <v>180</v>
      </c>
      <c r="F198" s="64" t="s">
        <v>9</v>
      </c>
      <c r="G198" s="71">
        <v>0</v>
      </c>
      <c r="H198" s="25">
        <f>IF($F198="unclassified","N/A",(_xlfn.XLOOKUP($E198,Sheet2!$A:$A,Sheet2!Q:Q,"N/A",0,1)))</f>
        <v>1</v>
      </c>
      <c r="I198" s="25">
        <f>IF($F198="unclassified","N/A",(_xlfn.XLOOKUP($E198,Sheet2!$A:$A,Sheet2!R:R,"N/A",0,1)))</f>
        <v>1</v>
      </c>
      <c r="J198" s="25">
        <f>IF($F198="unclassified","N/A",(_xlfn.XLOOKUP($E198,Sheet2!$A:$A,Sheet2!S:S,"N/A",0,1)))</f>
        <v>1</v>
      </c>
      <c r="K198" s="25">
        <f>IF($F198="unclassified","N/A",(_xlfn.XLOOKUP($E198,Sheet2!$A:$A,Sheet2!T:T,"N/A",0,1)))</f>
        <v>1</v>
      </c>
      <c r="L198" s="25">
        <f>IF($F198="unclassified","N/A",(_xlfn.XLOOKUP($E198,Sheet2!$A:$A,Sheet2!U:U,"N/A",0,1)))</f>
        <v>1</v>
      </c>
      <c r="M198" s="25">
        <f>IF($F198="unclassified","N/A",(_xlfn.XLOOKUP($E198,Sheet2!$A:$A,Sheet2!V:V,"N/A",0,1)))</f>
        <v>1</v>
      </c>
      <c r="N198" s="25"/>
      <c r="O198" s="25">
        <f>IF($F198="unclassified","N/A",(_xlfn.XLOOKUP($E198,Sheet2!$A:$A,Sheet2!W:W,"N/A",0,1)))</f>
        <v>1</v>
      </c>
      <c r="P198" s="25">
        <f>IF($F198="unclassified","N/A",(_xlfn.XLOOKUP($E198,Sheet2!$A:$A,Sheet2!X:X,"N/A",0,1)))</f>
        <v>1</v>
      </c>
      <c r="Q198" s="25">
        <f>IF($F198="unclassified","N/A",(_xlfn.XLOOKUP($E198,Sheet2!$A:$A,Sheet2!Y:Y,"N/A",0,1)))</f>
        <v>1</v>
      </c>
      <c r="R198" s="25">
        <f>IF($F198="unclassified","N/A",(_xlfn.XLOOKUP($E198,Sheet2!$A:$A,Sheet2!Z:Z,"N/A",0,1)))</f>
        <v>1</v>
      </c>
      <c r="S198" s="25">
        <f>IF($F198="unclassified","N/A",(_xlfn.XLOOKUP($E198,Sheet2!$A:$A,Sheet2!AA:AA,"N/A",0,1)))</f>
        <v>1</v>
      </c>
      <c r="T198" s="25">
        <f>IF($F198="unclassified","N/A",(_xlfn.XLOOKUP($E198,Sheet2!$A:$A,Sheet2!AB:AB,"N/A",0,1)))</f>
        <v>1</v>
      </c>
      <c r="U198" s="11">
        <f>IF($F198="unclassified","N/A",(AVERAGE(Table3253[[#This Row],[PO nr]:[Delivery Date]])))</f>
        <v>1</v>
      </c>
      <c r="V198" s="21"/>
      <c r="W198" s="21"/>
      <c r="X198" s="21"/>
      <c r="Y198" s="21"/>
      <c r="Z198" s="21"/>
    </row>
    <row r="199" spans="4:26" ht="15" customHeight="1" x14ac:dyDescent="0.3">
      <c r="D199" s="30" t="str">
        <f>_xlfn.XLOOKUP(Table3253[[#This Row],[File Name]],'Analyse 2 Detail 02-03'!A:A,'Analyse 2 Detail 02-03'!R:R,"Not Found",0,1)</f>
        <v>Brocacef BV</v>
      </c>
      <c r="E199" s="2" t="s">
        <v>175</v>
      </c>
      <c r="F199" s="64" t="s">
        <v>9</v>
      </c>
      <c r="G199" s="71">
        <v>11</v>
      </c>
      <c r="H199" s="25">
        <f>IF($F199="unclassified","N/A",(_xlfn.XLOOKUP($E199,Sheet2!$A:$A,Sheet2!Q:Q,"N/A",0,1)))</f>
        <v>1</v>
      </c>
      <c r="I199" s="25">
        <f>IF($F199="unclassified","N/A",(_xlfn.XLOOKUP($E199,Sheet2!$A:$A,Sheet2!R:R,"N/A",0,1)))</f>
        <v>1</v>
      </c>
      <c r="J199" s="25">
        <f>IF($F199="unclassified","N/A",(_xlfn.XLOOKUP($E199,Sheet2!$A:$A,Sheet2!S:S,"N/A",0,1)))</f>
        <v>1</v>
      </c>
      <c r="K199" s="25">
        <f>IF($F199="unclassified","N/A",(_xlfn.XLOOKUP($E199,Sheet2!$A:$A,Sheet2!T:T,"N/A",0,1)))</f>
        <v>1</v>
      </c>
      <c r="L199" s="25">
        <f>IF($F199="unclassified","N/A",(_xlfn.XLOOKUP($E199,Sheet2!$A:$A,Sheet2!U:U,"N/A",0,1)))</f>
        <v>1</v>
      </c>
      <c r="M199" s="25">
        <v>1</v>
      </c>
      <c r="N199" s="25"/>
      <c r="O199" s="25">
        <f>IF($F199="unclassified","N/A",(_xlfn.XLOOKUP($E199,Sheet2!$A:$A,Sheet2!W:W,"N/A",0,1)))</f>
        <v>1</v>
      </c>
      <c r="P199" s="25">
        <f>IF($F199="unclassified","N/A",(_xlfn.XLOOKUP($E199,Sheet2!$A:$A,Sheet2!X:X,"N/A",0,1)))</f>
        <v>1</v>
      </c>
      <c r="Q199" s="25">
        <f>IF($F199="unclassified","N/A",(_xlfn.XLOOKUP($E199,Sheet2!$A:$A,Sheet2!Y:Y,"N/A",0,1)))</f>
        <v>1</v>
      </c>
      <c r="R199" s="25">
        <f>IF($F199="unclassified","N/A",(_xlfn.XLOOKUP($E199,Sheet2!$A:$A,Sheet2!Z:Z,"N/A",0,1)))</f>
        <v>1</v>
      </c>
      <c r="S199" s="25">
        <v>1</v>
      </c>
      <c r="T199" s="25">
        <v>1</v>
      </c>
      <c r="U199" s="11">
        <f>IF($F199="unclassified","N/A",(AVERAGE(Table3253[[#This Row],[PO nr]:[Delivery Date]])))</f>
        <v>1</v>
      </c>
      <c r="V199" s="21" t="s">
        <v>218</v>
      </c>
      <c r="W199" s="21"/>
      <c r="X199" s="21"/>
      <c r="Y199" s="21"/>
      <c r="Z199" s="21"/>
    </row>
    <row r="200" spans="4:26" ht="15" customHeight="1" x14ac:dyDescent="0.3">
      <c r="D200" s="30" t="str">
        <f>_xlfn.XLOOKUP(Table3253[[#This Row],[File Name]],'Analyse 2 Detail 02-03'!A:A,'Analyse 2 Detail 02-03'!R:R,"Not Found",0,1)</f>
        <v>Brocacef</v>
      </c>
      <c r="E200" s="2" t="s">
        <v>140</v>
      </c>
      <c r="F200" s="64" t="s">
        <v>9</v>
      </c>
      <c r="G200" s="71">
        <v>2</v>
      </c>
      <c r="H200" s="25">
        <f>IF($F200="unclassified","N/A",(_xlfn.XLOOKUP($E200,Sheet2!$A:$A,Sheet2!Q:Q,"N/A",0,1)))</f>
        <v>1</v>
      </c>
      <c r="I200" s="25">
        <f>IF($F200="unclassified","N/A",(_xlfn.XLOOKUP($E200,Sheet2!$A:$A,Sheet2!R:R,"N/A",0,1)))</f>
        <v>1</v>
      </c>
      <c r="J200" s="25">
        <f>IF($F200="unclassified","N/A",(_xlfn.XLOOKUP($E200,Sheet2!$A:$A,Sheet2!S:S,"N/A",0,1)))</f>
        <v>1</v>
      </c>
      <c r="K200" s="25">
        <f>IF($F200="unclassified","N/A",(_xlfn.XLOOKUP($E200,Sheet2!$A:$A,Sheet2!T:T,"N/A",0,1)))</f>
        <v>1</v>
      </c>
      <c r="L200" s="25">
        <f>IF($F200="unclassified","N/A",(_xlfn.XLOOKUP($E200,Sheet2!$A:$A,Sheet2!U:U,"N/A",0,1)))</f>
        <v>1</v>
      </c>
      <c r="M200" s="25">
        <v>1</v>
      </c>
      <c r="N200" s="25"/>
      <c r="O200" s="25">
        <f>IF($F200="unclassified","N/A",(_xlfn.XLOOKUP($E200,Sheet2!$A:$A,Sheet2!W:W,"N/A",0,1)))</f>
        <v>1</v>
      </c>
      <c r="P200" s="25">
        <f>IF($F200="unclassified","N/A",(_xlfn.XLOOKUP($E200,Sheet2!$A:$A,Sheet2!X:X,"N/A",0,1)))</f>
        <v>1</v>
      </c>
      <c r="Q200" s="25">
        <f>IF($F200="unclassified","N/A",(_xlfn.XLOOKUP($E200,Sheet2!$A:$A,Sheet2!Y:Y,"N/A",0,1)))</f>
        <v>1</v>
      </c>
      <c r="R200" s="25">
        <f>IF($F200="unclassified","N/A",(_xlfn.XLOOKUP($E200,Sheet2!$A:$A,Sheet2!Z:Z,"N/A",0,1)))</f>
        <v>1</v>
      </c>
      <c r="S200" s="25">
        <v>1</v>
      </c>
      <c r="T200" s="25">
        <f>IF($F200="unclassified","N/A",(_xlfn.XLOOKUP($E200,Sheet2!$A:$A,Sheet2!AB:AB,"N/A",0,1)))</f>
        <v>1</v>
      </c>
      <c r="U200" s="11">
        <f>IF($F200="unclassified","N/A",(AVERAGE(Table3253[[#This Row],[PO nr]:[Delivery Date]])))</f>
        <v>1</v>
      </c>
      <c r="V200" s="21" t="s">
        <v>219</v>
      </c>
      <c r="W200" s="21"/>
      <c r="X200" s="21"/>
      <c r="Y200" s="21"/>
      <c r="Z200" s="21"/>
    </row>
    <row r="201" spans="4:26" ht="15" customHeight="1" x14ac:dyDescent="0.3">
      <c r="D201" s="30" t="str">
        <f>_xlfn.XLOOKUP(Table3253[[#This Row],[File Name]],'Analyse 2 Detail 02-03'!A:A,'Analyse 2 Detail 02-03'!R:R,"Not Found",0,1)</f>
        <v>Van Hoeckel</v>
      </c>
      <c r="E201" s="2" t="s">
        <v>118</v>
      </c>
      <c r="F201" s="64" t="s">
        <v>9</v>
      </c>
      <c r="G201" s="71">
        <v>2</v>
      </c>
      <c r="H201" s="25">
        <v>1</v>
      </c>
      <c r="I201" s="25">
        <v>1</v>
      </c>
      <c r="J201" s="25">
        <f>IF($F201="unclassified","N/A",(_xlfn.XLOOKUP($E201,Sheet2!$A:$A,Sheet2!S:S,"N/A",0,1)))</f>
        <v>1</v>
      </c>
      <c r="K201" s="25">
        <f>IF($F201="unclassified","N/A",(_xlfn.XLOOKUP($E201,Sheet2!$A:$A,Sheet2!T:T,"N/A",0,1)))</f>
        <v>1</v>
      </c>
      <c r="L201" s="25">
        <f>IF($F201="unclassified","N/A",(_xlfn.XLOOKUP($E201,Sheet2!$A:$A,Sheet2!U:U,"N/A",0,1)))</f>
        <v>1</v>
      </c>
      <c r="M201" s="25">
        <v>1</v>
      </c>
      <c r="N201" s="25"/>
      <c r="O201" s="25">
        <f>IF($F201="unclassified","N/A",(_xlfn.XLOOKUP($E201,Sheet2!$A:$A,Sheet2!W:W,"N/A",0,1)))</f>
        <v>1</v>
      </c>
      <c r="P201" s="25">
        <f>IF($F201="unclassified","N/A",(_xlfn.XLOOKUP($E201,Sheet2!$A:$A,Sheet2!X:X,"N/A",0,1)))</f>
        <v>1</v>
      </c>
      <c r="Q201" s="25">
        <f>IF($F201="unclassified","N/A",(_xlfn.XLOOKUP($E201,Sheet2!$A:$A,Sheet2!Y:Y,"N/A",0,1)))</f>
        <v>1</v>
      </c>
      <c r="R201" s="25">
        <f>IF($F201="unclassified","N/A",(_xlfn.XLOOKUP($E201,Sheet2!$A:$A,Sheet2!Z:Z,"N/A",0,1)))</f>
        <v>1</v>
      </c>
      <c r="S201" s="25">
        <v>1</v>
      </c>
      <c r="T201" s="25">
        <f>IF($F201="unclassified","N/A",(_xlfn.XLOOKUP($E201,Sheet2!$A:$A,Sheet2!AB:AB,"N/A",0,1)))</f>
        <v>1</v>
      </c>
      <c r="U201" s="11">
        <f>IF($F201="unclassified","N/A",(AVERAGE(Table3253[[#This Row],[PO nr]:[Delivery Date]])))</f>
        <v>1</v>
      </c>
      <c r="V201" s="84" t="s">
        <v>220</v>
      </c>
      <c r="W201" s="21" t="s">
        <v>222</v>
      </c>
      <c r="X201" s="21"/>
      <c r="Y201" s="21"/>
      <c r="Z201" s="21"/>
    </row>
    <row r="202" spans="4:26" ht="15" customHeight="1" x14ac:dyDescent="0.3">
      <c r="D202" s="30" t="str">
        <f>_xlfn.XLOOKUP(Table3253[[#This Row],[File Name]],'Analyse 2 Detail 02-03'!A:A,'Analyse 2 Detail 02-03'!R:R,"Not Found",0,1)</f>
        <v>Van Hoeckel</v>
      </c>
      <c r="E202" s="2" t="s">
        <v>177</v>
      </c>
      <c r="F202" s="64" t="s">
        <v>9</v>
      </c>
      <c r="G202" s="71">
        <v>3</v>
      </c>
      <c r="H202" s="25">
        <f>IF($F202="unclassified","N/A",(_xlfn.XLOOKUP($E202,Sheet2!$A:$A,Sheet2!Q:Q,"N/A",0,1)))</f>
        <v>1</v>
      </c>
      <c r="I202" s="25">
        <v>1</v>
      </c>
      <c r="J202" s="25">
        <f>IF($F202="unclassified","N/A",(_xlfn.XLOOKUP($E202,Sheet2!$A:$A,Sheet2!S:S,"N/A",0,1)))</f>
        <v>1</v>
      </c>
      <c r="K202" s="25">
        <f>IF($F202="unclassified","N/A",(_xlfn.XLOOKUP($E202,Sheet2!$A:$A,Sheet2!T:T,"N/A",0,1)))</f>
        <v>1</v>
      </c>
      <c r="L202" s="25">
        <f>IF($F202="unclassified","N/A",(_xlfn.XLOOKUP($E202,Sheet2!$A:$A,Sheet2!U:U,"N/A",0,1)))</f>
        <v>1</v>
      </c>
      <c r="M202" s="25">
        <v>1</v>
      </c>
      <c r="N202" s="25"/>
      <c r="O202" s="25">
        <f>IF($F202="unclassified","N/A",(_xlfn.XLOOKUP($E202,Sheet2!$A:$A,Sheet2!W:W,"N/A",0,1)))</f>
        <v>1</v>
      </c>
      <c r="P202" s="25">
        <f>IF($F202="unclassified","N/A",(_xlfn.XLOOKUP($E202,Sheet2!$A:$A,Sheet2!X:X,"N/A",0,1)))</f>
        <v>1</v>
      </c>
      <c r="Q202" s="25">
        <f>IF($F202="unclassified","N/A",(_xlfn.XLOOKUP($E202,Sheet2!$A:$A,Sheet2!Y:Y,"N/A",0,1)))</f>
        <v>1</v>
      </c>
      <c r="R202" s="25">
        <f>IF($F202="unclassified","N/A",(_xlfn.XLOOKUP($E202,Sheet2!$A:$A,Sheet2!Z:Z,"N/A",0,1)))</f>
        <v>1</v>
      </c>
      <c r="S202" s="25">
        <v>1</v>
      </c>
      <c r="T202" s="25">
        <f>IF($F202="unclassified","N/A",(_xlfn.XLOOKUP($E202,Sheet2!$A:$A,Sheet2!AB:AB,"N/A",0,1)))</f>
        <v>1</v>
      </c>
      <c r="U202" s="11">
        <f>IF($F202="unclassified","N/A",(AVERAGE(Table3253[[#This Row],[PO nr]:[Delivery Date]])))</f>
        <v>1</v>
      </c>
      <c r="V202" s="84" t="s">
        <v>223</v>
      </c>
      <c r="W202" s="21" t="s">
        <v>222</v>
      </c>
      <c r="X202" s="21"/>
      <c r="Y202" s="21"/>
      <c r="Z202" s="21"/>
    </row>
    <row r="203" spans="4:26" ht="15" customHeight="1" x14ac:dyDescent="0.3">
      <c r="D203" s="30" t="str">
        <f>_xlfn.XLOOKUP(Table3253[[#This Row],[File Name]],'Analyse 2 Detail 02-03'!A:A,'Analyse 2 Detail 02-03'!R:R,"Not Found",0,1)</f>
        <v>Van Hoeckel</v>
      </c>
      <c r="E203" s="2" t="s">
        <v>123</v>
      </c>
      <c r="F203" s="64" t="s">
        <v>9</v>
      </c>
      <c r="G203" s="71">
        <v>4</v>
      </c>
      <c r="H203" s="25">
        <f>IF($F203="unclassified","N/A",(_xlfn.XLOOKUP($E203,Sheet2!$A:$A,Sheet2!Q:Q,"N/A",0,1)))</f>
        <v>1</v>
      </c>
      <c r="I203" s="25">
        <v>1</v>
      </c>
      <c r="J203" s="25">
        <f>IF($F203="unclassified","N/A",(_xlfn.XLOOKUP($E203,Sheet2!$A:$A,Sheet2!S:S,"N/A",0,1)))</f>
        <v>1</v>
      </c>
      <c r="K203" s="25">
        <f>IF($F203="unclassified","N/A",(_xlfn.XLOOKUP($E203,Sheet2!$A:$A,Sheet2!T:T,"N/A",0,1)))</f>
        <v>1</v>
      </c>
      <c r="L203" s="25">
        <f>IF($F203="unclassified","N/A",(_xlfn.XLOOKUP($E203,Sheet2!$A:$A,Sheet2!U:U,"N/A",0,1)))</f>
        <v>1</v>
      </c>
      <c r="M203" s="25">
        <v>1</v>
      </c>
      <c r="N203" s="25"/>
      <c r="O203" s="25">
        <f>IF($F203="unclassified","N/A",(_xlfn.XLOOKUP($E203,Sheet2!$A:$A,Sheet2!W:W,"N/A",0,1)))</f>
        <v>1</v>
      </c>
      <c r="P203" s="25">
        <f>IF($F203="unclassified","N/A",(_xlfn.XLOOKUP($E203,Sheet2!$A:$A,Sheet2!X:X,"N/A",0,1)))</f>
        <v>1</v>
      </c>
      <c r="Q203" s="25">
        <f>IF($F203="unclassified","N/A",(_xlfn.XLOOKUP($E203,Sheet2!$A:$A,Sheet2!Y:Y,"N/A",0,1)))</f>
        <v>1</v>
      </c>
      <c r="R203" s="25">
        <v>1</v>
      </c>
      <c r="S203" s="25">
        <v>1</v>
      </c>
      <c r="T203" s="25">
        <f>IF($F203="unclassified","N/A",(_xlfn.XLOOKUP($E203,Sheet2!$A:$A,Sheet2!AB:AB,"N/A",0,1)))</f>
        <v>1</v>
      </c>
      <c r="U203" s="11">
        <f>IF($F203="unclassified","N/A",(AVERAGE(Table3253[[#This Row],[PO nr]:[Delivery Date]])))</f>
        <v>1</v>
      </c>
      <c r="V203" s="84" t="s">
        <v>221</v>
      </c>
      <c r="W203" s="21" t="s">
        <v>222</v>
      </c>
      <c r="X203" s="21"/>
      <c r="Y203" s="21"/>
      <c r="Z203" s="21"/>
    </row>
    <row r="204" spans="4:26" ht="15" customHeight="1" x14ac:dyDescent="0.3">
      <c r="D204" s="30" t="str">
        <f>_xlfn.XLOOKUP(Table3253[[#This Row],[File Name]],'Analyse 2 Detail 02-03'!A:A,'Analyse 2 Detail 02-03'!R:R,"Not Found",0,1)</f>
        <v>G3 Medical B.V.</v>
      </c>
      <c r="E204" s="2" t="s">
        <v>105</v>
      </c>
      <c r="F204" s="64" t="s">
        <v>9</v>
      </c>
      <c r="G204" s="71">
        <v>0</v>
      </c>
      <c r="H204" s="25">
        <f>IF($F204="unclassified","N/A",(_xlfn.XLOOKUP($E204,Sheet2!$A:$A,Sheet2!Q:Q,"N/A",0,1)))</f>
        <v>1</v>
      </c>
      <c r="I204" s="25">
        <f>IF($F204="unclassified","N/A",(_xlfn.XLOOKUP($E204,Sheet2!$A:$A,Sheet2!R:R,"N/A",0,1)))</f>
        <v>1</v>
      </c>
      <c r="J204" s="25">
        <f>IF($F204="unclassified","N/A",(_xlfn.XLOOKUP($E204,Sheet2!$A:$A,Sheet2!S:S,"N/A",0,1)))</f>
        <v>1</v>
      </c>
      <c r="K204" s="25">
        <f>IF($F204="unclassified","N/A",(_xlfn.XLOOKUP($E204,Sheet2!$A:$A,Sheet2!T:T,"N/A",0,1)))</f>
        <v>1</v>
      </c>
      <c r="L204" s="25">
        <f>IF($F204="unclassified","N/A",(_xlfn.XLOOKUP($E204,Sheet2!$A:$A,Sheet2!U:U,"N/A",0,1)))</f>
        <v>1</v>
      </c>
      <c r="M204" s="25">
        <f>IF($F204="unclassified","N/A",(_xlfn.XLOOKUP($E204,Sheet2!$A:$A,Sheet2!V:V,"N/A",0,1)))</f>
        <v>1</v>
      </c>
      <c r="N204" s="25"/>
      <c r="O204" s="25">
        <f>IF($F204="unclassified","N/A",(_xlfn.XLOOKUP($E204,Sheet2!$A:$A,Sheet2!W:W,"N/A",0,1)))</f>
        <v>1</v>
      </c>
      <c r="P204" s="25">
        <f>IF($F204="unclassified","N/A",(_xlfn.XLOOKUP($E204,Sheet2!$A:$A,Sheet2!X:X,"N/A",0,1)))</f>
        <v>1</v>
      </c>
      <c r="Q204" s="25">
        <f>IF($F204="unclassified","N/A",(_xlfn.XLOOKUP($E204,Sheet2!$A:$A,Sheet2!Y:Y,"N/A",0,1)))</f>
        <v>1</v>
      </c>
      <c r="R204" s="25">
        <f>IF($F204="unclassified","N/A",(_xlfn.XLOOKUP($E204,Sheet2!$A:$A,Sheet2!Z:Z,"N/A",0,1)))</f>
        <v>1</v>
      </c>
      <c r="S204" s="25">
        <f>IF($F204="unclassified","N/A",(_xlfn.XLOOKUP($E204,Sheet2!$A:$A,Sheet2!AA:AA,"N/A",0,1)))</f>
        <v>1</v>
      </c>
      <c r="T204" s="25">
        <f>IF($F204="unclassified","N/A",(_xlfn.XLOOKUP($E204,Sheet2!$A:$A,Sheet2!AB:AB,"N/A",0,1)))</f>
        <v>1</v>
      </c>
      <c r="U204" s="11">
        <f>IF($F204="unclassified","N/A",(AVERAGE(Table3253[[#This Row],[PO nr]:[Delivery Date]])))</f>
        <v>1</v>
      </c>
      <c r="V204" s="21"/>
      <c r="W204" s="21"/>
      <c r="X204" s="21"/>
      <c r="Y204" s="21"/>
      <c r="Z204" s="21"/>
    </row>
    <row r="205" spans="4:26" ht="15" customHeight="1" x14ac:dyDescent="0.3">
      <c r="D205" s="30" t="str">
        <f>_xlfn.XLOOKUP(Table3253[[#This Row],[File Name]],'Analyse 2 Detail 02-03'!A:A,'Analyse 2 Detail 02-03'!R:R,"Not Found",0,1)</f>
        <v>G3 Medical B.V.</v>
      </c>
      <c r="E205" s="2" t="s">
        <v>126</v>
      </c>
      <c r="F205" s="64" t="s">
        <v>9</v>
      </c>
      <c r="G205" s="71">
        <v>0</v>
      </c>
      <c r="H205" s="25">
        <f>IF($F205="unclassified","N/A",(_xlfn.XLOOKUP($E205,Sheet2!$A:$A,Sheet2!Q:Q,"N/A",0,1)))</f>
        <v>1</v>
      </c>
      <c r="I205" s="25">
        <f>IF($F205="unclassified","N/A",(_xlfn.XLOOKUP($E205,Sheet2!$A:$A,Sheet2!R:R,"N/A",0,1)))</f>
        <v>1</v>
      </c>
      <c r="J205" s="25">
        <f>IF($F205="unclassified","N/A",(_xlfn.XLOOKUP($E205,Sheet2!$A:$A,Sheet2!S:S,"N/A",0,1)))</f>
        <v>1</v>
      </c>
      <c r="K205" s="25">
        <f>IF($F205="unclassified","N/A",(_xlfn.XLOOKUP($E205,Sheet2!$A:$A,Sheet2!T:T,"N/A",0,1)))</f>
        <v>1</v>
      </c>
      <c r="L205" s="25">
        <f>IF($F205="unclassified","N/A",(_xlfn.XLOOKUP($E205,Sheet2!$A:$A,Sheet2!U:U,"N/A",0,1)))</f>
        <v>1</v>
      </c>
      <c r="M205" s="25">
        <f>IF($F205="unclassified","N/A",(_xlfn.XLOOKUP($E205,Sheet2!$A:$A,Sheet2!V:V,"N/A",0,1)))</f>
        <v>1</v>
      </c>
      <c r="N205" s="25"/>
      <c r="O205" s="25">
        <f>IF($F205="unclassified","N/A",(_xlfn.XLOOKUP($E205,Sheet2!$A:$A,Sheet2!W:W,"N/A",0,1)))</f>
        <v>1</v>
      </c>
      <c r="P205" s="25">
        <f>IF($F205="unclassified","N/A",(_xlfn.XLOOKUP($E205,Sheet2!$A:$A,Sheet2!X:X,"N/A",0,1)))</f>
        <v>1</v>
      </c>
      <c r="Q205" s="25">
        <f>IF($F205="unclassified","N/A",(_xlfn.XLOOKUP($E205,Sheet2!$A:$A,Sheet2!Y:Y,"N/A",0,1)))</f>
        <v>1</v>
      </c>
      <c r="R205" s="25">
        <f>IF($F205="unclassified","N/A",(_xlfn.XLOOKUP($E205,Sheet2!$A:$A,Sheet2!Z:Z,"N/A",0,1)))</f>
        <v>1</v>
      </c>
      <c r="S205" s="25">
        <f>IF($F205="unclassified","N/A",(_xlfn.XLOOKUP($E205,Sheet2!$A:$A,Sheet2!AA:AA,"N/A",0,1)))</f>
        <v>1</v>
      </c>
      <c r="T205" s="25">
        <f>IF($F205="unclassified","N/A",(_xlfn.XLOOKUP($E205,Sheet2!$A:$A,Sheet2!AB:AB,"N/A",0,1)))</f>
        <v>1</v>
      </c>
      <c r="U205" s="11">
        <f>IF($F205="unclassified","N/A",(AVERAGE(Table3253[[#This Row],[PO nr]:[Delivery Date]])))</f>
        <v>1</v>
      </c>
      <c r="V205" s="21"/>
      <c r="W205" s="21"/>
      <c r="X205" s="21"/>
      <c r="Y205" s="21"/>
      <c r="Z205" s="21"/>
    </row>
    <row r="206" spans="4:26" ht="15" customHeight="1" x14ac:dyDescent="0.3">
      <c r="D206" s="30">
        <f>_xlfn.XLOOKUP(Table3253[[#This Row],[File Name]],'Analyse 2 Detail 02-03'!A:A,'Analyse 2 Detail 02-03'!R:R,"Not Found",0,1)</f>
        <v>0</v>
      </c>
      <c r="E206" s="2" t="s">
        <v>115</v>
      </c>
      <c r="F206" s="64" t="s">
        <v>11</v>
      </c>
      <c r="G206" s="71">
        <v>0</v>
      </c>
      <c r="H206" s="25" t="str">
        <f>IF($F206="unclassified","N/A",(_xlfn.XLOOKUP($E206,Sheet2!$A:$A,Sheet2!Q:Q,"N/A",0,1)))</f>
        <v>N/A</v>
      </c>
      <c r="I206" s="25" t="str">
        <f>IF($F206="unclassified","N/A",(_xlfn.XLOOKUP($E206,Sheet2!$A:$A,Sheet2!R:R,"N/A",0,1)))</f>
        <v>N/A</v>
      </c>
      <c r="J206" s="25" t="str">
        <f>IF($F206="unclassified","N/A",(_xlfn.XLOOKUP($E206,Sheet2!$A:$A,Sheet2!S:S,"N/A",0,1)))</f>
        <v>N/A</v>
      </c>
      <c r="K206" s="25" t="str">
        <f>IF($F206="unclassified","N/A",(_xlfn.XLOOKUP($E206,Sheet2!$A:$A,Sheet2!T:T,"N/A",0,1)))</f>
        <v>N/A</v>
      </c>
      <c r="L206" s="25" t="str">
        <f>IF($F206="unclassified","N/A",(_xlfn.XLOOKUP($E206,Sheet2!$A:$A,Sheet2!U:U,"N/A",0,1)))</f>
        <v>N/A</v>
      </c>
      <c r="M206" s="25" t="str">
        <f>IF($F206="unclassified","N/A",(_xlfn.XLOOKUP($E206,Sheet2!$A:$A,Sheet2!V:V,"N/A",0,1)))</f>
        <v>N/A</v>
      </c>
      <c r="N206" s="25"/>
      <c r="O206" s="25" t="str">
        <f>IF($F206="unclassified","N/A",(_xlfn.XLOOKUP($E206,Sheet2!$A:$A,Sheet2!W:W,"N/A",0,1)))</f>
        <v>N/A</v>
      </c>
      <c r="P206" s="25" t="str">
        <f>IF($F206="unclassified","N/A",(_xlfn.XLOOKUP($E206,Sheet2!$A:$A,Sheet2!X:X,"N/A",0,1)))</f>
        <v>N/A</v>
      </c>
      <c r="Q206" s="25" t="str">
        <f>IF($F206="unclassified","N/A",(_xlfn.XLOOKUP($E206,Sheet2!$A:$A,Sheet2!Y:Y,"N/A",0,1)))</f>
        <v>N/A</v>
      </c>
      <c r="R206" s="25" t="str">
        <f>IF($F206="unclassified","N/A",(_xlfn.XLOOKUP($E206,Sheet2!$A:$A,Sheet2!Z:Z,"N/A",0,1)))</f>
        <v>N/A</v>
      </c>
      <c r="S206" s="25" t="str">
        <f>IF($F206="unclassified","N/A",(_xlfn.XLOOKUP($E206,Sheet2!$A:$A,Sheet2!AA:AA,"N/A",0,1)))</f>
        <v>N/A</v>
      </c>
      <c r="T206" s="25" t="str">
        <f>IF($F206="unclassified","N/A",(_xlfn.XLOOKUP($E206,Sheet2!$A:$A,Sheet2!AB:AB,"N/A",0,1)))</f>
        <v>N/A</v>
      </c>
      <c r="U206" s="11" t="str">
        <f>IF($F206="unclassified","N/A",(AVERAGE(Table3253[[#This Row],[PO nr]:[Delivery Date]])))</f>
        <v>N/A</v>
      </c>
      <c r="V206" s="21"/>
      <c r="W206" s="21"/>
      <c r="X206" s="21"/>
      <c r="Y206" s="21"/>
      <c r="Z206" s="21"/>
    </row>
    <row r="207" spans="4:26" ht="15" customHeight="1" x14ac:dyDescent="0.3">
      <c r="D207" s="30" t="str">
        <f>_xlfn.XLOOKUP(Table3253[[#This Row],[File Name]],'Analyse 2 Detail 02-03'!A:A,'Analyse 2 Detail 02-03'!R:R,"Not Found",0,1)</f>
        <v>G3 Medical B.V.</v>
      </c>
      <c r="E207" s="2" t="s">
        <v>137</v>
      </c>
      <c r="F207" s="64" t="s">
        <v>9</v>
      </c>
      <c r="G207" s="71">
        <v>0</v>
      </c>
      <c r="H207" s="25">
        <f>IF($F207="unclassified","N/A",(_xlfn.XLOOKUP($E207,Sheet2!$A:$A,Sheet2!Q:Q,"N/A",0,1)))</f>
        <v>1</v>
      </c>
      <c r="I207" s="25">
        <f>IF($F207="unclassified","N/A",(_xlfn.XLOOKUP($E207,Sheet2!$A:$A,Sheet2!R:R,"N/A",0,1)))</f>
        <v>1</v>
      </c>
      <c r="J207" s="25">
        <f>IF($F207="unclassified","N/A",(_xlfn.XLOOKUP($E207,Sheet2!$A:$A,Sheet2!S:S,"N/A",0,1)))</f>
        <v>1</v>
      </c>
      <c r="K207" s="25">
        <f>IF($F207="unclassified","N/A",(_xlfn.XLOOKUP($E207,Sheet2!$A:$A,Sheet2!T:T,"N/A",0,1)))</f>
        <v>1</v>
      </c>
      <c r="L207" s="25">
        <f>IF($F207="unclassified","N/A",(_xlfn.XLOOKUP($E207,Sheet2!$A:$A,Sheet2!U:U,"N/A",0,1)))</f>
        <v>1</v>
      </c>
      <c r="M207" s="25">
        <f>IF($F207="unclassified","N/A",(_xlfn.XLOOKUP($E207,Sheet2!$A:$A,Sheet2!V:V,"N/A",0,1)))</f>
        <v>1</v>
      </c>
      <c r="N207" s="25"/>
      <c r="O207" s="25">
        <f>IF($F207="unclassified","N/A",(_xlfn.XLOOKUP($E207,Sheet2!$A:$A,Sheet2!W:W,"N/A",0,1)))</f>
        <v>1</v>
      </c>
      <c r="P207" s="25">
        <f>IF($F207="unclassified","N/A",(_xlfn.XLOOKUP($E207,Sheet2!$A:$A,Sheet2!X:X,"N/A",0,1)))</f>
        <v>1</v>
      </c>
      <c r="Q207" s="25">
        <f>IF($F207="unclassified","N/A",(_xlfn.XLOOKUP($E207,Sheet2!$A:$A,Sheet2!Y:Y,"N/A",0,1)))</f>
        <v>1</v>
      </c>
      <c r="R207" s="25">
        <f>IF($F207="unclassified","N/A",(_xlfn.XLOOKUP($E207,Sheet2!$A:$A,Sheet2!Z:Z,"N/A",0,1)))</f>
        <v>1</v>
      </c>
      <c r="S207" s="25">
        <f>IF($F207="unclassified","N/A",(_xlfn.XLOOKUP($E207,Sheet2!$A:$A,Sheet2!AA:AA,"N/A",0,1)))</f>
        <v>1</v>
      </c>
      <c r="T207" s="25">
        <f>IF($F207="unclassified","N/A",(_xlfn.XLOOKUP($E207,Sheet2!$A:$A,Sheet2!AB:AB,"N/A",0,1)))</f>
        <v>1</v>
      </c>
      <c r="U207" s="11">
        <f>IF($F207="unclassified","N/A",(AVERAGE(Table3253[[#This Row],[PO nr]:[Delivery Date]])))</f>
        <v>1</v>
      </c>
      <c r="V207" s="21"/>
      <c r="W207" s="21"/>
      <c r="X207" s="21"/>
      <c r="Y207" s="21"/>
      <c r="Z207" s="21"/>
    </row>
    <row r="208" spans="4:26" ht="15" customHeight="1" x14ac:dyDescent="0.3">
      <c r="D208" s="30" t="str">
        <f>_xlfn.XLOOKUP(Table3253[[#This Row],[File Name]],'Analyse 2 Detail 02-03'!A:A,'Analyse 2 Detail 02-03'!R:R,"Not Found",0,1)</f>
        <v>G3 Medical B.V.</v>
      </c>
      <c r="E208" s="2" t="s">
        <v>165</v>
      </c>
      <c r="F208" s="64" t="s">
        <v>9</v>
      </c>
      <c r="G208" s="71">
        <v>0</v>
      </c>
      <c r="H208" s="25">
        <f>IF($F208="unclassified","N/A",(_xlfn.XLOOKUP($E208,Sheet2!$A:$A,Sheet2!Q:Q,"N/A",0,1)))</f>
        <v>1</v>
      </c>
      <c r="I208" s="25">
        <f>IF($F208="unclassified","N/A",(_xlfn.XLOOKUP($E208,Sheet2!$A:$A,Sheet2!R:R,"N/A",0,1)))</f>
        <v>1</v>
      </c>
      <c r="J208" s="25">
        <f>IF($F208="unclassified","N/A",(_xlfn.XLOOKUP($E208,Sheet2!$A:$A,Sheet2!S:S,"N/A",0,1)))</f>
        <v>1</v>
      </c>
      <c r="K208" s="25">
        <f>IF($F208="unclassified","N/A",(_xlfn.XLOOKUP($E208,Sheet2!$A:$A,Sheet2!T:T,"N/A",0,1)))</f>
        <v>1</v>
      </c>
      <c r="L208" s="25">
        <f>IF($F208="unclassified","N/A",(_xlfn.XLOOKUP($E208,Sheet2!$A:$A,Sheet2!U:U,"N/A",0,1)))</f>
        <v>1</v>
      </c>
      <c r="M208" s="25">
        <f>IF($F208="unclassified","N/A",(_xlfn.XLOOKUP($E208,Sheet2!$A:$A,Sheet2!V:V,"N/A",0,1)))</f>
        <v>1</v>
      </c>
      <c r="N208" s="25"/>
      <c r="O208" s="25">
        <f>IF($F208="unclassified","N/A",(_xlfn.XLOOKUP($E208,Sheet2!$A:$A,Sheet2!W:W,"N/A",0,1)))</f>
        <v>1</v>
      </c>
      <c r="P208" s="25">
        <f>IF($F208="unclassified","N/A",(_xlfn.XLOOKUP($E208,Sheet2!$A:$A,Sheet2!X:X,"N/A",0,1)))</f>
        <v>1</v>
      </c>
      <c r="Q208" s="25">
        <f>IF($F208="unclassified","N/A",(_xlfn.XLOOKUP($E208,Sheet2!$A:$A,Sheet2!Y:Y,"N/A",0,1)))</f>
        <v>1</v>
      </c>
      <c r="R208" s="25">
        <f>IF($F208="unclassified","N/A",(_xlfn.XLOOKUP($E208,Sheet2!$A:$A,Sheet2!Z:Z,"N/A",0,1)))</f>
        <v>1</v>
      </c>
      <c r="S208" s="25">
        <f>IF($F208="unclassified","N/A",(_xlfn.XLOOKUP($E208,Sheet2!$A:$A,Sheet2!AA:AA,"N/A",0,1)))</f>
        <v>1</v>
      </c>
      <c r="T208" s="25">
        <f>IF($F208="unclassified","N/A",(_xlfn.XLOOKUP($E208,Sheet2!$A:$A,Sheet2!AB:AB,"N/A",0,1)))</f>
        <v>1</v>
      </c>
      <c r="U208" s="11">
        <f>IF($F208="unclassified","N/A",(AVERAGE(Table3253[[#This Row],[PO nr]:[Delivery Date]])))</f>
        <v>1</v>
      </c>
      <c r="V208" s="21"/>
      <c r="W208" s="21"/>
      <c r="X208" s="21"/>
      <c r="Y208" s="21"/>
      <c r="Z208" s="21"/>
    </row>
    <row r="209" spans="4:26" ht="15" customHeight="1" x14ac:dyDescent="0.3">
      <c r="D209" s="30">
        <f>_xlfn.XLOOKUP(Table3253[[#This Row],[File Name]],'Analyse 2 Detail 02-03'!A:A,'Analyse 2 Detail 02-03'!R:R,"Not Found",0,1)</f>
        <v>0</v>
      </c>
      <c r="E209" s="2" t="s">
        <v>149</v>
      </c>
      <c r="F209" s="64" t="s">
        <v>11</v>
      </c>
      <c r="G209" s="71">
        <v>0</v>
      </c>
      <c r="H209" s="25" t="str">
        <f>IF($F209="unclassified","N/A",(_xlfn.XLOOKUP($E209,Sheet2!$A:$A,Sheet2!Q:Q,"N/A",0,1)))</f>
        <v>N/A</v>
      </c>
      <c r="I209" s="25" t="str">
        <f>IF($F209="unclassified","N/A",(_xlfn.XLOOKUP($E209,Sheet2!$A:$A,Sheet2!R:R,"N/A",0,1)))</f>
        <v>N/A</v>
      </c>
      <c r="J209" s="25" t="str">
        <f>IF($F209="unclassified","N/A",(_xlfn.XLOOKUP($E209,Sheet2!$A:$A,Sheet2!S:S,"N/A",0,1)))</f>
        <v>N/A</v>
      </c>
      <c r="K209" s="25" t="str">
        <f>IF($F209="unclassified","N/A",(_xlfn.XLOOKUP($E209,Sheet2!$A:$A,Sheet2!T:T,"N/A",0,1)))</f>
        <v>N/A</v>
      </c>
      <c r="L209" s="25" t="str">
        <f>IF($F209="unclassified","N/A",(_xlfn.XLOOKUP($E209,Sheet2!$A:$A,Sheet2!U:U,"N/A",0,1)))</f>
        <v>N/A</v>
      </c>
      <c r="M209" s="25" t="str">
        <f>IF($F209="unclassified","N/A",(_xlfn.XLOOKUP($E209,Sheet2!$A:$A,Sheet2!V:V,"N/A",0,1)))</f>
        <v>N/A</v>
      </c>
      <c r="N209" s="25"/>
      <c r="O209" s="25" t="str">
        <f>IF($F209="unclassified","N/A",(_xlfn.XLOOKUP($E209,Sheet2!$A:$A,Sheet2!W:W,"N/A",0,1)))</f>
        <v>N/A</v>
      </c>
      <c r="P209" s="25" t="str">
        <f>IF($F209="unclassified","N/A",(_xlfn.XLOOKUP($E209,Sheet2!$A:$A,Sheet2!X:X,"N/A",0,1)))</f>
        <v>N/A</v>
      </c>
      <c r="Q209" s="25" t="str">
        <f>IF($F209="unclassified","N/A",(_xlfn.XLOOKUP($E209,Sheet2!$A:$A,Sheet2!Y:Y,"N/A",0,1)))</f>
        <v>N/A</v>
      </c>
      <c r="R209" s="25" t="str">
        <f>IF($F209="unclassified","N/A",(_xlfn.XLOOKUP($E209,Sheet2!$A:$A,Sheet2!Z:Z,"N/A",0,1)))</f>
        <v>N/A</v>
      </c>
      <c r="S209" s="25" t="str">
        <f>IF($F209="unclassified","N/A",(_xlfn.XLOOKUP($E209,Sheet2!$A:$A,Sheet2!AA:AA,"N/A",0,1)))</f>
        <v>N/A</v>
      </c>
      <c r="T209" s="25" t="str">
        <f>IF($F209="unclassified","N/A",(_xlfn.XLOOKUP($E209,Sheet2!$A:$A,Sheet2!AB:AB,"N/A",0,1)))</f>
        <v>N/A</v>
      </c>
      <c r="U209" s="11" t="str">
        <f>IF($F209="unclassified","N/A",(AVERAGE(Table3253[[#This Row],[PO nr]:[Delivery Date]])))</f>
        <v>N/A</v>
      </c>
      <c r="V209" s="21"/>
      <c r="W209" s="21"/>
      <c r="X209" s="21"/>
      <c r="Y209" s="21"/>
      <c r="Z209" s="21"/>
    </row>
    <row r="210" spans="4:26" ht="15" customHeight="1" x14ac:dyDescent="0.3">
      <c r="D210" s="30">
        <f>_xlfn.XLOOKUP(Table3253[[#This Row],[File Name]],'Analyse 2 Detail 02-03'!A:A,'Analyse 2 Detail 02-03'!R:R,"Not Found",0,1)</f>
        <v>0</v>
      </c>
      <c r="E210" s="2" t="s">
        <v>157</v>
      </c>
      <c r="F210" s="64" t="s">
        <v>11</v>
      </c>
      <c r="G210" s="71">
        <v>0</v>
      </c>
      <c r="H210" s="25" t="str">
        <f>IF($F210="unclassified","N/A",(_xlfn.XLOOKUP($E210,Sheet2!$A:$A,Sheet2!Q:Q,"N/A",0,1)))</f>
        <v>N/A</v>
      </c>
      <c r="I210" s="25" t="str">
        <f>IF($F210="unclassified","N/A",(_xlfn.XLOOKUP($E210,Sheet2!$A:$A,Sheet2!R:R,"N/A",0,1)))</f>
        <v>N/A</v>
      </c>
      <c r="J210" s="25" t="str">
        <f>IF($F210="unclassified","N/A",(_xlfn.XLOOKUP($E210,Sheet2!$A:$A,Sheet2!S:S,"N/A",0,1)))</f>
        <v>N/A</v>
      </c>
      <c r="K210" s="25" t="str">
        <f>IF($F210="unclassified","N/A",(_xlfn.XLOOKUP($E210,Sheet2!$A:$A,Sheet2!T:T,"N/A",0,1)))</f>
        <v>N/A</v>
      </c>
      <c r="L210" s="25" t="str">
        <f>IF($F210="unclassified","N/A",(_xlfn.XLOOKUP($E210,Sheet2!$A:$A,Sheet2!U:U,"N/A",0,1)))</f>
        <v>N/A</v>
      </c>
      <c r="M210" s="25" t="str">
        <f>IF($F210="unclassified","N/A",(_xlfn.XLOOKUP($E210,Sheet2!$A:$A,Sheet2!V:V,"N/A",0,1)))</f>
        <v>N/A</v>
      </c>
      <c r="N210" s="25"/>
      <c r="O210" s="25" t="str">
        <f>IF($F210="unclassified","N/A",(_xlfn.XLOOKUP($E210,Sheet2!$A:$A,Sheet2!W:W,"N/A",0,1)))</f>
        <v>N/A</v>
      </c>
      <c r="P210" s="25" t="str">
        <f>IF($F210="unclassified","N/A",(_xlfn.XLOOKUP($E210,Sheet2!$A:$A,Sheet2!X:X,"N/A",0,1)))</f>
        <v>N/A</v>
      </c>
      <c r="Q210" s="25" t="str">
        <f>IF($F210="unclassified","N/A",(_xlfn.XLOOKUP($E210,Sheet2!$A:$A,Sheet2!Y:Y,"N/A",0,1)))</f>
        <v>N/A</v>
      </c>
      <c r="R210" s="25" t="str">
        <f>IF($F210="unclassified","N/A",(_xlfn.XLOOKUP($E210,Sheet2!$A:$A,Sheet2!Z:Z,"N/A",0,1)))</f>
        <v>N/A</v>
      </c>
      <c r="S210" s="25" t="str">
        <f>IF($F210="unclassified","N/A",(_xlfn.XLOOKUP($E210,Sheet2!$A:$A,Sheet2!AA:AA,"N/A",0,1)))</f>
        <v>N/A</v>
      </c>
      <c r="T210" s="25" t="str">
        <f>IF($F210="unclassified","N/A",(_xlfn.XLOOKUP($E210,Sheet2!$A:$A,Sheet2!AB:AB,"N/A",0,1)))</f>
        <v>N/A</v>
      </c>
      <c r="U210" s="11" t="str">
        <f>IF($F210="unclassified","N/A",(AVERAGE(Table3253[[#This Row],[PO nr]:[Delivery Date]])))</f>
        <v>N/A</v>
      </c>
      <c r="V210" s="21"/>
      <c r="W210" s="21"/>
      <c r="X210" s="21"/>
      <c r="Y210" s="21"/>
      <c r="Z210" s="21"/>
    </row>
    <row r="211" spans="4:26" ht="15" customHeight="1" x14ac:dyDescent="0.3">
      <c r="D211" s="30" t="str">
        <f>_xlfn.XLOOKUP(Table3253[[#This Row],[File Name]],'Analyse 2 Detail 02-03'!A:A,'Analyse 2 Detail 02-03'!R:R,"Not Found",0,1)</f>
        <v>G3 Medical B.V.</v>
      </c>
      <c r="E211" s="2" t="s">
        <v>112</v>
      </c>
      <c r="F211" s="64" t="s">
        <v>9</v>
      </c>
      <c r="G211" s="71">
        <v>0</v>
      </c>
      <c r="H211" s="25">
        <f>IF($F211="unclassified","N/A",(_xlfn.XLOOKUP($E211,Sheet2!$A:$A,Sheet2!Q:Q,"N/A",0,1)))</f>
        <v>1</v>
      </c>
      <c r="I211" s="25">
        <f>IF($F211="unclassified","N/A",(_xlfn.XLOOKUP($E211,Sheet2!$A:$A,Sheet2!R:R,"N/A",0,1)))</f>
        <v>1</v>
      </c>
      <c r="J211" s="25">
        <f>IF($F211="unclassified","N/A",(_xlfn.XLOOKUP($E211,Sheet2!$A:$A,Sheet2!S:S,"N/A",0,1)))</f>
        <v>1</v>
      </c>
      <c r="K211" s="25">
        <f>IF($F211="unclassified","N/A",(_xlfn.XLOOKUP($E211,Sheet2!$A:$A,Sheet2!T:T,"N/A",0,1)))</f>
        <v>1</v>
      </c>
      <c r="L211" s="25">
        <f>IF($F211="unclassified","N/A",(_xlfn.XLOOKUP($E211,Sheet2!$A:$A,Sheet2!U:U,"N/A",0,1)))</f>
        <v>1</v>
      </c>
      <c r="M211" s="25">
        <f>IF($F211="unclassified","N/A",(_xlfn.XLOOKUP($E211,Sheet2!$A:$A,Sheet2!V:V,"N/A",0,1)))</f>
        <v>1</v>
      </c>
      <c r="N211" s="25"/>
      <c r="O211" s="25">
        <f>IF($F211="unclassified","N/A",(_xlfn.XLOOKUP($E211,Sheet2!$A:$A,Sheet2!W:W,"N/A",0,1)))</f>
        <v>1</v>
      </c>
      <c r="P211" s="25">
        <f>IF($F211="unclassified","N/A",(_xlfn.XLOOKUP($E211,Sheet2!$A:$A,Sheet2!X:X,"N/A",0,1)))</f>
        <v>1</v>
      </c>
      <c r="Q211" s="25">
        <f>IF($F211="unclassified","N/A",(_xlfn.XLOOKUP($E211,Sheet2!$A:$A,Sheet2!Y:Y,"N/A",0,1)))</f>
        <v>1</v>
      </c>
      <c r="R211" s="25">
        <f>IF($F211="unclassified","N/A",(_xlfn.XLOOKUP($E211,Sheet2!$A:$A,Sheet2!Z:Z,"N/A",0,1)))</f>
        <v>1</v>
      </c>
      <c r="S211" s="25">
        <f>IF($F211="unclassified","N/A",(_xlfn.XLOOKUP($E211,Sheet2!$A:$A,Sheet2!AA:AA,"N/A",0,1)))</f>
        <v>1</v>
      </c>
      <c r="T211" s="25">
        <f>IF($F211="unclassified","N/A",(_xlfn.XLOOKUP($E211,Sheet2!$A:$A,Sheet2!AB:AB,"N/A",0,1)))</f>
        <v>1</v>
      </c>
      <c r="U211" s="11">
        <f>IF($F211="unclassified","N/A",(AVERAGE(Table3253[[#This Row],[PO nr]:[Delivery Date]])))</f>
        <v>1</v>
      </c>
      <c r="V211" s="21"/>
      <c r="W211" s="21"/>
      <c r="X211" s="21"/>
      <c r="Y211" s="21"/>
      <c r="Z211" s="21"/>
    </row>
    <row r="212" spans="4:26" ht="15" customHeight="1" x14ac:dyDescent="0.3">
      <c r="D212" s="30" t="str">
        <f>_xlfn.XLOOKUP(Table3253[[#This Row],[File Name]],'Analyse 2 Detail 02-03'!A:A,'Analyse 2 Detail 02-03'!R:R,"Not Found",0,1)</f>
        <v>G3 Medical B.V.</v>
      </c>
      <c r="E212" s="2" t="s">
        <v>174</v>
      </c>
      <c r="F212" s="64" t="s">
        <v>9</v>
      </c>
      <c r="G212" s="71">
        <v>0</v>
      </c>
      <c r="H212" s="25">
        <f>IF($F212="unclassified","N/A",(_xlfn.XLOOKUP($E212,Sheet2!$A:$A,Sheet2!Q:Q,"N/A",0,1)))</f>
        <v>1</v>
      </c>
      <c r="I212" s="25">
        <f>IF($F212="unclassified","N/A",(_xlfn.XLOOKUP($E212,Sheet2!$A:$A,Sheet2!R:R,"N/A",0,1)))</f>
        <v>1</v>
      </c>
      <c r="J212" s="25">
        <f>IF($F212="unclassified","N/A",(_xlfn.XLOOKUP($E212,Sheet2!$A:$A,Sheet2!S:S,"N/A",0,1)))</f>
        <v>1</v>
      </c>
      <c r="K212" s="25">
        <f>IF($F212="unclassified","N/A",(_xlfn.XLOOKUP($E212,Sheet2!$A:$A,Sheet2!T:T,"N/A",0,1)))</f>
        <v>1</v>
      </c>
      <c r="L212" s="25">
        <f>IF($F212="unclassified","N/A",(_xlfn.XLOOKUP($E212,Sheet2!$A:$A,Sheet2!U:U,"N/A",0,1)))</f>
        <v>1</v>
      </c>
      <c r="M212" s="25">
        <f>IF($F212="unclassified","N/A",(_xlfn.XLOOKUP($E212,Sheet2!$A:$A,Sheet2!V:V,"N/A",0,1)))</f>
        <v>1</v>
      </c>
      <c r="N212" s="25"/>
      <c r="O212" s="25">
        <f>IF($F212="unclassified","N/A",(_xlfn.XLOOKUP($E212,Sheet2!$A:$A,Sheet2!W:W,"N/A",0,1)))</f>
        <v>1</v>
      </c>
      <c r="P212" s="25">
        <f>IF($F212="unclassified","N/A",(_xlfn.XLOOKUP($E212,Sheet2!$A:$A,Sheet2!X:X,"N/A",0,1)))</f>
        <v>1</v>
      </c>
      <c r="Q212" s="25">
        <f>IF($F212="unclassified","N/A",(_xlfn.XLOOKUP($E212,Sheet2!$A:$A,Sheet2!Y:Y,"N/A",0,1)))</f>
        <v>1</v>
      </c>
      <c r="R212" s="25">
        <f>IF($F212="unclassified","N/A",(_xlfn.XLOOKUP($E212,Sheet2!$A:$A,Sheet2!Z:Z,"N/A",0,1)))</f>
        <v>1</v>
      </c>
      <c r="S212" s="25">
        <f>IF($F212="unclassified","N/A",(_xlfn.XLOOKUP($E212,Sheet2!$A:$A,Sheet2!AA:AA,"N/A",0,1)))</f>
        <v>1</v>
      </c>
      <c r="T212" s="25">
        <f>IF($F212="unclassified","N/A",(_xlfn.XLOOKUP($E212,Sheet2!$A:$A,Sheet2!AB:AB,"N/A",0,1)))</f>
        <v>1</v>
      </c>
      <c r="U212" s="11">
        <f>IF($F212="unclassified","N/A",(AVERAGE(Table3253[[#This Row],[PO nr]:[Delivery Date]])))</f>
        <v>1</v>
      </c>
      <c r="V212" s="21"/>
      <c r="W212" s="21"/>
      <c r="X212" s="21"/>
      <c r="Y212" s="21"/>
      <c r="Z212" s="21"/>
    </row>
    <row r="213" spans="4:26" ht="15" customHeight="1" thickBot="1" x14ac:dyDescent="0.35">
      <c r="D213" s="31" t="str">
        <f>_xlfn.XLOOKUP(Table3253[[#This Row],[File Name]],'Analyse 2 Detail 02-03'!A:A,'Analyse 2 Detail 02-03'!R:R,"Not Found",0,1)</f>
        <v>G3 Medical B.V.</v>
      </c>
      <c r="E213" s="32" t="s">
        <v>178</v>
      </c>
      <c r="F213" s="65" t="s">
        <v>9</v>
      </c>
      <c r="G213" s="72">
        <v>0</v>
      </c>
      <c r="H213" s="25">
        <f>IF($F213="unclassified","N/A",(_xlfn.XLOOKUP($E213,Sheet2!$A:$A,Sheet2!Q:Q,"N/A",0,1)))</f>
        <v>1</v>
      </c>
      <c r="I213" s="25">
        <f>IF($F213="unclassified","N/A",(_xlfn.XLOOKUP($E213,Sheet2!$A:$A,Sheet2!R:R,"N/A",0,1)))</f>
        <v>1</v>
      </c>
      <c r="J213" s="25">
        <f>IF($F213="unclassified","N/A",(_xlfn.XLOOKUP($E213,Sheet2!$A:$A,Sheet2!S:S,"N/A",0,1)))</f>
        <v>1</v>
      </c>
      <c r="K213" s="25">
        <f>IF($F213="unclassified","N/A",(_xlfn.XLOOKUP($E213,Sheet2!$A:$A,Sheet2!T:T,"N/A",0,1)))</f>
        <v>1</v>
      </c>
      <c r="L213" s="25">
        <f>IF($F213="unclassified","N/A",(_xlfn.XLOOKUP($E213,Sheet2!$A:$A,Sheet2!U:U,"N/A",0,1)))</f>
        <v>1</v>
      </c>
      <c r="M213" s="25">
        <f>IF($F213="unclassified","N/A",(_xlfn.XLOOKUP($E213,Sheet2!$A:$A,Sheet2!V:V,"N/A",0,1)))</f>
        <v>1</v>
      </c>
      <c r="N213" s="25"/>
      <c r="O213" s="25">
        <f>IF($F213="unclassified","N/A",(_xlfn.XLOOKUP($E213,Sheet2!$A:$A,Sheet2!W:W,"N/A",0,1)))</f>
        <v>1</v>
      </c>
      <c r="P213" s="25">
        <f>IF($F213="unclassified","N/A",(_xlfn.XLOOKUP($E213,Sheet2!$A:$A,Sheet2!X:X,"N/A",0,1)))</f>
        <v>1</v>
      </c>
      <c r="Q213" s="25">
        <f>IF($F213="unclassified","N/A",(_xlfn.XLOOKUP($E213,Sheet2!$A:$A,Sheet2!Y:Y,"N/A",0,1)))</f>
        <v>1</v>
      </c>
      <c r="R213" s="25">
        <f>IF($F213="unclassified","N/A",(_xlfn.XLOOKUP($E213,Sheet2!$A:$A,Sheet2!Z:Z,"N/A",0,1)))</f>
        <v>1</v>
      </c>
      <c r="S213" s="25">
        <f>IF($F213="unclassified","N/A",(_xlfn.XLOOKUP($E213,Sheet2!$A:$A,Sheet2!AA:AA,"N/A",0,1)))</f>
        <v>1</v>
      </c>
      <c r="T213" s="25">
        <f>IF($F213="unclassified","N/A",(_xlfn.XLOOKUP($E213,Sheet2!$A:$A,Sheet2!AB:AB,"N/A",0,1)))</f>
        <v>1</v>
      </c>
      <c r="U213" s="11">
        <f>IF($F213="unclassified","N/A",(AVERAGE(Table3253[[#This Row],[PO nr]:[Delivery Date]])))</f>
        <v>1</v>
      </c>
      <c r="V213" s="69"/>
      <c r="W213" s="69"/>
      <c r="X213" s="69"/>
      <c r="Y213" s="69"/>
      <c r="Z213" s="21"/>
    </row>
  </sheetData>
  <mergeCells count="2">
    <mergeCell ref="H5:T5"/>
    <mergeCell ref="H113:T113"/>
  </mergeCells>
  <conditionalFormatting sqref="H4:U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:U105">
    <cfRule type="colorScale" priority="4">
      <colorScale>
        <cfvo type="min"/>
        <cfvo type="percentile" val="50"/>
        <cfvo type="max"/>
        <color rgb="FFF8696B"/>
        <color rgb="FFFFEB84"/>
        <color theme="9" tint="0.59999389629810485"/>
      </colorScale>
    </cfRule>
  </conditionalFormatting>
  <conditionalFormatting sqref="H112:U1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15:U213">
    <cfRule type="colorScale" priority="2">
      <colorScale>
        <cfvo type="min"/>
        <cfvo type="percentile" val="50"/>
        <cfvo type="max"/>
        <color rgb="FFF8696B"/>
        <color rgb="FFFFEB84"/>
        <color theme="9" tint="0.59999389629810485"/>
      </colorScale>
    </cfRule>
  </conditionalFormatting>
  <pageMargins left="0.7" right="0.7" top="0.75" bottom="0.75" header="0.3" footer="0.3"/>
  <pageSetup paperSize="9" orientation="landscape"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23D5C-D3BB-4105-BB98-2119A3A134A8}">
  <dimension ref="A1:H13"/>
  <sheetViews>
    <sheetView zoomScale="90" zoomScaleNormal="90" workbookViewId="0">
      <selection activeCell="A10" sqref="A10"/>
    </sheetView>
  </sheetViews>
  <sheetFormatPr defaultRowHeight="14.4" x14ac:dyDescent="0.3"/>
  <cols>
    <col min="1" max="1" width="24.44140625" style="52" customWidth="1"/>
    <col min="2" max="2" width="23.33203125" style="52" bestFit="1" customWidth="1"/>
    <col min="3" max="3" width="24.5546875" style="52" customWidth="1"/>
    <col min="4" max="4" width="61.88671875" style="52" customWidth="1"/>
    <col min="5" max="5" width="23.5546875" style="52" customWidth="1"/>
    <col min="6" max="6" width="80.44140625" style="52" customWidth="1"/>
    <col min="7" max="7" width="22" style="52" customWidth="1"/>
    <col min="8" max="8" width="8.88671875" style="52"/>
  </cols>
  <sheetData>
    <row r="1" spans="1:8" s="4" customFormat="1" x14ac:dyDescent="0.3">
      <c r="A1" s="110" t="s">
        <v>2316</v>
      </c>
      <c r="B1" s="110" t="s">
        <v>2292</v>
      </c>
      <c r="C1" s="110" t="s">
        <v>2293</v>
      </c>
      <c r="D1" s="110" t="s">
        <v>2296</v>
      </c>
      <c r="E1" s="110" t="s">
        <v>2307</v>
      </c>
      <c r="F1" s="110" t="s">
        <v>2297</v>
      </c>
      <c r="G1" s="110" t="s">
        <v>3</v>
      </c>
      <c r="H1" s="109"/>
    </row>
    <row r="2" spans="1:8" ht="28.8" customHeight="1" x14ac:dyDescent="0.3">
      <c r="A2" s="52" t="s">
        <v>2317</v>
      </c>
      <c r="B2" s="52" t="s">
        <v>2294</v>
      </c>
      <c r="C2" s="52" t="s">
        <v>2295</v>
      </c>
      <c r="D2" s="52" t="s">
        <v>2298</v>
      </c>
      <c r="E2" s="52" t="s">
        <v>2308</v>
      </c>
      <c r="F2" s="52" t="s">
        <v>2299</v>
      </c>
      <c r="G2" s="52" t="s">
        <v>2305</v>
      </c>
    </row>
    <row r="3" spans="1:8" ht="28.8" customHeight="1" x14ac:dyDescent="0.3">
      <c r="A3" s="52" t="s">
        <v>2317</v>
      </c>
      <c r="B3" s="52" t="s">
        <v>2300</v>
      </c>
      <c r="C3" s="52" t="s">
        <v>2301</v>
      </c>
      <c r="D3" s="52" t="s">
        <v>2302</v>
      </c>
      <c r="E3" s="52" t="s">
        <v>2309</v>
      </c>
      <c r="F3" s="52" t="s">
        <v>2303</v>
      </c>
      <c r="G3" s="52" t="s">
        <v>2304</v>
      </c>
    </row>
    <row r="4" spans="1:8" ht="28.8" customHeight="1" x14ac:dyDescent="0.3">
      <c r="A4" s="52" t="s">
        <v>2317</v>
      </c>
      <c r="B4" s="52" t="s">
        <v>2300</v>
      </c>
      <c r="C4" s="52" t="s">
        <v>2301</v>
      </c>
      <c r="D4" s="52" t="s">
        <v>2306</v>
      </c>
      <c r="E4" s="52" t="s">
        <v>2309</v>
      </c>
      <c r="F4" s="52" t="s">
        <v>2312</v>
      </c>
      <c r="G4" s="52" t="s">
        <v>2304</v>
      </c>
    </row>
    <row r="5" spans="1:8" ht="28.8" customHeight="1" x14ac:dyDescent="0.3">
      <c r="A5" s="52" t="s">
        <v>2317</v>
      </c>
      <c r="B5" s="52" t="s">
        <v>2300</v>
      </c>
      <c r="C5" s="52" t="s">
        <v>2301</v>
      </c>
      <c r="D5" s="52" t="s">
        <v>2310</v>
      </c>
      <c r="E5" s="52" t="s">
        <v>2309</v>
      </c>
      <c r="F5" s="52" t="s">
        <v>2311</v>
      </c>
      <c r="G5" s="52" t="s">
        <v>2304</v>
      </c>
    </row>
    <row r="6" spans="1:8" ht="28.8" customHeight="1" x14ac:dyDescent="0.3">
      <c r="A6" s="52" t="s">
        <v>2317</v>
      </c>
      <c r="B6" s="52" t="s">
        <v>2300</v>
      </c>
      <c r="C6" s="52" t="s">
        <v>2301</v>
      </c>
      <c r="D6" s="52" t="s">
        <v>2313</v>
      </c>
      <c r="E6" s="52" t="s">
        <v>2314</v>
      </c>
      <c r="F6" s="52" t="s">
        <v>2315</v>
      </c>
      <c r="G6" s="52" t="s">
        <v>2304</v>
      </c>
    </row>
    <row r="7" spans="1:8" ht="28.8" customHeight="1" x14ac:dyDescent="0.3">
      <c r="A7" s="52" t="s">
        <v>2318</v>
      </c>
      <c r="B7" s="52" t="s">
        <v>2300</v>
      </c>
      <c r="C7" s="52" t="s">
        <v>2301</v>
      </c>
      <c r="D7" s="52" t="s">
        <v>2319</v>
      </c>
      <c r="F7" s="52" t="s">
        <v>2320</v>
      </c>
      <c r="G7" s="52" t="s">
        <v>2321</v>
      </c>
    </row>
    <row r="8" spans="1:8" ht="28.8" customHeight="1" x14ac:dyDescent="0.3">
      <c r="A8" s="52" t="s">
        <v>56</v>
      </c>
      <c r="B8" s="52" t="s">
        <v>2300</v>
      </c>
      <c r="C8" s="52" t="s">
        <v>2301</v>
      </c>
      <c r="D8" s="52" t="s">
        <v>2322</v>
      </c>
      <c r="F8" s="52" t="s">
        <v>2323</v>
      </c>
      <c r="G8" s="52" t="s">
        <v>2305</v>
      </c>
    </row>
    <row r="9" spans="1:8" ht="28.8" customHeight="1" x14ac:dyDescent="0.3">
      <c r="A9" s="52" t="s">
        <v>2325</v>
      </c>
      <c r="B9" s="52" t="s">
        <v>2300</v>
      </c>
      <c r="C9" s="52" t="s">
        <v>2301</v>
      </c>
      <c r="D9" s="52" t="s">
        <v>2328</v>
      </c>
      <c r="E9" s="52" t="s">
        <v>2327</v>
      </c>
      <c r="F9" s="52" t="s">
        <v>2326</v>
      </c>
      <c r="G9" s="52" t="s">
        <v>2304</v>
      </c>
    </row>
    <row r="10" spans="1:8" ht="28.8" customHeight="1" x14ac:dyDescent="0.3"/>
    <row r="11" spans="1:8" ht="28.8" customHeight="1" x14ac:dyDescent="0.3"/>
    <row r="12" spans="1:8" ht="28.8" customHeight="1" x14ac:dyDescent="0.3"/>
    <row r="13" spans="1:8" ht="28.8" customHeight="1" x14ac:dyDescent="0.3"/>
  </sheetData>
  <autoFilter ref="A1:G8" xr:uid="{67823D5C-D3BB-4105-BB98-2119A3A134A8}"/>
  <conditionalFormatting sqref="G1:G1048576">
    <cfRule type="cellIs" dxfId="25" priority="1" operator="equal">
      <formula>"fase 2"</formula>
    </cfRule>
    <cfRule type="cellIs" dxfId="24" priority="2" operator="equal">
      <formula>"question"</formula>
    </cfRule>
    <cfRule type="cellIs" dxfId="23" priority="3" operator="equal">
      <formula>"To do"</formula>
    </cfRule>
    <cfRule type="cellIs" dxfId="22" priority="4" operator="equal">
      <formula>"Done"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9D483-103A-4844-93D6-539AC5A8AF41}">
  <dimension ref="B1:P29"/>
  <sheetViews>
    <sheetView topLeftCell="A3" workbookViewId="0">
      <selection activeCell="B18" sqref="B18"/>
    </sheetView>
  </sheetViews>
  <sheetFormatPr defaultRowHeight="14.4" x14ac:dyDescent="0.3"/>
  <cols>
    <col min="1" max="1" width="1.5546875" customWidth="1"/>
    <col min="2" max="2" width="17.5546875" style="118" customWidth="1"/>
    <col min="3" max="3" width="12.77734375" style="111" bestFit="1" customWidth="1"/>
    <col min="4" max="4" width="34.88671875" style="111" customWidth="1"/>
    <col min="5" max="5" width="17.88671875" style="24" customWidth="1"/>
    <col min="6" max="6" width="18.33203125" style="24" customWidth="1"/>
    <col min="7" max="7" width="19.77734375" style="24" customWidth="1"/>
    <col min="8" max="8" width="23.5546875" bestFit="1" customWidth="1"/>
    <col min="9" max="14" width="11.5546875" customWidth="1"/>
    <col min="15" max="15" width="12.77734375" customWidth="1"/>
  </cols>
  <sheetData>
    <row r="1" spans="2:8" ht="6" customHeight="1" x14ac:dyDescent="0.3"/>
    <row r="2" spans="2:8" s="52" customFormat="1" ht="28.8" customHeight="1" x14ac:dyDescent="0.3">
      <c r="B2" s="148" t="s">
        <v>2372</v>
      </c>
      <c r="C2" s="119" t="s">
        <v>2330</v>
      </c>
      <c r="D2" s="119"/>
      <c r="E2" s="120" t="s">
        <v>2331</v>
      </c>
      <c r="F2" s="120" t="s">
        <v>2333</v>
      </c>
      <c r="G2" s="120" t="s">
        <v>2338</v>
      </c>
      <c r="H2" s="121" t="s">
        <v>2337</v>
      </c>
    </row>
    <row r="3" spans="2:8" x14ac:dyDescent="0.3">
      <c r="B3" s="149"/>
      <c r="C3" s="111">
        <v>1</v>
      </c>
      <c r="E3" s="24">
        <v>23</v>
      </c>
      <c r="F3" s="24">
        <v>23</v>
      </c>
      <c r="G3" s="112">
        <f>F3/E3</f>
        <v>1</v>
      </c>
      <c r="H3" s="122">
        <v>0.95</v>
      </c>
    </row>
    <row r="4" spans="2:8" x14ac:dyDescent="0.3">
      <c r="B4" s="149"/>
      <c r="C4" s="111">
        <v>2</v>
      </c>
      <c r="E4" s="24">
        <v>99</v>
      </c>
      <c r="F4" s="24">
        <v>77</v>
      </c>
      <c r="G4" s="112">
        <f>F4/E4</f>
        <v>0.77777777777777779</v>
      </c>
      <c r="H4" s="122">
        <v>0.89</v>
      </c>
    </row>
    <row r="5" spans="2:8" x14ac:dyDescent="0.3">
      <c r="B5" s="149"/>
      <c r="H5" s="123"/>
    </row>
    <row r="6" spans="2:8" x14ac:dyDescent="0.3">
      <c r="B6" s="149"/>
      <c r="H6" s="123"/>
    </row>
    <row r="7" spans="2:8" x14ac:dyDescent="0.3">
      <c r="B7" s="150"/>
      <c r="C7" s="124"/>
      <c r="D7" s="124"/>
      <c r="E7" s="125"/>
      <c r="F7" s="125"/>
      <c r="G7" s="125"/>
      <c r="H7" s="126"/>
    </row>
    <row r="9" spans="2:8" s="109" customFormat="1" ht="29.4" customHeight="1" x14ac:dyDescent="0.3">
      <c r="B9" s="148" t="s">
        <v>2376</v>
      </c>
      <c r="C9" s="119" t="s">
        <v>2330</v>
      </c>
      <c r="D9" s="119" t="s">
        <v>2371</v>
      </c>
      <c r="E9" s="120" t="s">
        <v>2333</v>
      </c>
      <c r="F9" s="121" t="s">
        <v>2337</v>
      </c>
      <c r="G9" s="24"/>
    </row>
    <row r="10" spans="2:8" x14ac:dyDescent="0.3">
      <c r="B10" s="149"/>
      <c r="C10" s="111">
        <v>1</v>
      </c>
      <c r="D10" s="111" t="s">
        <v>2378</v>
      </c>
      <c r="E10" s="24">
        <f>'Analyse HL 1'!F4</f>
        <v>23</v>
      </c>
      <c r="F10" s="122">
        <f>'Analyse HL 1'!U4</f>
        <v>0.95117056856187276</v>
      </c>
    </row>
    <row r="11" spans="2:8" x14ac:dyDescent="0.3">
      <c r="B11" s="149"/>
      <c r="C11" s="111">
        <v>2</v>
      </c>
      <c r="D11" s="111" t="s">
        <v>2379</v>
      </c>
      <c r="E11" s="24">
        <f>'Analyse HL 2 (2)'!F4</f>
        <v>76</v>
      </c>
      <c r="F11" s="132">
        <f>'Analyse HL 2 (2)'!U4</f>
        <v>0.95183809246309259</v>
      </c>
    </row>
    <row r="12" spans="2:8" x14ac:dyDescent="0.3">
      <c r="B12" s="149"/>
      <c r="C12" s="111">
        <v>2</v>
      </c>
      <c r="D12" s="111" t="s">
        <v>2375</v>
      </c>
      <c r="E12" s="24">
        <f>'Analyse HL 2 (2)'!F112</f>
        <v>76</v>
      </c>
      <c r="F12" s="122">
        <f>'Analyse HL 2 (2)'!U112</f>
        <v>1</v>
      </c>
    </row>
    <row r="13" spans="2:8" x14ac:dyDescent="0.3">
      <c r="B13" s="149"/>
      <c r="F13" s="127"/>
    </row>
    <row r="14" spans="2:8" x14ac:dyDescent="0.3">
      <c r="B14" s="149"/>
      <c r="F14" s="127"/>
    </row>
    <row r="15" spans="2:8" x14ac:dyDescent="0.3">
      <c r="B15" s="149"/>
      <c r="F15" s="127"/>
    </row>
    <row r="16" spans="2:8" x14ac:dyDescent="0.3">
      <c r="B16" s="150"/>
      <c r="C16" s="124"/>
      <c r="D16" s="124"/>
      <c r="E16" s="125"/>
      <c r="F16" s="128"/>
    </row>
    <row r="24" spans="2:16" x14ac:dyDescent="0.3">
      <c r="B24" s="148" t="s">
        <v>2377</v>
      </c>
      <c r="C24" s="129" t="s">
        <v>2330</v>
      </c>
      <c r="D24" s="129" t="s">
        <v>46</v>
      </c>
      <c r="E24" s="129" t="s">
        <v>47</v>
      </c>
      <c r="F24" s="129" t="s">
        <v>48</v>
      </c>
      <c r="G24" s="129" t="s">
        <v>49</v>
      </c>
      <c r="H24" s="129" t="s">
        <v>50</v>
      </c>
      <c r="I24" s="129" t="s">
        <v>51</v>
      </c>
      <c r="J24" s="129" t="s">
        <v>53</v>
      </c>
      <c r="K24" s="129" t="s">
        <v>54</v>
      </c>
      <c r="L24" s="129" t="s">
        <v>55</v>
      </c>
      <c r="M24" s="129" t="s">
        <v>56</v>
      </c>
      <c r="N24" s="129" t="s">
        <v>57</v>
      </c>
      <c r="O24" s="130" t="s">
        <v>58</v>
      </c>
    </row>
    <row r="25" spans="2:16" x14ac:dyDescent="0.3">
      <c r="B25" s="149"/>
      <c r="C25" s="133">
        <v>1</v>
      </c>
      <c r="D25" s="134">
        <f>'Analyse HL 1'!H4</f>
        <v>1</v>
      </c>
      <c r="E25" s="134">
        <f>'Analyse HL 1'!I4</f>
        <v>0.97826086956521741</v>
      </c>
      <c r="F25" s="135">
        <f>'Analyse HL 1'!J4</f>
        <v>1</v>
      </c>
      <c r="G25" s="135">
        <f>'Analyse HL 1'!K4</f>
        <v>1</v>
      </c>
      <c r="H25" s="135">
        <f>'Analyse HL 1'!L4</f>
        <v>1</v>
      </c>
      <c r="I25" s="135">
        <f>'Analyse HL 1'!M4</f>
        <v>0.95652173913043481</v>
      </c>
      <c r="J25" s="135">
        <f>'Analyse HL 1'!O4</f>
        <v>0.95652173913043481</v>
      </c>
      <c r="K25" s="135">
        <f>'Analyse HL 1'!P4</f>
        <v>0.95652173913043481</v>
      </c>
      <c r="L25" s="135">
        <f>'Analyse HL 1'!Q4</f>
        <v>0.95652173913043481</v>
      </c>
      <c r="M25" s="135">
        <f>'Analyse HL 1'!R4</f>
        <v>0.91304347826086951</v>
      </c>
      <c r="N25" s="135">
        <f>'Analyse HL 1'!S4</f>
        <v>0.86956521739130432</v>
      </c>
      <c r="O25" s="136">
        <f>'Analyse HL 1'!T4</f>
        <v>0.82173913043478253</v>
      </c>
      <c r="P25" s="25">
        <f>'Analyse HL 1'!U4</f>
        <v>0.95117056856187276</v>
      </c>
    </row>
    <row r="26" spans="2:16" x14ac:dyDescent="0.3">
      <c r="B26" s="149"/>
      <c r="C26" s="137" t="s">
        <v>2373</v>
      </c>
      <c r="D26" s="138">
        <f>'Analyse HL 2 (2)'!I4</f>
        <v>0.96052631578947367</v>
      </c>
      <c r="E26" s="139">
        <f>'Analyse HL 2 (2)'!H4</f>
        <v>0.93421052631578949</v>
      </c>
      <c r="F26" s="139">
        <f>'Analyse HL 2 (2)'!J4</f>
        <v>1</v>
      </c>
      <c r="G26" s="139">
        <f>'Analyse HL 2 (2)'!K4</f>
        <v>1</v>
      </c>
      <c r="H26" s="139">
        <f>'Analyse HL 2 (2)'!L4</f>
        <v>1</v>
      </c>
      <c r="I26" s="139">
        <f>'Analyse HL 2 (2)'!M4</f>
        <v>0.92105263157894735</v>
      </c>
      <c r="J26" s="139">
        <f>'Analyse HL 2 (2)'!O4</f>
        <v>1</v>
      </c>
      <c r="K26" s="139">
        <f>'Analyse HL 2 (2)'!P4</f>
        <v>0.98684210526315785</v>
      </c>
      <c r="L26" s="139">
        <f>'Analyse HL 2 (2)'!Q4</f>
        <v>1</v>
      </c>
      <c r="M26" s="139">
        <f>'Analyse HL 2 (2)'!R4</f>
        <v>0.89473684210526316</v>
      </c>
      <c r="N26" s="139">
        <f>'Analyse HL 2 (2)'!S4</f>
        <v>0.88647098515519573</v>
      </c>
      <c r="O26" s="140">
        <f>'Analyse HL 2 (2)'!T4</f>
        <v>0.83821770334928236</v>
      </c>
      <c r="P26" s="112">
        <f>'Analyse HL 2 (2)'!U4</f>
        <v>0.95183809246309259</v>
      </c>
    </row>
    <row r="27" spans="2:16" x14ac:dyDescent="0.3">
      <c r="B27" s="149"/>
      <c r="C27" s="141" t="s">
        <v>2374</v>
      </c>
      <c r="D27" s="142">
        <f>'Analyse HL 2 (2)'!I112</f>
        <v>1</v>
      </c>
      <c r="E27" s="143">
        <f>'Analyse HL 2 (2)'!H112</f>
        <v>1</v>
      </c>
      <c r="F27" s="143">
        <f>'Analyse HL 2 (2)'!J112</f>
        <v>1</v>
      </c>
      <c r="G27" s="143">
        <f>'Analyse HL 2 (2)'!K112</f>
        <v>1</v>
      </c>
      <c r="H27" s="143">
        <f>'Analyse HL 2 (2)'!L112</f>
        <v>1</v>
      </c>
      <c r="I27" s="143">
        <f>'Analyse HL 2 (2)'!M112</f>
        <v>1</v>
      </c>
      <c r="J27" s="143">
        <f>'Analyse HL 2 (2)'!O112</f>
        <v>1</v>
      </c>
      <c r="K27" s="143">
        <f>'Analyse HL 2 (2)'!P112</f>
        <v>1</v>
      </c>
      <c r="L27" s="143">
        <f>'Analyse HL 2 (2)'!Q112</f>
        <v>1</v>
      </c>
      <c r="M27" s="143">
        <f>'Analyse HL 2 (2)'!R112</f>
        <v>1</v>
      </c>
      <c r="N27" s="143">
        <f>'Analyse HL 2 (2)'!S112</f>
        <v>1</v>
      </c>
      <c r="O27" s="144">
        <f>'Analyse HL 2 (2)'!T112</f>
        <v>1</v>
      </c>
      <c r="P27" s="112">
        <f>'Analyse HL 2 (2)'!U112</f>
        <v>1</v>
      </c>
    </row>
    <row r="28" spans="2:16" x14ac:dyDescent="0.3">
      <c r="B28" s="149"/>
      <c r="O28" s="123"/>
    </row>
    <row r="29" spans="2:16" x14ac:dyDescent="0.3">
      <c r="B29" s="150"/>
      <c r="C29" s="124"/>
      <c r="D29" s="124"/>
      <c r="E29" s="125"/>
      <c r="F29" s="125"/>
      <c r="G29" s="125"/>
      <c r="H29" s="131"/>
      <c r="I29" s="131"/>
      <c r="J29" s="131"/>
      <c r="K29" s="131"/>
      <c r="L29" s="131"/>
      <c r="M29" s="131"/>
      <c r="N29" s="131"/>
      <c r="O29" s="126"/>
    </row>
  </sheetData>
  <mergeCells count="3">
    <mergeCell ref="B2:B7"/>
    <mergeCell ref="B24:B29"/>
    <mergeCell ref="B9:B16"/>
  </mergeCells>
  <conditionalFormatting sqref="D25:O29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D5A6271349D94DB93B330FAAEF353C" ma:contentTypeVersion="3" ma:contentTypeDescription="Create a new document." ma:contentTypeScope="" ma:versionID="a61961d38277cc0028d64e9d77a72235">
  <xsd:schema xmlns:xsd="http://www.w3.org/2001/XMLSchema" xmlns:xs="http://www.w3.org/2001/XMLSchema" xmlns:p="http://schemas.microsoft.com/office/2006/metadata/properties" xmlns:ns2="955e4b51-d796-4c7e-bb79-e6663ec16b36" targetNamespace="http://schemas.microsoft.com/office/2006/metadata/properties" ma:root="true" ma:fieldsID="23ce9e64dd4d61c47f07260d68a6fb47" ns2:_="">
    <xsd:import namespace="955e4b51-d796-4c7e-bb79-e6663ec16b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5e4b51-d796-4c7e-bb79-e6663ec16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01B880-0964-4AB0-88E4-AC60557DADCB}">
  <ds:schemaRefs>
    <ds:schemaRef ds:uri="http://purl.org/dc/terms/"/>
    <ds:schemaRef ds:uri="http://schemas.microsoft.com/office/2006/metadata/properties"/>
    <ds:schemaRef ds:uri="http://purl.org/dc/dcmitype/"/>
    <ds:schemaRef ds:uri="955e4b51-d796-4c7e-bb79-e6663ec16b36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CCABB29-1792-4DF2-893D-5FBDBE28E7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77F5C7-3A68-4214-A60E-0B9D0BFC0F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5e4b51-d796-4c7e-bb79-e6663ec16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9c3d703-3579-47bf-a888-7c913fbdced9}" enabled="0" method="" siteId="{49c3d703-3579-47bf-a888-7c913fbdced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12</vt:i4>
      </vt:variant>
    </vt:vector>
  </HeadingPairs>
  <TitlesOfParts>
    <vt:vector size="12" baseType="lpstr">
      <vt:lpstr>Top 300</vt:lpstr>
      <vt:lpstr>Analyse HL 2 (3)</vt:lpstr>
      <vt:lpstr>SAPUI5 Export</vt:lpstr>
      <vt:lpstr>Analyse 1 Documents 27-02</vt:lpstr>
      <vt:lpstr>Analyse 2 Detail 02-03</vt:lpstr>
      <vt:lpstr>Pivot</vt:lpstr>
      <vt:lpstr>Sheet2</vt:lpstr>
      <vt:lpstr>Analyse HL 1</vt:lpstr>
      <vt:lpstr>Analyse HL 2</vt:lpstr>
      <vt:lpstr>Analyse HL 2 (2)</vt:lpstr>
      <vt:lpstr>Business rules</vt:lpstr>
      <vt:lpstr>Overzicht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Corvers</dc:creator>
  <cp:keywords/>
  <dc:description/>
  <cp:lastModifiedBy>Fenno Feremans</cp:lastModifiedBy>
  <cp:revision/>
  <cp:lastPrinted>2026-03-31T08:57:45Z</cp:lastPrinted>
  <dcterms:created xsi:type="dcterms:W3CDTF">2026-02-13T08:27:31Z</dcterms:created>
  <dcterms:modified xsi:type="dcterms:W3CDTF">2026-03-31T08:58:45Z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0x01010002D5A6271349D94DB93B330FAAEF353C</vt:lpwstr>
  </property>
  <property fmtid="{D5CDD505-2E9C-101B-9397-08002B2CF9AE}" pid="3" name="MediaServiceImageTags">
    <vt:lpwstr/>
  </property>
  <property fmtid="{D5CDD505-2E9C-101B-9397-08002B2CF9AE}" pid="4" name="Domain">
    <vt:lpwstr>897</vt:lpwstr>
  </property>
  <property fmtid="{D5CDD505-2E9C-101B-9397-08002B2CF9AE}" pid="5" name="Solution_x0020_Area">
    <vt:lpwstr>2704;#AI|001d1cc3-7b25-44c0-b6b7-37c785ebb42c</vt:lpwstr>
  </property>
  <property fmtid="{D5CDD505-2E9C-101B-9397-08002B2CF9AE}" pid="6" name="Customer">
    <vt:lpwstr>740</vt:lpwstr>
  </property>
  <property fmtid="{D5CDD505-2E9C-101B-9397-08002B2CF9AE}" pid="7" name="Solution Area">
    <vt:lpwstr>2704</vt:lpwstr>
  </property>
</Properties>
</file>